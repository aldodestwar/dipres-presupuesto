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do Manuel Herrera\Downloads\Ejecucion presupuestaria inversion\"/>
    </mc:Choice>
  </mc:AlternateContent>
  <xr:revisionPtr revIDLastSave="0" documentId="13_ncr:1_{6575EDA8-083D-4FD0-B3B9-D4E56851D246}" xr6:coauthVersionLast="47" xr6:coauthVersionMax="47" xr10:uidLastSave="{00000000-0000-0000-0000-000000000000}"/>
  <bookViews>
    <workbookView xWindow="-108" yWindow="-108" windowWidth="23256" windowHeight="12456" xr2:uid="{00000000-000D-0000-FFFF-FFFF00000000}"/>
  </bookViews>
  <sheets>
    <sheet name="MOP_Mes_Corriente" sheetId="1" r:id="rId1"/>
    <sheet name="MOP_Mes_Constante" sheetId="2" r:id="rId2"/>
    <sheet name="Dashboard" sheetId="3" r:id="rId3"/>
    <sheet name="Datos históricos" sheetId="4" r:id="rId4"/>
    <sheet name="Modelo 2026" sheetId="5" r:id="rId5"/>
    <sheet name="Indices" sheetId="6" r:id="rId6"/>
  </sheets>
  <definedNames>
    <definedName name="_xlnm._FilterDatabase" localSheetId="3" hidden="1">'Datos históricos'!$B$2:$S$236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6" l="1"/>
  <c r="F3" i="6" s="1"/>
  <c r="G3" i="6" s="1"/>
  <c r="H3" i="6" s="1"/>
  <c r="I3" i="6" s="1"/>
  <c r="J3" i="6" s="1"/>
  <c r="K3" i="6" s="1"/>
  <c r="L3" i="6" s="1"/>
  <c r="M3" i="6" s="1"/>
  <c r="N3" i="6" s="1"/>
  <c r="O3" i="6" s="1"/>
  <c r="P3" i="6" s="1"/>
  <c r="N63" i="5"/>
  <c r="M63" i="5"/>
  <c r="L63" i="5"/>
  <c r="K63" i="5"/>
  <c r="J63" i="5"/>
  <c r="I63" i="5"/>
  <c r="H63" i="5"/>
  <c r="G63" i="5"/>
  <c r="F63" i="5"/>
  <c r="E63" i="5"/>
  <c r="D63" i="5"/>
  <c r="C63" i="5"/>
  <c r="N62" i="5"/>
  <c r="M62" i="5"/>
  <c r="L62" i="5"/>
  <c r="K62" i="5"/>
  <c r="J62" i="5"/>
  <c r="I62" i="5"/>
  <c r="H62" i="5"/>
  <c r="G62" i="5"/>
  <c r="F62" i="5"/>
  <c r="E62" i="5"/>
  <c r="D62" i="5"/>
  <c r="C62" i="5"/>
  <c r="N61" i="5"/>
  <c r="M61" i="5"/>
  <c r="L61" i="5"/>
  <c r="K61" i="5"/>
  <c r="J61" i="5"/>
  <c r="I61" i="5"/>
  <c r="H61" i="5"/>
  <c r="G61" i="5"/>
  <c r="F61" i="5"/>
  <c r="E61" i="5"/>
  <c r="D61" i="5"/>
  <c r="C61" i="5"/>
  <c r="N60" i="5"/>
  <c r="M60" i="5"/>
  <c r="L60" i="5"/>
  <c r="K60" i="5"/>
  <c r="J60" i="5"/>
  <c r="I60" i="5"/>
  <c r="H60" i="5"/>
  <c r="G60" i="5"/>
  <c r="F60" i="5"/>
  <c r="E60" i="5"/>
  <c r="D60" i="5"/>
  <c r="C60" i="5"/>
  <c r="N59" i="5"/>
  <c r="N64" i="5" s="1"/>
  <c r="G77" i="5" s="1"/>
  <c r="M59" i="5"/>
  <c r="M64" i="5" s="1"/>
  <c r="G76" i="5" s="1"/>
  <c r="L59" i="5"/>
  <c r="L64" i="5" s="1"/>
  <c r="G75" i="5" s="1"/>
  <c r="K59" i="5"/>
  <c r="K64" i="5" s="1"/>
  <c r="G74" i="5" s="1"/>
  <c r="J59" i="5"/>
  <c r="J64" i="5" s="1"/>
  <c r="G73" i="5" s="1"/>
  <c r="I59" i="5"/>
  <c r="I64" i="5" s="1"/>
  <c r="G72" i="5" s="1"/>
  <c r="H59" i="5"/>
  <c r="H64" i="5" s="1"/>
  <c r="G71" i="5" s="1"/>
  <c r="G59" i="5"/>
  <c r="G64" i="5" s="1"/>
  <c r="G70" i="5" s="1"/>
  <c r="F59" i="5"/>
  <c r="F64" i="5" s="1"/>
  <c r="G69" i="5" s="1"/>
  <c r="E59" i="5"/>
  <c r="E64" i="5" s="1"/>
  <c r="G68" i="5" s="1"/>
  <c r="D59" i="5"/>
  <c r="D64" i="5" s="1"/>
  <c r="G67" i="5" s="1"/>
  <c r="C59" i="5"/>
  <c r="C64" i="5" s="1"/>
  <c r="G66" i="5" s="1"/>
  <c r="C52" i="5"/>
  <c r="C51" i="5"/>
  <c r="C50" i="5"/>
  <c r="C49" i="5"/>
  <c r="C48" i="5"/>
  <c r="D47" i="5"/>
  <c r="C47" i="5"/>
  <c r="D46" i="5"/>
  <c r="C46" i="5"/>
  <c r="D45" i="5"/>
  <c r="C45" i="5"/>
  <c r="D44" i="5"/>
  <c r="C44" i="5"/>
  <c r="D43" i="5"/>
  <c r="C43" i="5"/>
  <c r="D42" i="5"/>
  <c r="C42" i="5"/>
  <c r="D41" i="5"/>
  <c r="C41" i="5"/>
  <c r="R30" i="5"/>
  <c r="Q30" i="5"/>
  <c r="P30" i="5"/>
  <c r="O30" i="5"/>
  <c r="N30" i="5"/>
  <c r="J30" i="5"/>
  <c r="I30" i="5"/>
  <c r="H30" i="5"/>
  <c r="G30" i="5"/>
  <c r="F30" i="5"/>
  <c r="E30" i="5"/>
  <c r="D30" i="5"/>
  <c r="R29" i="5"/>
  <c r="Q29" i="5"/>
  <c r="P29" i="5"/>
  <c r="O29" i="5"/>
  <c r="N29" i="5"/>
  <c r="J29" i="5"/>
  <c r="I29" i="5"/>
  <c r="H29" i="5"/>
  <c r="G29" i="5"/>
  <c r="F29" i="5"/>
  <c r="E29" i="5"/>
  <c r="D29" i="5"/>
  <c r="R28" i="5"/>
  <c r="Q28" i="5"/>
  <c r="P28" i="5"/>
  <c r="S28" i="5" s="1"/>
  <c r="O28" i="5"/>
  <c r="N28" i="5"/>
  <c r="J28" i="5"/>
  <c r="I28" i="5"/>
  <c r="H28" i="5"/>
  <c r="G28" i="5"/>
  <c r="F28" i="5"/>
  <c r="M28" i="5" s="1"/>
  <c r="E28" i="5"/>
  <c r="D28" i="5"/>
  <c r="R27" i="5"/>
  <c r="Q27" i="5"/>
  <c r="P27" i="5"/>
  <c r="O27" i="5"/>
  <c r="N27" i="5"/>
  <c r="J27" i="5"/>
  <c r="I27" i="5"/>
  <c r="H27" i="5"/>
  <c r="G27" i="5"/>
  <c r="F27" i="5"/>
  <c r="E27" i="5"/>
  <c r="D27" i="5"/>
  <c r="R26" i="5"/>
  <c r="Q26" i="5"/>
  <c r="P26" i="5"/>
  <c r="O26" i="5"/>
  <c r="N26" i="5"/>
  <c r="J26" i="5"/>
  <c r="I26" i="5"/>
  <c r="H26" i="5"/>
  <c r="G26" i="5"/>
  <c r="F26" i="5"/>
  <c r="E26" i="5"/>
  <c r="D26" i="5"/>
  <c r="R25" i="5"/>
  <c r="Q25" i="5"/>
  <c r="P25" i="5"/>
  <c r="O25" i="5"/>
  <c r="N25" i="5"/>
  <c r="J25" i="5"/>
  <c r="I25" i="5"/>
  <c r="H25" i="5"/>
  <c r="G25" i="5"/>
  <c r="F25" i="5"/>
  <c r="L25" i="5" s="1"/>
  <c r="E25" i="5"/>
  <c r="D25" i="5"/>
  <c r="R24" i="5"/>
  <c r="Q24" i="5"/>
  <c r="P24" i="5"/>
  <c r="O24" i="5"/>
  <c r="N24" i="5"/>
  <c r="J24" i="5"/>
  <c r="I24" i="5"/>
  <c r="H24" i="5"/>
  <c r="G24" i="5"/>
  <c r="F24" i="5"/>
  <c r="E24" i="5"/>
  <c r="D24" i="5"/>
  <c r="R23" i="5"/>
  <c r="Q23" i="5"/>
  <c r="P23" i="5"/>
  <c r="O23" i="5"/>
  <c r="N23" i="5"/>
  <c r="J23" i="5"/>
  <c r="I23" i="5"/>
  <c r="H23" i="5"/>
  <c r="G23" i="5"/>
  <c r="F23" i="5"/>
  <c r="E23" i="5"/>
  <c r="D23" i="5"/>
  <c r="R22" i="5"/>
  <c r="Q22" i="5"/>
  <c r="P22" i="5"/>
  <c r="O22" i="5"/>
  <c r="N22" i="5"/>
  <c r="J22" i="5"/>
  <c r="I22" i="5"/>
  <c r="H22" i="5"/>
  <c r="G22" i="5"/>
  <c r="F22" i="5"/>
  <c r="M22" i="5" s="1"/>
  <c r="E22" i="5"/>
  <c r="D22" i="5"/>
  <c r="R21" i="5"/>
  <c r="Q21" i="5"/>
  <c r="P21" i="5"/>
  <c r="O21" i="5"/>
  <c r="N21" i="5"/>
  <c r="J21" i="5"/>
  <c r="I21" i="5"/>
  <c r="H21" i="5"/>
  <c r="G21" i="5"/>
  <c r="F21" i="5"/>
  <c r="K21" i="5" s="1"/>
  <c r="T21" i="5" s="1"/>
  <c r="E21" i="5"/>
  <c r="D21" i="5"/>
  <c r="R20" i="5"/>
  <c r="Q20" i="5"/>
  <c r="P20" i="5"/>
  <c r="O20" i="5"/>
  <c r="N20" i="5"/>
  <c r="J20" i="5"/>
  <c r="I20" i="5"/>
  <c r="H20" i="5"/>
  <c r="G20" i="5"/>
  <c r="M20" i="5" s="1"/>
  <c r="F20" i="5"/>
  <c r="E20" i="5"/>
  <c r="D20" i="5"/>
  <c r="R19" i="5"/>
  <c r="Q19" i="5"/>
  <c r="P19" i="5"/>
  <c r="O19" i="5"/>
  <c r="N19" i="5"/>
  <c r="S19" i="5" s="1"/>
  <c r="J19" i="5"/>
  <c r="I19" i="5"/>
  <c r="H19" i="5"/>
  <c r="K19" i="5" s="1"/>
  <c r="G19" i="5"/>
  <c r="F19" i="5"/>
  <c r="E19" i="5"/>
  <c r="D19" i="5"/>
  <c r="R18" i="5"/>
  <c r="Q18" i="5"/>
  <c r="P18" i="5"/>
  <c r="O18" i="5"/>
  <c r="N18" i="5"/>
  <c r="J18" i="5"/>
  <c r="I18" i="5"/>
  <c r="L18" i="5" s="1"/>
  <c r="H18" i="5"/>
  <c r="G18" i="5"/>
  <c r="F18" i="5"/>
  <c r="E18" i="5"/>
  <c r="D18" i="5"/>
  <c r="R17" i="5"/>
  <c r="Q17" i="5"/>
  <c r="P17" i="5"/>
  <c r="O17" i="5"/>
  <c r="S17" i="5" s="1"/>
  <c r="U17" i="5" s="1"/>
  <c r="N17" i="5"/>
  <c r="J17" i="5"/>
  <c r="I17" i="5"/>
  <c r="H17" i="5"/>
  <c r="G17" i="5"/>
  <c r="F17" i="5"/>
  <c r="E17" i="5"/>
  <c r="D17" i="5"/>
  <c r="R16" i="5"/>
  <c r="Q16" i="5"/>
  <c r="P16" i="5"/>
  <c r="O16" i="5"/>
  <c r="N16" i="5"/>
  <c r="J16" i="5"/>
  <c r="I16" i="5"/>
  <c r="H16" i="5"/>
  <c r="G16" i="5"/>
  <c r="F16" i="5"/>
  <c r="E16" i="5"/>
  <c r="D16" i="5"/>
  <c r="R15" i="5"/>
  <c r="Q15" i="5"/>
  <c r="P15" i="5"/>
  <c r="O15" i="5"/>
  <c r="N15" i="5"/>
  <c r="J15" i="5"/>
  <c r="K15" i="5" s="1"/>
  <c r="T15" i="5" s="1"/>
  <c r="I15" i="5"/>
  <c r="H15" i="5"/>
  <c r="G15" i="5"/>
  <c r="F15" i="5"/>
  <c r="E15" i="5"/>
  <c r="D15" i="5"/>
  <c r="R14" i="5"/>
  <c r="Q14" i="5"/>
  <c r="P14" i="5"/>
  <c r="O14" i="5"/>
  <c r="N14" i="5"/>
  <c r="M14" i="5"/>
  <c r="J14" i="5"/>
  <c r="I14" i="5"/>
  <c r="H14" i="5"/>
  <c r="G14" i="5"/>
  <c r="F14" i="5"/>
  <c r="K14" i="5" s="1"/>
  <c r="E14" i="5"/>
  <c r="D14" i="5"/>
  <c r="T14" i="5" s="1"/>
  <c r="R13" i="5"/>
  <c r="Q13" i="5"/>
  <c r="P13" i="5"/>
  <c r="O13" i="5"/>
  <c r="N13" i="5"/>
  <c r="J13" i="5"/>
  <c r="I13" i="5"/>
  <c r="H13" i="5"/>
  <c r="G13" i="5"/>
  <c r="F13" i="5"/>
  <c r="E13" i="5"/>
  <c r="D13" i="5"/>
  <c r="FN162" i="2"/>
  <c r="FM162" i="2"/>
  <c r="FL162" i="2"/>
  <c r="FK162" i="2"/>
  <c r="FJ162" i="2"/>
  <c r="B162" i="2"/>
  <c r="FN161" i="2"/>
  <c r="FM161" i="2"/>
  <c r="FL161" i="2"/>
  <c r="FK161" i="2"/>
  <c r="FJ161" i="2"/>
  <c r="B161" i="2"/>
  <c r="FN160" i="2"/>
  <c r="FM160" i="2"/>
  <c r="FL160" i="2"/>
  <c r="FK160" i="2"/>
  <c r="FJ160" i="2"/>
  <c r="B160" i="2"/>
  <c r="FN159" i="2"/>
  <c r="FM159" i="2"/>
  <c r="FL159" i="2"/>
  <c r="FK159" i="2"/>
  <c r="FJ159" i="2"/>
  <c r="B159" i="2"/>
  <c r="FN158" i="2"/>
  <c r="FM158" i="2"/>
  <c r="FL158" i="2"/>
  <c r="FK158" i="2"/>
  <c r="FJ158" i="2"/>
  <c r="B158" i="2"/>
  <c r="FN157" i="2"/>
  <c r="FM157" i="2"/>
  <c r="FL157" i="2"/>
  <c r="FK157" i="2"/>
  <c r="FJ157" i="2"/>
  <c r="B157" i="2"/>
  <c r="FN117" i="2"/>
  <c r="FM117" i="2"/>
  <c r="FL117" i="2"/>
  <c r="FK117" i="2"/>
  <c r="FJ117" i="2"/>
  <c r="FI116" i="2"/>
  <c r="FO116" i="2" s="1"/>
  <c r="FH116" i="2"/>
  <c r="FG116" i="2"/>
  <c r="FF116" i="2"/>
  <c r="FE116" i="2"/>
  <c r="FD116" i="2"/>
  <c r="FC116" i="2"/>
  <c r="FA116" i="2"/>
  <c r="FB116" i="2" s="1"/>
  <c r="EZ116" i="2"/>
  <c r="EY116" i="2"/>
  <c r="EX116" i="2"/>
  <c r="EW116" i="2"/>
  <c r="EV116" i="2"/>
  <c r="EU116" i="2"/>
  <c r="ET116" i="2"/>
  <c r="ES116" i="2"/>
  <c r="ER116" i="2"/>
  <c r="EQ116" i="2"/>
  <c r="EP116" i="2"/>
  <c r="EO116" i="2"/>
  <c r="EN116" i="2"/>
  <c r="EM116" i="2"/>
  <c r="EL116" i="2"/>
  <c r="EK116" i="2"/>
  <c r="EJ116" i="2"/>
  <c r="EI116" i="2"/>
  <c r="EH116" i="2"/>
  <c r="EG116" i="2"/>
  <c r="EF116" i="2"/>
  <c r="EE116" i="2"/>
  <c r="ED116" i="2"/>
  <c r="EC116" i="2"/>
  <c r="EB116" i="2"/>
  <c r="EA116" i="2"/>
  <c r="DZ116" i="2"/>
  <c r="DY116" i="2"/>
  <c r="DX116" i="2"/>
  <c r="DW116" i="2"/>
  <c r="DV116" i="2"/>
  <c r="DU116" i="2"/>
  <c r="DT116" i="2"/>
  <c r="DS116" i="2"/>
  <c r="DR116" i="2"/>
  <c r="DQ116" i="2"/>
  <c r="DP116" i="2"/>
  <c r="DN116" i="2"/>
  <c r="DO116" i="2" s="1"/>
  <c r="DM116" i="2"/>
  <c r="DL116" i="2"/>
  <c r="DK116" i="2"/>
  <c r="DJ116" i="2"/>
  <c r="DI116" i="2"/>
  <c r="DH116" i="2"/>
  <c r="DG116" i="2"/>
  <c r="DF116" i="2"/>
  <c r="DE116" i="2"/>
  <c r="DD116" i="2"/>
  <c r="DC116" i="2"/>
  <c r="DA116" i="2"/>
  <c r="DB116" i="2" s="1"/>
  <c r="CZ116" i="2"/>
  <c r="CY116" i="2"/>
  <c r="CX116" i="2"/>
  <c r="CW116" i="2"/>
  <c r="CV116" i="2"/>
  <c r="CU116" i="2"/>
  <c r="CT116" i="2"/>
  <c r="CS116" i="2"/>
  <c r="CR116" i="2"/>
  <c r="CQ116" i="2"/>
  <c r="CP116" i="2"/>
  <c r="CN116" i="2"/>
  <c r="CO116" i="2" s="1"/>
  <c r="CM116" i="2"/>
  <c r="CL116" i="2"/>
  <c r="CK116" i="2"/>
  <c r="CJ116" i="2"/>
  <c r="CI116" i="2"/>
  <c r="CH116" i="2"/>
  <c r="CG116" i="2"/>
  <c r="CF116" i="2"/>
  <c r="CE116" i="2"/>
  <c r="CD116" i="2"/>
  <c r="CC116" i="2"/>
  <c r="CA116" i="2"/>
  <c r="CB116" i="2" s="1"/>
  <c r="BZ116" i="2"/>
  <c r="BY116" i="2"/>
  <c r="BX116" i="2"/>
  <c r="BW116" i="2"/>
  <c r="BV116" i="2"/>
  <c r="BU116" i="2"/>
  <c r="BT116" i="2"/>
  <c r="BS116" i="2"/>
  <c r="BR116" i="2"/>
  <c r="BQ116" i="2"/>
  <c r="BP116" i="2"/>
  <c r="BO116" i="2"/>
  <c r="BN116" i="2"/>
  <c r="BM116" i="2"/>
  <c r="BL116" i="2"/>
  <c r="BK116" i="2"/>
  <c r="BJ116" i="2"/>
  <c r="BI116" i="2"/>
  <c r="BH116" i="2"/>
  <c r="BG116" i="2"/>
  <c r="BF116" i="2"/>
  <c r="BE116" i="2"/>
  <c r="BD116" i="2"/>
  <c r="BC116" i="2"/>
  <c r="BB116" i="2"/>
  <c r="BA116" i="2"/>
  <c r="AZ116" i="2"/>
  <c r="AY116" i="2"/>
  <c r="AX116" i="2"/>
  <c r="AW116" i="2"/>
  <c r="AV116" i="2"/>
  <c r="AU116" i="2"/>
  <c r="AT116" i="2"/>
  <c r="AS116" i="2"/>
  <c r="AR116" i="2"/>
  <c r="AQ116" i="2"/>
  <c r="AP116" i="2"/>
  <c r="AN116" i="2"/>
  <c r="AO116" i="2" s="1"/>
  <c r="AM116" i="2"/>
  <c r="AL116" i="2"/>
  <c r="AK116" i="2"/>
  <c r="AJ116" i="2"/>
  <c r="AI116" i="2"/>
  <c r="AH116" i="2"/>
  <c r="AG116" i="2"/>
  <c r="AF116" i="2"/>
  <c r="AE116" i="2"/>
  <c r="AD116" i="2"/>
  <c r="AC116" i="2"/>
  <c r="AA116" i="2"/>
  <c r="AB116" i="2" s="1"/>
  <c r="Z116" i="2"/>
  <c r="Y116" i="2"/>
  <c r="X116" i="2"/>
  <c r="W116" i="2"/>
  <c r="V116" i="2"/>
  <c r="U116" i="2"/>
  <c r="T116" i="2"/>
  <c r="S116" i="2"/>
  <c r="R116" i="2"/>
  <c r="Q116" i="2"/>
  <c r="P116" i="2"/>
  <c r="N116" i="2"/>
  <c r="O116" i="2" s="1"/>
  <c r="M116" i="2"/>
  <c r="L116" i="2"/>
  <c r="K116" i="2"/>
  <c r="J116" i="2"/>
  <c r="I116" i="2"/>
  <c r="H116" i="2"/>
  <c r="G116" i="2"/>
  <c r="F116" i="2"/>
  <c r="E116" i="2"/>
  <c r="D116" i="2"/>
  <c r="C116" i="2"/>
  <c r="FI115" i="2"/>
  <c r="FO115" i="2" s="1"/>
  <c r="FH115" i="2"/>
  <c r="FG115" i="2"/>
  <c r="FF115" i="2"/>
  <c r="FE115" i="2"/>
  <c r="FD115" i="2"/>
  <c r="FC115" i="2"/>
  <c r="FA115" i="2"/>
  <c r="FB115" i="2" s="1"/>
  <c r="EZ115" i="2"/>
  <c r="EY115" i="2"/>
  <c r="EX115" i="2"/>
  <c r="EW115" i="2"/>
  <c r="EV115" i="2"/>
  <c r="EU115" i="2"/>
  <c r="ET115" i="2"/>
  <c r="ES115" i="2"/>
  <c r="ER115" i="2"/>
  <c r="EQ115" i="2"/>
  <c r="EP115" i="2"/>
  <c r="EN115" i="2"/>
  <c r="EO115" i="2" s="1"/>
  <c r="EM115" i="2"/>
  <c r="EL115" i="2"/>
  <c r="EK115" i="2"/>
  <c r="EJ115" i="2"/>
  <c r="EI115" i="2"/>
  <c r="EH115" i="2"/>
  <c r="EG115" i="2"/>
  <c r="EF115" i="2"/>
  <c r="EE115" i="2"/>
  <c r="ED115" i="2"/>
  <c r="EC115" i="2"/>
  <c r="EA115" i="2"/>
  <c r="EB115" i="2" s="1"/>
  <c r="DZ115" i="2"/>
  <c r="DY115" i="2"/>
  <c r="DX115" i="2"/>
  <c r="DW115" i="2"/>
  <c r="DV115" i="2"/>
  <c r="DU115" i="2"/>
  <c r="DT115" i="2"/>
  <c r="DS115" i="2"/>
  <c r="DR115" i="2"/>
  <c r="DQ115" i="2"/>
  <c r="DP115" i="2"/>
  <c r="DN115" i="2"/>
  <c r="DO115" i="2" s="1"/>
  <c r="DM115" i="2"/>
  <c r="DL115" i="2"/>
  <c r="DK115" i="2"/>
  <c r="DJ115" i="2"/>
  <c r="DI115" i="2"/>
  <c r="DH115" i="2"/>
  <c r="DG115" i="2"/>
  <c r="DF115" i="2"/>
  <c r="DE115" i="2"/>
  <c r="DD115" i="2"/>
  <c r="DC115" i="2"/>
  <c r="DB115" i="2"/>
  <c r="DA115" i="2"/>
  <c r="CZ115" i="2"/>
  <c r="CY115" i="2"/>
  <c r="CX115" i="2"/>
  <c r="CW115" i="2"/>
  <c r="CV115" i="2"/>
  <c r="CU115" i="2"/>
  <c r="CT115" i="2"/>
  <c r="CS115" i="2"/>
  <c r="CR115" i="2"/>
  <c r="CQ115" i="2"/>
  <c r="CP115" i="2"/>
  <c r="CO115" i="2"/>
  <c r="CN115" i="2"/>
  <c r="CM115" i="2"/>
  <c r="CL115" i="2"/>
  <c r="CK115" i="2"/>
  <c r="CJ115" i="2"/>
  <c r="CI115" i="2"/>
  <c r="CH115" i="2"/>
  <c r="CG115" i="2"/>
  <c r="CF115" i="2"/>
  <c r="CE115" i="2"/>
  <c r="CD115" i="2"/>
  <c r="CC115" i="2"/>
  <c r="CA115" i="2"/>
  <c r="CB115" i="2" s="1"/>
  <c r="BZ115" i="2"/>
  <c r="BY115" i="2"/>
  <c r="BX115" i="2"/>
  <c r="BW115" i="2"/>
  <c r="BV115" i="2"/>
  <c r="BU115" i="2"/>
  <c r="BT115" i="2"/>
  <c r="BS115" i="2"/>
  <c r="BR115" i="2"/>
  <c r="BQ115" i="2"/>
  <c r="BP115" i="2"/>
  <c r="BN115" i="2"/>
  <c r="BO115" i="2" s="1"/>
  <c r="BM115" i="2"/>
  <c r="BL115" i="2"/>
  <c r="BK115" i="2"/>
  <c r="BJ115" i="2"/>
  <c r="BI115" i="2"/>
  <c r="BH115" i="2"/>
  <c r="BG115" i="2"/>
  <c r="BF115" i="2"/>
  <c r="BE115" i="2"/>
  <c r="BD115" i="2"/>
  <c r="BC115" i="2"/>
  <c r="BA115" i="2"/>
  <c r="BB115" i="2" s="1"/>
  <c r="AZ115" i="2"/>
  <c r="AY115" i="2"/>
  <c r="AX115" i="2"/>
  <c r="AW115" i="2"/>
  <c r="AV115" i="2"/>
  <c r="AU115" i="2"/>
  <c r="AT115" i="2"/>
  <c r="AS115" i="2"/>
  <c r="AR115" i="2"/>
  <c r="AQ115" i="2"/>
  <c r="AP115" i="2"/>
  <c r="AN115" i="2"/>
  <c r="AO115" i="2" s="1"/>
  <c r="AM115" i="2"/>
  <c r="AL115" i="2"/>
  <c r="AK115" i="2"/>
  <c r="AJ115" i="2"/>
  <c r="AI115" i="2"/>
  <c r="AH115" i="2"/>
  <c r="AG115" i="2"/>
  <c r="AF115" i="2"/>
  <c r="AE115" i="2"/>
  <c r="AD115" i="2"/>
  <c r="AC115" i="2"/>
  <c r="AA115" i="2"/>
  <c r="AB115" i="2" s="1"/>
  <c r="Z115" i="2"/>
  <c r="Y115" i="2"/>
  <c r="X115" i="2"/>
  <c r="W115" i="2"/>
  <c r="V115" i="2"/>
  <c r="U115" i="2"/>
  <c r="T115" i="2"/>
  <c r="S115" i="2"/>
  <c r="R115" i="2"/>
  <c r="Q115" i="2"/>
  <c r="P115" i="2"/>
  <c r="N115" i="2"/>
  <c r="O115" i="2" s="1"/>
  <c r="M115" i="2"/>
  <c r="L115" i="2"/>
  <c r="K115" i="2"/>
  <c r="J115" i="2"/>
  <c r="I115" i="2"/>
  <c r="H115" i="2"/>
  <c r="G115" i="2"/>
  <c r="F115" i="2"/>
  <c r="E115" i="2"/>
  <c r="D115" i="2"/>
  <c r="C115" i="2"/>
  <c r="FO114" i="2"/>
  <c r="FI114" i="2"/>
  <c r="FH114" i="2"/>
  <c r="FG114" i="2"/>
  <c r="FF114" i="2"/>
  <c r="FE114" i="2"/>
  <c r="FD114" i="2"/>
  <c r="FC114" i="2"/>
  <c r="FA114" i="2"/>
  <c r="FB114" i="2" s="1"/>
  <c r="EZ114" i="2"/>
  <c r="EY114" i="2"/>
  <c r="EX114" i="2"/>
  <c r="EW114" i="2"/>
  <c r="EV114" i="2"/>
  <c r="EU114" i="2"/>
  <c r="ET114" i="2"/>
  <c r="ES114" i="2"/>
  <c r="ER114" i="2"/>
  <c r="EQ114" i="2"/>
  <c r="EP114" i="2"/>
  <c r="EO114" i="2"/>
  <c r="EN114" i="2"/>
  <c r="EM114" i="2"/>
  <c r="EL114" i="2"/>
  <c r="EK114" i="2"/>
  <c r="EJ114" i="2"/>
  <c r="EI114" i="2"/>
  <c r="EH114" i="2"/>
  <c r="EG114" i="2"/>
  <c r="EF114" i="2"/>
  <c r="EE114" i="2"/>
  <c r="ED114" i="2"/>
  <c r="EC114" i="2"/>
  <c r="EA114" i="2"/>
  <c r="EB114" i="2" s="1"/>
  <c r="DZ114" i="2"/>
  <c r="DY114" i="2"/>
  <c r="DX114" i="2"/>
  <c r="DW114" i="2"/>
  <c r="DV114" i="2"/>
  <c r="DU114" i="2"/>
  <c r="DT114" i="2"/>
  <c r="DS114" i="2"/>
  <c r="DR114" i="2"/>
  <c r="DQ114" i="2"/>
  <c r="DP114" i="2"/>
  <c r="DO114" i="2"/>
  <c r="DN114" i="2"/>
  <c r="DM114" i="2"/>
  <c r="DL114" i="2"/>
  <c r="DK114" i="2"/>
  <c r="DJ114" i="2"/>
  <c r="DI114" i="2"/>
  <c r="DH114" i="2"/>
  <c r="DG114" i="2"/>
  <c r="DF114" i="2"/>
  <c r="DE114" i="2"/>
  <c r="DD114" i="2"/>
  <c r="DC114" i="2"/>
  <c r="DA114" i="2"/>
  <c r="DB114" i="2" s="1"/>
  <c r="CZ114" i="2"/>
  <c r="CY114" i="2"/>
  <c r="CX114" i="2"/>
  <c r="CW114" i="2"/>
  <c r="CV114" i="2"/>
  <c r="CU114" i="2"/>
  <c r="CT114" i="2"/>
  <c r="CS114" i="2"/>
  <c r="CR114" i="2"/>
  <c r="CQ114" i="2"/>
  <c r="CP114" i="2"/>
  <c r="CN114" i="2"/>
  <c r="CO114" i="2" s="1"/>
  <c r="CM114" i="2"/>
  <c r="CL114" i="2"/>
  <c r="CK114" i="2"/>
  <c r="CJ114" i="2"/>
  <c r="CI114" i="2"/>
  <c r="CH114" i="2"/>
  <c r="CG114" i="2"/>
  <c r="CF114" i="2"/>
  <c r="CE114" i="2"/>
  <c r="CD114" i="2"/>
  <c r="CC114" i="2"/>
  <c r="CA114" i="2"/>
  <c r="CB114" i="2" s="1"/>
  <c r="BZ114" i="2"/>
  <c r="BY114" i="2"/>
  <c r="BX114" i="2"/>
  <c r="BW114" i="2"/>
  <c r="BV114" i="2"/>
  <c r="BU114" i="2"/>
  <c r="BT114" i="2"/>
  <c r="BS114" i="2"/>
  <c r="BR114" i="2"/>
  <c r="BQ114" i="2"/>
  <c r="BP114" i="2"/>
  <c r="BN114" i="2"/>
  <c r="BO114" i="2" s="1"/>
  <c r="BM114" i="2"/>
  <c r="BL114" i="2"/>
  <c r="BK114" i="2"/>
  <c r="BJ114" i="2"/>
  <c r="BI114" i="2"/>
  <c r="BH114" i="2"/>
  <c r="BG114" i="2"/>
  <c r="BF114" i="2"/>
  <c r="BE114" i="2"/>
  <c r="BD114" i="2"/>
  <c r="BC114" i="2"/>
  <c r="BA114" i="2"/>
  <c r="BB114" i="2" s="1"/>
  <c r="AZ114" i="2"/>
  <c r="AY114" i="2"/>
  <c r="AX114" i="2"/>
  <c r="AW114" i="2"/>
  <c r="AV114" i="2"/>
  <c r="AU114" i="2"/>
  <c r="AT114" i="2"/>
  <c r="AS114" i="2"/>
  <c r="AR114" i="2"/>
  <c r="AQ114" i="2"/>
  <c r="AP114" i="2"/>
  <c r="AO114" i="2"/>
  <c r="AN114" i="2"/>
  <c r="AM114" i="2"/>
  <c r="AL114" i="2"/>
  <c r="AK114" i="2"/>
  <c r="AJ114" i="2"/>
  <c r="AI114" i="2"/>
  <c r="AH114" i="2"/>
  <c r="AG114" i="2"/>
  <c r="AF114" i="2"/>
  <c r="AE114" i="2"/>
  <c r="AD114" i="2"/>
  <c r="AC114" i="2"/>
  <c r="AB114" i="2"/>
  <c r="AA114" i="2"/>
  <c r="Z114" i="2"/>
  <c r="Y114" i="2"/>
  <c r="X114" i="2"/>
  <c r="W114" i="2"/>
  <c r="V114" i="2"/>
  <c r="U114" i="2"/>
  <c r="T114" i="2"/>
  <c r="S114" i="2"/>
  <c r="R114" i="2"/>
  <c r="Q114" i="2"/>
  <c r="P114" i="2"/>
  <c r="N114" i="2"/>
  <c r="O114" i="2" s="1"/>
  <c r="M114" i="2"/>
  <c r="L114" i="2"/>
  <c r="K114" i="2"/>
  <c r="J114" i="2"/>
  <c r="I114" i="2"/>
  <c r="H114" i="2"/>
  <c r="G114" i="2"/>
  <c r="F114" i="2"/>
  <c r="E114" i="2"/>
  <c r="D114" i="2"/>
  <c r="C114" i="2"/>
  <c r="FI113" i="2"/>
  <c r="FO113" i="2" s="1"/>
  <c r="FH113" i="2"/>
  <c r="FG113" i="2"/>
  <c r="FF113" i="2"/>
  <c r="FE113" i="2"/>
  <c r="FD113" i="2"/>
  <c r="FC113" i="2"/>
  <c r="FA113" i="2"/>
  <c r="FB113" i="2" s="1"/>
  <c r="EZ113" i="2"/>
  <c r="EY113" i="2"/>
  <c r="EX113" i="2"/>
  <c r="EW113" i="2"/>
  <c r="EV113" i="2"/>
  <c r="EU113" i="2"/>
  <c r="ET113" i="2"/>
  <c r="ES113" i="2"/>
  <c r="ER113" i="2"/>
  <c r="EQ113" i="2"/>
  <c r="EP113" i="2"/>
  <c r="EO113" i="2"/>
  <c r="EN113" i="2"/>
  <c r="EM113" i="2"/>
  <c r="EL113" i="2"/>
  <c r="EK113" i="2"/>
  <c r="EJ113" i="2"/>
  <c r="EI113" i="2"/>
  <c r="EH113" i="2"/>
  <c r="EG113" i="2"/>
  <c r="EF113" i="2"/>
  <c r="EE113" i="2"/>
  <c r="ED113" i="2"/>
  <c r="EC113" i="2"/>
  <c r="EA113" i="2"/>
  <c r="EB113" i="2" s="1"/>
  <c r="DZ113" i="2"/>
  <c r="DY113" i="2"/>
  <c r="DX113" i="2"/>
  <c r="DW113" i="2"/>
  <c r="DV113" i="2"/>
  <c r="DU113" i="2"/>
  <c r="DT113" i="2"/>
  <c r="DS113" i="2"/>
  <c r="DR113" i="2"/>
  <c r="DQ113" i="2"/>
  <c r="DP113" i="2"/>
  <c r="DN113" i="2"/>
  <c r="DO113" i="2" s="1"/>
  <c r="DM113" i="2"/>
  <c r="DL113" i="2"/>
  <c r="DK113" i="2"/>
  <c r="DJ113" i="2"/>
  <c r="DI113" i="2"/>
  <c r="DH113" i="2"/>
  <c r="DG113" i="2"/>
  <c r="DF113" i="2"/>
  <c r="DE113" i="2"/>
  <c r="DD113" i="2"/>
  <c r="DC113" i="2"/>
  <c r="DA113" i="2"/>
  <c r="DB113" i="2" s="1"/>
  <c r="CZ113" i="2"/>
  <c r="CY113" i="2"/>
  <c r="CX113" i="2"/>
  <c r="CW113" i="2"/>
  <c r="CV113" i="2"/>
  <c r="CU113" i="2"/>
  <c r="CT113" i="2"/>
  <c r="CS113" i="2"/>
  <c r="CR113" i="2"/>
  <c r="CQ113" i="2"/>
  <c r="CP113" i="2"/>
  <c r="CN113" i="2"/>
  <c r="CO113" i="2" s="1"/>
  <c r="CM113" i="2"/>
  <c r="CL113" i="2"/>
  <c r="CK113" i="2"/>
  <c r="CJ113" i="2"/>
  <c r="CI113" i="2"/>
  <c r="CH113" i="2"/>
  <c r="CG113" i="2"/>
  <c r="CF113" i="2"/>
  <c r="CE113" i="2"/>
  <c r="CD113" i="2"/>
  <c r="CC113" i="2"/>
  <c r="CA113" i="2"/>
  <c r="CB113" i="2" s="1"/>
  <c r="BZ113" i="2"/>
  <c r="BY113" i="2"/>
  <c r="BX113" i="2"/>
  <c r="BW113" i="2"/>
  <c r="BV113" i="2"/>
  <c r="BU113" i="2"/>
  <c r="BT113" i="2"/>
  <c r="BS113" i="2"/>
  <c r="BR113" i="2"/>
  <c r="BQ113" i="2"/>
  <c r="BP113" i="2"/>
  <c r="BO113" i="2"/>
  <c r="BN113" i="2"/>
  <c r="BM113" i="2"/>
  <c r="BL113" i="2"/>
  <c r="BK113" i="2"/>
  <c r="BJ113" i="2"/>
  <c r="BI113" i="2"/>
  <c r="BH113" i="2"/>
  <c r="BG113" i="2"/>
  <c r="BF113" i="2"/>
  <c r="BE113" i="2"/>
  <c r="BD113" i="2"/>
  <c r="BC113" i="2"/>
  <c r="BB113" i="2"/>
  <c r="BA113" i="2"/>
  <c r="AZ113" i="2"/>
  <c r="AY113" i="2"/>
  <c r="AX113" i="2"/>
  <c r="AW113" i="2"/>
  <c r="AV113" i="2"/>
  <c r="AU113" i="2"/>
  <c r="AT113" i="2"/>
  <c r="AS113" i="2"/>
  <c r="AR113" i="2"/>
  <c r="AQ113" i="2"/>
  <c r="AP113" i="2"/>
  <c r="AN113" i="2"/>
  <c r="AO113" i="2" s="1"/>
  <c r="AM113" i="2"/>
  <c r="AL113" i="2"/>
  <c r="AK113" i="2"/>
  <c r="AJ113" i="2"/>
  <c r="AI113" i="2"/>
  <c r="AH113" i="2"/>
  <c r="AG113" i="2"/>
  <c r="AF113" i="2"/>
  <c r="AE113" i="2"/>
  <c r="AD113" i="2"/>
  <c r="AC113" i="2"/>
  <c r="AA113" i="2"/>
  <c r="AB113" i="2" s="1"/>
  <c r="Z113" i="2"/>
  <c r="Y113" i="2"/>
  <c r="X113" i="2"/>
  <c r="W113" i="2"/>
  <c r="V113" i="2"/>
  <c r="U113" i="2"/>
  <c r="T113" i="2"/>
  <c r="S113" i="2"/>
  <c r="R113" i="2"/>
  <c r="Q113" i="2"/>
  <c r="P113" i="2"/>
  <c r="N113" i="2"/>
  <c r="O113" i="2" s="1"/>
  <c r="M113" i="2"/>
  <c r="L113" i="2"/>
  <c r="K113" i="2"/>
  <c r="J113" i="2"/>
  <c r="I113" i="2"/>
  <c r="H113" i="2"/>
  <c r="G113" i="2"/>
  <c r="F113" i="2"/>
  <c r="E113" i="2"/>
  <c r="D113" i="2"/>
  <c r="C113" i="2"/>
  <c r="FI112" i="2"/>
  <c r="FO112" i="2" s="1"/>
  <c r="FH112" i="2"/>
  <c r="FG112" i="2"/>
  <c r="FF112" i="2"/>
  <c r="FE112" i="2"/>
  <c r="FD112" i="2"/>
  <c r="FC112" i="2"/>
  <c r="FB112" i="2"/>
  <c r="FA112" i="2"/>
  <c r="EZ112" i="2"/>
  <c r="EY112" i="2"/>
  <c r="EX112" i="2"/>
  <c r="EW112" i="2"/>
  <c r="EV112" i="2"/>
  <c r="EU112" i="2"/>
  <c r="ET112" i="2"/>
  <c r="ES112" i="2"/>
  <c r="ER112" i="2"/>
  <c r="EQ112" i="2"/>
  <c r="EP112" i="2"/>
  <c r="EN112" i="2"/>
  <c r="EO112" i="2" s="1"/>
  <c r="EM112" i="2"/>
  <c r="EL112" i="2"/>
  <c r="EK112" i="2"/>
  <c r="EJ112" i="2"/>
  <c r="EI112" i="2"/>
  <c r="EH112" i="2"/>
  <c r="EG112" i="2"/>
  <c r="EF112" i="2"/>
  <c r="EE112" i="2"/>
  <c r="ED112" i="2"/>
  <c r="EC112" i="2"/>
  <c r="EA112" i="2"/>
  <c r="EB112" i="2" s="1"/>
  <c r="DZ112" i="2"/>
  <c r="DY112" i="2"/>
  <c r="DX112" i="2"/>
  <c r="DW112" i="2"/>
  <c r="DV112" i="2"/>
  <c r="DU112" i="2"/>
  <c r="DT112" i="2"/>
  <c r="DS112" i="2"/>
  <c r="DR112" i="2"/>
  <c r="DQ112" i="2"/>
  <c r="DP112" i="2"/>
  <c r="DN112" i="2"/>
  <c r="DO112" i="2" s="1"/>
  <c r="DM112" i="2"/>
  <c r="DL112" i="2"/>
  <c r="DK112" i="2"/>
  <c r="DJ112" i="2"/>
  <c r="DI112" i="2"/>
  <c r="DH112" i="2"/>
  <c r="DG112" i="2"/>
  <c r="DF112" i="2"/>
  <c r="DE112" i="2"/>
  <c r="DD112" i="2"/>
  <c r="DC112" i="2"/>
  <c r="DA112" i="2"/>
  <c r="DB112" i="2" s="1"/>
  <c r="CZ112" i="2"/>
  <c r="CY112" i="2"/>
  <c r="CX112" i="2"/>
  <c r="CW112" i="2"/>
  <c r="CV112" i="2"/>
  <c r="CU112" i="2"/>
  <c r="CT112" i="2"/>
  <c r="CS112" i="2"/>
  <c r="CR112" i="2"/>
  <c r="CQ112" i="2"/>
  <c r="CP112" i="2"/>
  <c r="CN112" i="2"/>
  <c r="CO112" i="2" s="1"/>
  <c r="CM112" i="2"/>
  <c r="CL112" i="2"/>
  <c r="CK112" i="2"/>
  <c r="CJ112" i="2"/>
  <c r="CI112" i="2"/>
  <c r="CH112" i="2"/>
  <c r="CG112" i="2"/>
  <c r="CF112" i="2"/>
  <c r="CE112" i="2"/>
  <c r="CD112" i="2"/>
  <c r="CC112" i="2"/>
  <c r="CB112" i="2"/>
  <c r="CA112" i="2"/>
  <c r="BZ112" i="2"/>
  <c r="BY112" i="2"/>
  <c r="BX112" i="2"/>
  <c r="BW112" i="2"/>
  <c r="BV112" i="2"/>
  <c r="BU112" i="2"/>
  <c r="BT112" i="2"/>
  <c r="BS112" i="2"/>
  <c r="BR112" i="2"/>
  <c r="BQ112" i="2"/>
  <c r="BP112" i="2"/>
  <c r="BN112" i="2"/>
  <c r="BO112" i="2" s="1"/>
  <c r="BM112" i="2"/>
  <c r="BL112" i="2"/>
  <c r="BK112" i="2"/>
  <c r="BJ112" i="2"/>
  <c r="BI112" i="2"/>
  <c r="BH112" i="2"/>
  <c r="BG112" i="2"/>
  <c r="BF112" i="2"/>
  <c r="BE112" i="2"/>
  <c r="BD112" i="2"/>
  <c r="BC112" i="2"/>
  <c r="BA112" i="2"/>
  <c r="BB112" i="2" s="1"/>
  <c r="AZ112" i="2"/>
  <c r="AY112" i="2"/>
  <c r="AX112" i="2"/>
  <c r="AW112" i="2"/>
  <c r="AV112" i="2"/>
  <c r="AU112" i="2"/>
  <c r="AT112" i="2"/>
  <c r="AS112" i="2"/>
  <c r="AR112" i="2"/>
  <c r="AQ112" i="2"/>
  <c r="AP112" i="2"/>
  <c r="AO112" i="2"/>
  <c r="AN112" i="2"/>
  <c r="AM112" i="2"/>
  <c r="AL112" i="2"/>
  <c r="AK112" i="2"/>
  <c r="AJ112" i="2"/>
  <c r="AI112" i="2"/>
  <c r="AH112" i="2"/>
  <c r="AG112" i="2"/>
  <c r="AF112" i="2"/>
  <c r="AE112" i="2"/>
  <c r="AD112" i="2"/>
  <c r="AC112" i="2"/>
  <c r="AA112" i="2"/>
  <c r="AB112" i="2" s="1"/>
  <c r="Z112" i="2"/>
  <c r="Y112" i="2"/>
  <c r="X112" i="2"/>
  <c r="W112" i="2"/>
  <c r="V112" i="2"/>
  <c r="U112" i="2"/>
  <c r="T112" i="2"/>
  <c r="S112" i="2"/>
  <c r="R112" i="2"/>
  <c r="Q112" i="2"/>
  <c r="P112" i="2"/>
  <c r="N112" i="2"/>
  <c r="O112" i="2" s="1"/>
  <c r="M112" i="2"/>
  <c r="L112" i="2"/>
  <c r="K112" i="2"/>
  <c r="J112" i="2"/>
  <c r="I112" i="2"/>
  <c r="H112" i="2"/>
  <c r="G112" i="2"/>
  <c r="F112" i="2"/>
  <c r="E112" i="2"/>
  <c r="D112" i="2"/>
  <c r="C112" i="2"/>
  <c r="FO111" i="2"/>
  <c r="FI111" i="2"/>
  <c r="FH111" i="2"/>
  <c r="FG111" i="2"/>
  <c r="FG117" i="2" s="1"/>
  <c r="FF111" i="2"/>
  <c r="FE111" i="2"/>
  <c r="FE117" i="2" s="1"/>
  <c r="FD111" i="2"/>
  <c r="FD117" i="2" s="1"/>
  <c r="FC111" i="2"/>
  <c r="FA111" i="2"/>
  <c r="FB111" i="2" s="1"/>
  <c r="EZ111" i="2"/>
  <c r="EZ117" i="2" s="1"/>
  <c r="EY111" i="2"/>
  <c r="EX111" i="2"/>
  <c r="EX117" i="2" s="1"/>
  <c r="EW111" i="2"/>
  <c r="EW117" i="2" s="1"/>
  <c r="EV111" i="2"/>
  <c r="EU111" i="2"/>
  <c r="EU117" i="2" s="1"/>
  <c r="ET111" i="2"/>
  <c r="ET117" i="2" s="1"/>
  <c r="ES111" i="2"/>
  <c r="ES117" i="2" s="1"/>
  <c r="ER111" i="2"/>
  <c r="ER117" i="2" s="1"/>
  <c r="EQ111" i="2"/>
  <c r="EQ117" i="2" s="1"/>
  <c r="EP111" i="2"/>
  <c r="EN111" i="2"/>
  <c r="EN117" i="2" s="1"/>
  <c r="EM111" i="2"/>
  <c r="EM117" i="2" s="1"/>
  <c r="EL111" i="2"/>
  <c r="EK111" i="2"/>
  <c r="EK117" i="2" s="1"/>
  <c r="EJ111" i="2"/>
  <c r="EI111" i="2"/>
  <c r="EH111" i="2"/>
  <c r="EH117" i="2" s="1"/>
  <c r="EG111" i="2"/>
  <c r="EG117" i="2" s="1"/>
  <c r="EF111" i="2"/>
  <c r="EF117" i="2" s="1"/>
  <c r="EE111" i="2"/>
  <c r="EE117" i="2" s="1"/>
  <c r="ED111" i="2"/>
  <c r="EC111" i="2"/>
  <c r="EC117" i="2" s="1"/>
  <c r="EA111" i="2"/>
  <c r="EB111" i="2" s="1"/>
  <c r="DZ111" i="2"/>
  <c r="DZ117" i="2" s="1"/>
  <c r="DY111" i="2"/>
  <c r="DY117" i="2" s="1"/>
  <c r="DX111" i="2"/>
  <c r="DX117" i="2" s="1"/>
  <c r="DW111" i="2"/>
  <c r="DV111" i="2"/>
  <c r="DU111" i="2"/>
  <c r="DU117" i="2" s="1"/>
  <c r="DT111" i="2"/>
  <c r="DT117" i="2" s="1"/>
  <c r="DS111" i="2"/>
  <c r="DS117" i="2" s="1"/>
  <c r="DR111" i="2"/>
  <c r="DR117" i="2" s="1"/>
  <c r="DQ111" i="2"/>
  <c r="DP111" i="2"/>
  <c r="DP117" i="2" s="1"/>
  <c r="DO111" i="2"/>
  <c r="DN111" i="2"/>
  <c r="DN117" i="2" s="1"/>
  <c r="DM111" i="2"/>
  <c r="DM117" i="2" s="1"/>
  <c r="DL111" i="2"/>
  <c r="DL117" i="2" s="1"/>
  <c r="DK111" i="2"/>
  <c r="DJ111" i="2"/>
  <c r="DJ117" i="2" s="1"/>
  <c r="DI111" i="2"/>
  <c r="DH111" i="2"/>
  <c r="DH117" i="2" s="1"/>
  <c r="DG111" i="2"/>
  <c r="DG117" i="2" s="1"/>
  <c r="DF111" i="2"/>
  <c r="DF117" i="2" s="1"/>
  <c r="DE111" i="2"/>
  <c r="DD111" i="2"/>
  <c r="DD117" i="2" s="1"/>
  <c r="DC111" i="2"/>
  <c r="DC117" i="2" s="1"/>
  <c r="DB111" i="2"/>
  <c r="DA111" i="2"/>
  <c r="DA117" i="2" s="1"/>
  <c r="CZ111" i="2"/>
  <c r="CZ117" i="2" s="1"/>
  <c r="CY111" i="2"/>
  <c r="CX111" i="2"/>
  <c r="CW111" i="2"/>
  <c r="CV111" i="2"/>
  <c r="CV117" i="2" s="1"/>
  <c r="CU111" i="2"/>
  <c r="CU117" i="2" s="1"/>
  <c r="CT111" i="2"/>
  <c r="CT117" i="2" s="1"/>
  <c r="CS111" i="2"/>
  <c r="CR111" i="2"/>
  <c r="CR117" i="2" s="1"/>
  <c r="CQ111" i="2"/>
  <c r="CQ117" i="2" s="1"/>
  <c r="CP111" i="2"/>
  <c r="CP117" i="2" s="1"/>
  <c r="CN111" i="2"/>
  <c r="CN117" i="2" s="1"/>
  <c r="CM111" i="2"/>
  <c r="CL111" i="2"/>
  <c r="CL117" i="2" s="1"/>
  <c r="CK111" i="2"/>
  <c r="CK117" i="2" s="1"/>
  <c r="CJ111" i="2"/>
  <c r="CJ117" i="2" s="1"/>
  <c r="CI111" i="2"/>
  <c r="CI117" i="2" s="1"/>
  <c r="CH111" i="2"/>
  <c r="CH117" i="2" s="1"/>
  <c r="CG111" i="2"/>
  <c r="CF111" i="2"/>
  <c r="CF117" i="2" s="1"/>
  <c r="CE111" i="2"/>
  <c r="CE117" i="2" s="1"/>
  <c r="CD111" i="2"/>
  <c r="CD117" i="2" s="1"/>
  <c r="CC111" i="2"/>
  <c r="CC117" i="2" s="1"/>
  <c r="CA111" i="2"/>
  <c r="CB111" i="2" s="1"/>
  <c r="BZ111" i="2"/>
  <c r="BY111" i="2"/>
  <c r="BY117" i="2" s="1"/>
  <c r="BX111" i="2"/>
  <c r="BX117" i="2" s="1"/>
  <c r="BW111" i="2"/>
  <c r="BW117" i="2" s="1"/>
  <c r="BV111" i="2"/>
  <c r="BU111" i="2"/>
  <c r="BU117" i="2" s="1"/>
  <c r="BT111" i="2"/>
  <c r="BS111" i="2"/>
  <c r="BS117" i="2" s="1"/>
  <c r="BR111" i="2"/>
  <c r="BR117" i="2" s="1"/>
  <c r="BQ111" i="2"/>
  <c r="BQ117" i="2" s="1"/>
  <c r="BP111" i="2"/>
  <c r="BP117" i="2" s="1"/>
  <c r="BN111" i="2"/>
  <c r="BM111" i="2"/>
  <c r="BL111" i="2"/>
  <c r="BL117" i="2" s="1"/>
  <c r="BK111" i="2"/>
  <c r="BK117" i="2" s="1"/>
  <c r="BJ111" i="2"/>
  <c r="BI111" i="2"/>
  <c r="BI117" i="2" s="1"/>
  <c r="BH111" i="2"/>
  <c r="BH117" i="2" s="1"/>
  <c r="BG111" i="2"/>
  <c r="BF111" i="2"/>
  <c r="BF117" i="2" s="1"/>
  <c r="BE111" i="2"/>
  <c r="BE117" i="2" s="1"/>
  <c r="BD111" i="2"/>
  <c r="BD117" i="2" s="1"/>
  <c r="BC111" i="2"/>
  <c r="BC117" i="2" s="1"/>
  <c r="BB111" i="2"/>
  <c r="BA111" i="2"/>
  <c r="AZ111" i="2"/>
  <c r="AZ117" i="2" s="1"/>
  <c r="AY111" i="2"/>
  <c r="AX111" i="2"/>
  <c r="AW111" i="2"/>
  <c r="AW117" i="2" s="1"/>
  <c r="AV111" i="2"/>
  <c r="AV117" i="2" s="1"/>
  <c r="AU111" i="2"/>
  <c r="AT111" i="2"/>
  <c r="AS111" i="2"/>
  <c r="AS117" i="2" s="1"/>
  <c r="AR111" i="2"/>
  <c r="AR117" i="2" s="1"/>
  <c r="AQ111" i="2"/>
  <c r="AQ117" i="2" s="1"/>
  <c r="AP111" i="2"/>
  <c r="AP117" i="2" s="1"/>
  <c r="AN111" i="2"/>
  <c r="AN117" i="2" s="1"/>
  <c r="AM111" i="2"/>
  <c r="AL111" i="2"/>
  <c r="AK111" i="2"/>
  <c r="AJ111" i="2"/>
  <c r="AJ117" i="2" s="1"/>
  <c r="AI111" i="2"/>
  <c r="AI117" i="2" s="1"/>
  <c r="AH111" i="2"/>
  <c r="AG111" i="2"/>
  <c r="AG117" i="2" s="1"/>
  <c r="AF111" i="2"/>
  <c r="AF117" i="2" s="1"/>
  <c r="AE111" i="2"/>
  <c r="AE117" i="2" s="1"/>
  <c r="AD111" i="2"/>
  <c r="AD117" i="2" s="1"/>
  <c r="AC111" i="2"/>
  <c r="AB111" i="2"/>
  <c r="AA111" i="2"/>
  <c r="AA117" i="2" s="1"/>
  <c r="Z111" i="2"/>
  <c r="Y111" i="2"/>
  <c r="X111" i="2"/>
  <c r="X117" i="2" s="1"/>
  <c r="W111" i="2"/>
  <c r="W117" i="2" s="1"/>
  <c r="V111" i="2"/>
  <c r="U111" i="2"/>
  <c r="T111" i="2"/>
  <c r="T117" i="2" s="1"/>
  <c r="S111" i="2"/>
  <c r="S117" i="2" s="1"/>
  <c r="R111" i="2"/>
  <c r="R117" i="2" s="1"/>
  <c r="Q111" i="2"/>
  <c r="P111" i="2"/>
  <c r="P117" i="2" s="1"/>
  <c r="N111" i="2"/>
  <c r="O111" i="2" s="1"/>
  <c r="M111" i="2"/>
  <c r="L111" i="2"/>
  <c r="L117" i="2" s="1"/>
  <c r="K111" i="2"/>
  <c r="K117" i="2" s="1"/>
  <c r="J111" i="2"/>
  <c r="J117" i="2" s="1"/>
  <c r="I111" i="2"/>
  <c r="H111" i="2"/>
  <c r="H117" i="2" s="1"/>
  <c r="G111" i="2"/>
  <c r="G117" i="2" s="1"/>
  <c r="F111" i="2"/>
  <c r="F117" i="2" s="1"/>
  <c r="E111" i="2"/>
  <c r="E117" i="2" s="1"/>
  <c r="D111" i="2"/>
  <c r="C111" i="2"/>
  <c r="C117" i="2" s="1"/>
  <c r="FN105" i="2"/>
  <c r="FM105" i="2"/>
  <c r="FL105" i="2"/>
  <c r="FK105" i="2"/>
  <c r="FJ105" i="2"/>
  <c r="FO104" i="2"/>
  <c r="FI104" i="2"/>
  <c r="FH104" i="2"/>
  <c r="FG104" i="2"/>
  <c r="FF104" i="2"/>
  <c r="FE104" i="2"/>
  <c r="FD104" i="2"/>
  <c r="FC104" i="2"/>
  <c r="FB104" i="2"/>
  <c r="FA104" i="2"/>
  <c r="EZ104" i="2"/>
  <c r="EY104" i="2"/>
  <c r="EX104" i="2"/>
  <c r="EW104" i="2"/>
  <c r="EV104" i="2"/>
  <c r="EU104" i="2"/>
  <c r="ET104" i="2"/>
  <c r="ES104" i="2"/>
  <c r="ER104" i="2"/>
  <c r="EQ104" i="2"/>
  <c r="EP104" i="2"/>
  <c r="EN104" i="2"/>
  <c r="EO104" i="2" s="1"/>
  <c r="EM104" i="2"/>
  <c r="EL104" i="2"/>
  <c r="EK104" i="2"/>
  <c r="EJ104" i="2"/>
  <c r="EI104" i="2"/>
  <c r="EH104" i="2"/>
  <c r="EG104" i="2"/>
  <c r="EF104" i="2"/>
  <c r="EE104" i="2"/>
  <c r="ED104" i="2"/>
  <c r="EC104" i="2"/>
  <c r="EA104" i="2"/>
  <c r="EB104" i="2" s="1"/>
  <c r="DZ104" i="2"/>
  <c r="DY104" i="2"/>
  <c r="DX104" i="2"/>
  <c r="DW104" i="2"/>
  <c r="DV104" i="2"/>
  <c r="DU104" i="2"/>
  <c r="DT104" i="2"/>
  <c r="DS104" i="2"/>
  <c r="DR104" i="2"/>
  <c r="DQ104" i="2"/>
  <c r="DP104" i="2"/>
  <c r="DN104" i="2"/>
  <c r="DO104" i="2" s="1"/>
  <c r="DM104" i="2"/>
  <c r="DL104" i="2"/>
  <c r="DK104" i="2"/>
  <c r="DJ104" i="2"/>
  <c r="DI104" i="2"/>
  <c r="DH104" i="2"/>
  <c r="DG104" i="2"/>
  <c r="DF104" i="2"/>
  <c r="DE104" i="2"/>
  <c r="DD104" i="2"/>
  <c r="DC104" i="2"/>
  <c r="DB104" i="2"/>
  <c r="DA104" i="2"/>
  <c r="CZ104" i="2"/>
  <c r="CY104" i="2"/>
  <c r="CX104" i="2"/>
  <c r="CW104" i="2"/>
  <c r="CV104" i="2"/>
  <c r="CU104" i="2"/>
  <c r="CT104" i="2"/>
  <c r="CS104" i="2"/>
  <c r="CR104" i="2"/>
  <c r="CQ104" i="2"/>
  <c r="CP104" i="2"/>
  <c r="CN104" i="2"/>
  <c r="CO104" i="2" s="1"/>
  <c r="CM104" i="2"/>
  <c r="CL104" i="2"/>
  <c r="CK104" i="2"/>
  <c r="CJ104" i="2"/>
  <c r="CI104" i="2"/>
  <c r="CH104" i="2"/>
  <c r="CG104" i="2"/>
  <c r="CF104" i="2"/>
  <c r="CE104" i="2"/>
  <c r="CD104" i="2"/>
  <c r="CC104" i="2"/>
  <c r="CA104" i="2"/>
  <c r="CB104" i="2" s="1"/>
  <c r="BZ104" i="2"/>
  <c r="BY104" i="2"/>
  <c r="BX104" i="2"/>
  <c r="BW104" i="2"/>
  <c r="BV104" i="2"/>
  <c r="BU104" i="2"/>
  <c r="BT104" i="2"/>
  <c r="BS104" i="2"/>
  <c r="BR104" i="2"/>
  <c r="BQ104" i="2"/>
  <c r="BP104" i="2"/>
  <c r="BO104" i="2"/>
  <c r="BN104" i="2"/>
  <c r="BM104" i="2"/>
  <c r="BL104" i="2"/>
  <c r="BK104" i="2"/>
  <c r="BJ104" i="2"/>
  <c r="BI104" i="2"/>
  <c r="BH104" i="2"/>
  <c r="BG104" i="2"/>
  <c r="BF104" i="2"/>
  <c r="BE104" i="2"/>
  <c r="BD104" i="2"/>
  <c r="BC104" i="2"/>
  <c r="BA104" i="2"/>
  <c r="BB104" i="2" s="1"/>
  <c r="AZ104" i="2"/>
  <c r="AY104" i="2"/>
  <c r="AX104" i="2"/>
  <c r="AW104" i="2"/>
  <c r="AV104" i="2"/>
  <c r="AU104" i="2"/>
  <c r="AT104" i="2"/>
  <c r="AS104" i="2"/>
  <c r="AR104" i="2"/>
  <c r="AQ104" i="2"/>
  <c r="AP104" i="2"/>
  <c r="AN104" i="2"/>
  <c r="AO104" i="2" s="1"/>
  <c r="AM104" i="2"/>
  <c r="AL104" i="2"/>
  <c r="AK104" i="2"/>
  <c r="AJ104" i="2"/>
  <c r="AI104" i="2"/>
  <c r="AH104" i="2"/>
  <c r="AG104" i="2"/>
  <c r="AF104" i="2"/>
  <c r="AE104" i="2"/>
  <c r="AD104" i="2"/>
  <c r="AC104" i="2"/>
  <c r="AA104" i="2"/>
  <c r="AB104" i="2" s="1"/>
  <c r="Z104" i="2"/>
  <c r="Y104" i="2"/>
  <c r="X104" i="2"/>
  <c r="W104" i="2"/>
  <c r="V104" i="2"/>
  <c r="U104" i="2"/>
  <c r="T104" i="2"/>
  <c r="S104" i="2"/>
  <c r="R104" i="2"/>
  <c r="Q104" i="2"/>
  <c r="P104" i="2"/>
  <c r="N104" i="2"/>
  <c r="O104" i="2" s="1"/>
  <c r="M104" i="2"/>
  <c r="L104" i="2"/>
  <c r="K104" i="2"/>
  <c r="J104" i="2"/>
  <c r="I104" i="2"/>
  <c r="H104" i="2"/>
  <c r="G104" i="2"/>
  <c r="F104" i="2"/>
  <c r="E104" i="2"/>
  <c r="D104" i="2"/>
  <c r="C104" i="2"/>
  <c r="FO103" i="2"/>
  <c r="FI103" i="2"/>
  <c r="FH103" i="2"/>
  <c r="FG103" i="2"/>
  <c r="FF103" i="2"/>
  <c r="FE103" i="2"/>
  <c r="FD103" i="2"/>
  <c r="FC103" i="2"/>
  <c r="FA103" i="2"/>
  <c r="FB103" i="2" s="1"/>
  <c r="EZ103" i="2"/>
  <c r="EY103" i="2"/>
  <c r="EX103" i="2"/>
  <c r="EW103" i="2"/>
  <c r="EV103" i="2"/>
  <c r="EU103" i="2"/>
  <c r="ET103" i="2"/>
  <c r="ES103" i="2"/>
  <c r="ER103" i="2"/>
  <c r="EQ103" i="2"/>
  <c r="EP103" i="2"/>
  <c r="EN103" i="2"/>
  <c r="EO103" i="2" s="1"/>
  <c r="EM103" i="2"/>
  <c r="EL103" i="2"/>
  <c r="EK103" i="2"/>
  <c r="EJ103" i="2"/>
  <c r="EI103" i="2"/>
  <c r="EH103" i="2"/>
  <c r="EG103" i="2"/>
  <c r="EF103" i="2"/>
  <c r="EE103" i="2"/>
  <c r="ED103" i="2"/>
  <c r="EC103" i="2"/>
  <c r="EA103" i="2"/>
  <c r="EB103" i="2" s="1"/>
  <c r="DZ103" i="2"/>
  <c r="DY103" i="2"/>
  <c r="DX103" i="2"/>
  <c r="DW103" i="2"/>
  <c r="DV103" i="2"/>
  <c r="DU103" i="2"/>
  <c r="DT103" i="2"/>
  <c r="DS103" i="2"/>
  <c r="DR103" i="2"/>
  <c r="DQ103" i="2"/>
  <c r="DP103" i="2"/>
  <c r="DO103" i="2"/>
  <c r="DN103" i="2"/>
  <c r="DM103" i="2"/>
  <c r="DL103" i="2"/>
  <c r="DK103" i="2"/>
  <c r="DJ103" i="2"/>
  <c r="DI103" i="2"/>
  <c r="DH103" i="2"/>
  <c r="DG103" i="2"/>
  <c r="DF103" i="2"/>
  <c r="DE103" i="2"/>
  <c r="DD103" i="2"/>
  <c r="DC103" i="2"/>
  <c r="DA103" i="2"/>
  <c r="DB103" i="2" s="1"/>
  <c r="CZ103" i="2"/>
  <c r="CY103" i="2"/>
  <c r="CX103" i="2"/>
  <c r="CW103" i="2"/>
  <c r="CV103" i="2"/>
  <c r="CU103" i="2"/>
  <c r="CT103" i="2"/>
  <c r="CS103" i="2"/>
  <c r="CR103" i="2"/>
  <c r="CQ103" i="2"/>
  <c r="CP103" i="2"/>
  <c r="CO103" i="2"/>
  <c r="CN103" i="2"/>
  <c r="CM103" i="2"/>
  <c r="CL103" i="2"/>
  <c r="CK103" i="2"/>
  <c r="CJ103" i="2"/>
  <c r="CI103" i="2"/>
  <c r="CH103" i="2"/>
  <c r="CG103" i="2"/>
  <c r="CF103" i="2"/>
  <c r="CE103" i="2"/>
  <c r="CD103" i="2"/>
  <c r="CC103" i="2"/>
  <c r="CA103" i="2"/>
  <c r="CB103" i="2" s="1"/>
  <c r="BZ103" i="2"/>
  <c r="BY103" i="2"/>
  <c r="BX103" i="2"/>
  <c r="BW103" i="2"/>
  <c r="BV103" i="2"/>
  <c r="BU103" i="2"/>
  <c r="BT103" i="2"/>
  <c r="BS103" i="2"/>
  <c r="BR103" i="2"/>
  <c r="BQ103" i="2"/>
  <c r="BP103" i="2"/>
  <c r="BN103" i="2"/>
  <c r="BO103" i="2" s="1"/>
  <c r="BM103" i="2"/>
  <c r="BL103" i="2"/>
  <c r="BK103" i="2"/>
  <c r="BJ103" i="2"/>
  <c r="BI103" i="2"/>
  <c r="BH103" i="2"/>
  <c r="BG103" i="2"/>
  <c r="BF103" i="2"/>
  <c r="BE103" i="2"/>
  <c r="BD103" i="2"/>
  <c r="BC103" i="2"/>
  <c r="BA103" i="2"/>
  <c r="BB103" i="2" s="1"/>
  <c r="AZ103" i="2"/>
  <c r="AY103" i="2"/>
  <c r="AX103" i="2"/>
  <c r="AW103" i="2"/>
  <c r="AV103" i="2"/>
  <c r="AU103" i="2"/>
  <c r="AT103" i="2"/>
  <c r="AS103" i="2"/>
  <c r="AR103" i="2"/>
  <c r="AQ103" i="2"/>
  <c r="AP103" i="2"/>
  <c r="AN103" i="2"/>
  <c r="AO103" i="2" s="1"/>
  <c r="AM103" i="2"/>
  <c r="AL103" i="2"/>
  <c r="AK103" i="2"/>
  <c r="AJ103" i="2"/>
  <c r="AI103" i="2"/>
  <c r="AH103" i="2"/>
  <c r="AG103" i="2"/>
  <c r="AF103" i="2"/>
  <c r="AE103" i="2"/>
  <c r="AD103" i="2"/>
  <c r="AC103" i="2"/>
  <c r="AB103" i="2"/>
  <c r="AA103" i="2"/>
  <c r="Z103" i="2"/>
  <c r="Y103" i="2"/>
  <c r="X103" i="2"/>
  <c r="W103" i="2"/>
  <c r="V103" i="2"/>
  <c r="U103" i="2"/>
  <c r="T103" i="2"/>
  <c r="S103" i="2"/>
  <c r="R103" i="2"/>
  <c r="Q103" i="2"/>
  <c r="P103" i="2"/>
  <c r="N103" i="2"/>
  <c r="O103" i="2" s="1"/>
  <c r="M103" i="2"/>
  <c r="L103" i="2"/>
  <c r="K103" i="2"/>
  <c r="J103" i="2"/>
  <c r="I103" i="2"/>
  <c r="H103" i="2"/>
  <c r="G103" i="2"/>
  <c r="F103" i="2"/>
  <c r="E103" i="2"/>
  <c r="D103" i="2"/>
  <c r="C103" i="2"/>
  <c r="FO102" i="2"/>
  <c r="FI102" i="2"/>
  <c r="FH102" i="2"/>
  <c r="FG102" i="2"/>
  <c r="FF102" i="2"/>
  <c r="FE102" i="2"/>
  <c r="FD102" i="2"/>
  <c r="FC102" i="2"/>
  <c r="FB102" i="2"/>
  <c r="FA102" i="2"/>
  <c r="EZ102" i="2"/>
  <c r="EY102" i="2"/>
  <c r="EX102" i="2"/>
  <c r="EW102" i="2"/>
  <c r="EV102" i="2"/>
  <c r="EU102" i="2"/>
  <c r="ET102" i="2"/>
  <c r="ES102" i="2"/>
  <c r="ER102" i="2"/>
  <c r="EQ102" i="2"/>
  <c r="EP102" i="2"/>
  <c r="EN102" i="2"/>
  <c r="EO102" i="2" s="1"/>
  <c r="EM102" i="2"/>
  <c r="EL102" i="2"/>
  <c r="EK102" i="2"/>
  <c r="EJ102" i="2"/>
  <c r="EI102" i="2"/>
  <c r="EH102" i="2"/>
  <c r="EG102" i="2"/>
  <c r="EF102" i="2"/>
  <c r="EE102" i="2"/>
  <c r="ED102" i="2"/>
  <c r="EC102" i="2"/>
  <c r="EA102" i="2"/>
  <c r="EB102" i="2" s="1"/>
  <c r="DZ102" i="2"/>
  <c r="DY102" i="2"/>
  <c r="DX102" i="2"/>
  <c r="DW102" i="2"/>
  <c r="DV102" i="2"/>
  <c r="DU102" i="2"/>
  <c r="DT102" i="2"/>
  <c r="DS102" i="2"/>
  <c r="DR102" i="2"/>
  <c r="DQ102" i="2"/>
  <c r="DP102" i="2"/>
  <c r="DO102" i="2"/>
  <c r="DN102" i="2"/>
  <c r="DM102" i="2"/>
  <c r="DL102" i="2"/>
  <c r="DK102" i="2"/>
  <c r="DJ102" i="2"/>
  <c r="DI102" i="2"/>
  <c r="DH102" i="2"/>
  <c r="DG102" i="2"/>
  <c r="DF102" i="2"/>
  <c r="DE102" i="2"/>
  <c r="DD102" i="2"/>
  <c r="DC102" i="2"/>
  <c r="DA102" i="2"/>
  <c r="DB102" i="2" s="1"/>
  <c r="CZ102" i="2"/>
  <c r="CY102" i="2"/>
  <c r="CX102" i="2"/>
  <c r="CW102" i="2"/>
  <c r="CV102" i="2"/>
  <c r="CU102" i="2"/>
  <c r="CT102" i="2"/>
  <c r="CS102" i="2"/>
  <c r="CR102" i="2"/>
  <c r="CQ102" i="2"/>
  <c r="CP102" i="2"/>
  <c r="CN102" i="2"/>
  <c r="CO102" i="2" s="1"/>
  <c r="CM102" i="2"/>
  <c r="CL102" i="2"/>
  <c r="CK102" i="2"/>
  <c r="CJ102" i="2"/>
  <c r="CI102" i="2"/>
  <c r="CH102" i="2"/>
  <c r="CG102" i="2"/>
  <c r="CF102" i="2"/>
  <c r="CE102" i="2"/>
  <c r="CD102" i="2"/>
  <c r="CC102" i="2"/>
  <c r="CA102" i="2"/>
  <c r="CB102" i="2" s="1"/>
  <c r="BZ102" i="2"/>
  <c r="BY102" i="2"/>
  <c r="BX102" i="2"/>
  <c r="BW102" i="2"/>
  <c r="BV102" i="2"/>
  <c r="BU102" i="2"/>
  <c r="BT102" i="2"/>
  <c r="BS102" i="2"/>
  <c r="BR102" i="2"/>
  <c r="BQ102" i="2"/>
  <c r="BP102" i="2"/>
  <c r="BN102" i="2"/>
  <c r="BO102" i="2" s="1"/>
  <c r="BM102" i="2"/>
  <c r="BL102" i="2"/>
  <c r="BK102" i="2"/>
  <c r="BJ102" i="2"/>
  <c r="BI102" i="2"/>
  <c r="BH102" i="2"/>
  <c r="BG102" i="2"/>
  <c r="BF102" i="2"/>
  <c r="BE102" i="2"/>
  <c r="BD102" i="2"/>
  <c r="BC102" i="2"/>
  <c r="BB102" i="2"/>
  <c r="BA102" i="2"/>
  <c r="AZ102" i="2"/>
  <c r="AY102" i="2"/>
  <c r="AX102" i="2"/>
  <c r="AW102" i="2"/>
  <c r="AV102" i="2"/>
  <c r="AU102" i="2"/>
  <c r="AT102" i="2"/>
  <c r="AS102" i="2"/>
  <c r="AR102" i="2"/>
  <c r="AQ102" i="2"/>
  <c r="AP102" i="2"/>
  <c r="AN102" i="2"/>
  <c r="AO102" i="2" s="1"/>
  <c r="AM102" i="2"/>
  <c r="AL102" i="2"/>
  <c r="AK102" i="2"/>
  <c r="AJ102" i="2"/>
  <c r="AI102" i="2"/>
  <c r="AH102" i="2"/>
  <c r="AG102" i="2"/>
  <c r="AF102" i="2"/>
  <c r="AE102" i="2"/>
  <c r="AD102" i="2"/>
  <c r="AC102" i="2"/>
  <c r="AA102" i="2"/>
  <c r="AB102" i="2" s="1"/>
  <c r="Z102" i="2"/>
  <c r="Y102" i="2"/>
  <c r="X102" i="2"/>
  <c r="W102" i="2"/>
  <c r="V102" i="2"/>
  <c r="U102" i="2"/>
  <c r="T102" i="2"/>
  <c r="S102" i="2"/>
  <c r="R102" i="2"/>
  <c r="Q102" i="2"/>
  <c r="P102" i="2"/>
  <c r="N102" i="2"/>
  <c r="O102" i="2" s="1"/>
  <c r="M102" i="2"/>
  <c r="L102" i="2"/>
  <c r="K102" i="2"/>
  <c r="J102" i="2"/>
  <c r="I102" i="2"/>
  <c r="H102" i="2"/>
  <c r="G102" i="2"/>
  <c r="F102" i="2"/>
  <c r="E102" i="2"/>
  <c r="D102" i="2"/>
  <c r="C102" i="2"/>
  <c r="FI101" i="2"/>
  <c r="FO101" i="2" s="1"/>
  <c r="FH101" i="2"/>
  <c r="FG101" i="2"/>
  <c r="FF101" i="2"/>
  <c r="FE101" i="2"/>
  <c r="FD101" i="2"/>
  <c r="FC101" i="2"/>
  <c r="FB101" i="2"/>
  <c r="FA101" i="2"/>
  <c r="EZ101" i="2"/>
  <c r="EY101" i="2"/>
  <c r="EX101" i="2"/>
  <c r="EW101" i="2"/>
  <c r="EV101" i="2"/>
  <c r="EU101" i="2"/>
  <c r="ET101" i="2"/>
  <c r="ES101" i="2"/>
  <c r="ER101" i="2"/>
  <c r="EQ101" i="2"/>
  <c r="EP101" i="2"/>
  <c r="EN101" i="2"/>
  <c r="EO101" i="2" s="1"/>
  <c r="EM101" i="2"/>
  <c r="EL101" i="2"/>
  <c r="EK101" i="2"/>
  <c r="EJ101" i="2"/>
  <c r="EI101" i="2"/>
  <c r="EH101" i="2"/>
  <c r="EG101" i="2"/>
  <c r="EF101" i="2"/>
  <c r="EE101" i="2"/>
  <c r="ED101" i="2"/>
  <c r="EC101" i="2"/>
  <c r="EA101" i="2"/>
  <c r="EB101" i="2" s="1"/>
  <c r="DZ101" i="2"/>
  <c r="DY101" i="2"/>
  <c r="DX101" i="2"/>
  <c r="DW101" i="2"/>
  <c r="DV101" i="2"/>
  <c r="DU101" i="2"/>
  <c r="DT101" i="2"/>
  <c r="DS101" i="2"/>
  <c r="DR101" i="2"/>
  <c r="DQ101" i="2"/>
  <c r="DP101" i="2"/>
  <c r="DN101" i="2"/>
  <c r="DO101" i="2" s="1"/>
  <c r="DM101" i="2"/>
  <c r="DL101" i="2"/>
  <c r="DK101" i="2"/>
  <c r="DJ101" i="2"/>
  <c r="DI101" i="2"/>
  <c r="DH101" i="2"/>
  <c r="DG101" i="2"/>
  <c r="DF101" i="2"/>
  <c r="DE101" i="2"/>
  <c r="DD101" i="2"/>
  <c r="DC101" i="2"/>
  <c r="DB101" i="2"/>
  <c r="DA101" i="2"/>
  <c r="CZ101" i="2"/>
  <c r="CY101" i="2"/>
  <c r="CX101" i="2"/>
  <c r="CW101" i="2"/>
  <c r="CV101" i="2"/>
  <c r="CU101" i="2"/>
  <c r="CT101" i="2"/>
  <c r="CS101" i="2"/>
  <c r="CR101" i="2"/>
  <c r="CQ101" i="2"/>
  <c r="CP101" i="2"/>
  <c r="CN101" i="2"/>
  <c r="CO101" i="2" s="1"/>
  <c r="CM101" i="2"/>
  <c r="CL101" i="2"/>
  <c r="CK101" i="2"/>
  <c r="CJ101" i="2"/>
  <c r="CI101" i="2"/>
  <c r="CH101" i="2"/>
  <c r="CG101" i="2"/>
  <c r="CF101" i="2"/>
  <c r="CE101" i="2"/>
  <c r="CD101" i="2"/>
  <c r="CC101" i="2"/>
  <c r="CA101" i="2"/>
  <c r="CB101" i="2" s="1"/>
  <c r="BZ101" i="2"/>
  <c r="BY101" i="2"/>
  <c r="BX101" i="2"/>
  <c r="BW101" i="2"/>
  <c r="BV101" i="2"/>
  <c r="BU101" i="2"/>
  <c r="BT101" i="2"/>
  <c r="BS101" i="2"/>
  <c r="BR101" i="2"/>
  <c r="BQ101" i="2"/>
  <c r="BP101" i="2"/>
  <c r="BN101" i="2"/>
  <c r="BO101" i="2" s="1"/>
  <c r="BM101" i="2"/>
  <c r="BL101" i="2"/>
  <c r="BK101" i="2"/>
  <c r="BJ101" i="2"/>
  <c r="BI101" i="2"/>
  <c r="BH101" i="2"/>
  <c r="BG101" i="2"/>
  <c r="BF101" i="2"/>
  <c r="BE101" i="2"/>
  <c r="BD101" i="2"/>
  <c r="BC101" i="2"/>
  <c r="BB101" i="2"/>
  <c r="BA101" i="2"/>
  <c r="AZ101" i="2"/>
  <c r="AY101" i="2"/>
  <c r="AX101" i="2"/>
  <c r="AW101" i="2"/>
  <c r="AV101" i="2"/>
  <c r="AU101" i="2"/>
  <c r="AT101" i="2"/>
  <c r="AS101" i="2"/>
  <c r="AR101" i="2"/>
  <c r="AQ101" i="2"/>
  <c r="AP101" i="2"/>
  <c r="AN101" i="2"/>
  <c r="AO101" i="2" s="1"/>
  <c r="AM101" i="2"/>
  <c r="AL101" i="2"/>
  <c r="AK101" i="2"/>
  <c r="AJ101" i="2"/>
  <c r="AI101" i="2"/>
  <c r="AH101" i="2"/>
  <c r="AG101" i="2"/>
  <c r="AF101" i="2"/>
  <c r="AE101" i="2"/>
  <c r="AD101" i="2"/>
  <c r="AC101" i="2"/>
  <c r="AA101" i="2"/>
  <c r="AB101" i="2" s="1"/>
  <c r="Z101" i="2"/>
  <c r="Y101" i="2"/>
  <c r="X101" i="2"/>
  <c r="W101" i="2"/>
  <c r="V101" i="2"/>
  <c r="U101" i="2"/>
  <c r="T101" i="2"/>
  <c r="S101" i="2"/>
  <c r="R101" i="2"/>
  <c r="Q101" i="2"/>
  <c r="P101" i="2"/>
  <c r="N101" i="2"/>
  <c r="O101" i="2" s="1"/>
  <c r="M101" i="2"/>
  <c r="L101" i="2"/>
  <c r="K101" i="2"/>
  <c r="J101" i="2"/>
  <c r="I101" i="2"/>
  <c r="H101" i="2"/>
  <c r="G101" i="2"/>
  <c r="F101" i="2"/>
  <c r="E101" i="2"/>
  <c r="D101" i="2"/>
  <c r="C101" i="2"/>
  <c r="FO100" i="2"/>
  <c r="FI100" i="2"/>
  <c r="FH100" i="2"/>
  <c r="FG100" i="2"/>
  <c r="FF100" i="2"/>
  <c r="FE100" i="2"/>
  <c r="FD100" i="2"/>
  <c r="FC100" i="2"/>
  <c r="FB100" i="2"/>
  <c r="FA100" i="2"/>
  <c r="EZ100" i="2"/>
  <c r="EY100" i="2"/>
  <c r="EX100" i="2"/>
  <c r="EW100" i="2"/>
  <c r="EV100" i="2"/>
  <c r="EU100" i="2"/>
  <c r="ET100" i="2"/>
  <c r="ES100" i="2"/>
  <c r="ER100" i="2"/>
  <c r="EQ100" i="2"/>
  <c r="EP100" i="2"/>
  <c r="EN100" i="2"/>
  <c r="EO100" i="2" s="1"/>
  <c r="EM100" i="2"/>
  <c r="EL100" i="2"/>
  <c r="EK100" i="2"/>
  <c r="EJ100" i="2"/>
  <c r="EI100" i="2"/>
  <c r="EH100" i="2"/>
  <c r="EG100" i="2"/>
  <c r="EF100" i="2"/>
  <c r="EE100" i="2"/>
  <c r="ED100" i="2"/>
  <c r="EC100" i="2"/>
  <c r="EA100" i="2"/>
  <c r="EB100" i="2" s="1"/>
  <c r="DZ100" i="2"/>
  <c r="DY100" i="2"/>
  <c r="DX100" i="2"/>
  <c r="DW100" i="2"/>
  <c r="DV100" i="2"/>
  <c r="DU100" i="2"/>
  <c r="DT100" i="2"/>
  <c r="DS100" i="2"/>
  <c r="DR100" i="2"/>
  <c r="DQ100" i="2"/>
  <c r="DP100" i="2"/>
  <c r="DN100" i="2"/>
  <c r="DO100" i="2" s="1"/>
  <c r="DM100" i="2"/>
  <c r="DL100" i="2"/>
  <c r="DK100" i="2"/>
  <c r="DJ100" i="2"/>
  <c r="DI100" i="2"/>
  <c r="DH100" i="2"/>
  <c r="DG100" i="2"/>
  <c r="DF100" i="2"/>
  <c r="DE100" i="2"/>
  <c r="DD100" i="2"/>
  <c r="DC100" i="2"/>
  <c r="DA100" i="2"/>
  <c r="DB100" i="2" s="1"/>
  <c r="CZ100" i="2"/>
  <c r="CY100" i="2"/>
  <c r="CX100" i="2"/>
  <c r="CW100" i="2"/>
  <c r="CV100" i="2"/>
  <c r="CU100" i="2"/>
  <c r="CT100" i="2"/>
  <c r="CS100" i="2"/>
  <c r="CR100" i="2"/>
  <c r="CQ100" i="2"/>
  <c r="CP100" i="2"/>
  <c r="CO100" i="2"/>
  <c r="CN100" i="2"/>
  <c r="CM100" i="2"/>
  <c r="CL100" i="2"/>
  <c r="CK100" i="2"/>
  <c r="CJ100" i="2"/>
  <c r="CI100" i="2"/>
  <c r="CH100" i="2"/>
  <c r="CG100" i="2"/>
  <c r="CF100" i="2"/>
  <c r="CE100" i="2"/>
  <c r="CD100" i="2"/>
  <c r="CC100" i="2"/>
  <c r="CA100" i="2"/>
  <c r="CB100" i="2" s="1"/>
  <c r="BZ100" i="2"/>
  <c r="BY100" i="2"/>
  <c r="BX100" i="2"/>
  <c r="BW100" i="2"/>
  <c r="BV100" i="2"/>
  <c r="BU100" i="2"/>
  <c r="BT100" i="2"/>
  <c r="BS100" i="2"/>
  <c r="BR100" i="2"/>
  <c r="BQ100" i="2"/>
  <c r="BP100" i="2"/>
  <c r="BN100" i="2"/>
  <c r="BO100" i="2" s="1"/>
  <c r="BM100" i="2"/>
  <c r="BL100" i="2"/>
  <c r="BK100" i="2"/>
  <c r="BJ100" i="2"/>
  <c r="BI100" i="2"/>
  <c r="BH100" i="2"/>
  <c r="BG100" i="2"/>
  <c r="BF100" i="2"/>
  <c r="BE100" i="2"/>
  <c r="BD100" i="2"/>
  <c r="BC100" i="2"/>
  <c r="BB100" i="2"/>
  <c r="BA100" i="2"/>
  <c r="AZ100" i="2"/>
  <c r="AY100" i="2"/>
  <c r="AX100" i="2"/>
  <c r="AW100" i="2"/>
  <c r="AV100" i="2"/>
  <c r="AU100" i="2"/>
  <c r="AT100" i="2"/>
  <c r="AS100" i="2"/>
  <c r="AR100" i="2"/>
  <c r="AQ100" i="2"/>
  <c r="AP100" i="2"/>
  <c r="AN100" i="2"/>
  <c r="AO100" i="2" s="1"/>
  <c r="AM100" i="2"/>
  <c r="AL100" i="2"/>
  <c r="AK100" i="2"/>
  <c r="AJ100" i="2"/>
  <c r="AI100" i="2"/>
  <c r="AH100" i="2"/>
  <c r="AG100" i="2"/>
  <c r="AF100" i="2"/>
  <c r="AE100" i="2"/>
  <c r="AD100" i="2"/>
  <c r="AC100" i="2"/>
  <c r="AA100" i="2"/>
  <c r="AB100" i="2" s="1"/>
  <c r="Z100" i="2"/>
  <c r="Y100" i="2"/>
  <c r="X100" i="2"/>
  <c r="W100" i="2"/>
  <c r="V100" i="2"/>
  <c r="U100" i="2"/>
  <c r="T100" i="2"/>
  <c r="S100" i="2"/>
  <c r="R100" i="2"/>
  <c r="Q100" i="2"/>
  <c r="P100" i="2"/>
  <c r="O100" i="2"/>
  <c r="N100" i="2"/>
  <c r="M100" i="2"/>
  <c r="L100" i="2"/>
  <c r="K100" i="2"/>
  <c r="J100" i="2"/>
  <c r="I100" i="2"/>
  <c r="H100" i="2"/>
  <c r="G100" i="2"/>
  <c r="F100" i="2"/>
  <c r="E100" i="2"/>
  <c r="D100" i="2"/>
  <c r="C100" i="2"/>
  <c r="FI99" i="2"/>
  <c r="FI105" i="2" s="1"/>
  <c r="FH99" i="2"/>
  <c r="FG99" i="2"/>
  <c r="FF99" i="2"/>
  <c r="FF105" i="2" s="1"/>
  <c r="FE99" i="2"/>
  <c r="FE105" i="2" s="1"/>
  <c r="FD99" i="2"/>
  <c r="FC99" i="2"/>
  <c r="FC105" i="2" s="1"/>
  <c r="FB99" i="2"/>
  <c r="FB105" i="2" s="1"/>
  <c r="FA99" i="2"/>
  <c r="FA105" i="2" s="1"/>
  <c r="EZ99" i="2"/>
  <c r="EZ105" i="2" s="1"/>
  <c r="EY99" i="2"/>
  <c r="EY105" i="2" s="1"/>
  <c r="EX99" i="2"/>
  <c r="EW99" i="2"/>
  <c r="EW105" i="2" s="1"/>
  <c r="EV99" i="2"/>
  <c r="EU99" i="2"/>
  <c r="ET99" i="2"/>
  <c r="ET105" i="2" s="1"/>
  <c r="ES99" i="2"/>
  <c r="ES105" i="2" s="1"/>
  <c r="ER99" i="2"/>
  <c r="EQ99" i="2"/>
  <c r="EQ105" i="2" s="1"/>
  <c r="EP99" i="2"/>
  <c r="EP105" i="2" s="1"/>
  <c r="EN99" i="2"/>
  <c r="EM99" i="2"/>
  <c r="EM105" i="2" s="1"/>
  <c r="EL99" i="2"/>
  <c r="EL105" i="2" s="1"/>
  <c r="EK99" i="2"/>
  <c r="EJ99" i="2"/>
  <c r="EJ105" i="2" s="1"/>
  <c r="EI99" i="2"/>
  <c r="EI105" i="2" s="1"/>
  <c r="EH99" i="2"/>
  <c r="EH105" i="2" s="1"/>
  <c r="EG99" i="2"/>
  <c r="EG105" i="2" s="1"/>
  <c r="EF99" i="2"/>
  <c r="EF105" i="2" s="1"/>
  <c r="EE99" i="2"/>
  <c r="ED99" i="2"/>
  <c r="ED105" i="2" s="1"/>
  <c r="EC99" i="2"/>
  <c r="EC105" i="2" s="1"/>
  <c r="EB99" i="2"/>
  <c r="EA99" i="2"/>
  <c r="EA105" i="2" s="1"/>
  <c r="DZ99" i="2"/>
  <c r="DZ105" i="2" s="1"/>
  <c r="DY99" i="2"/>
  <c r="DX99" i="2"/>
  <c r="DX105" i="2" s="1"/>
  <c r="DW99" i="2"/>
  <c r="DW105" i="2" s="1"/>
  <c r="DV99" i="2"/>
  <c r="DV105" i="2" s="1"/>
  <c r="DU99" i="2"/>
  <c r="DU105" i="2" s="1"/>
  <c r="DT99" i="2"/>
  <c r="DT105" i="2" s="1"/>
  <c r="DS99" i="2"/>
  <c r="DR99" i="2"/>
  <c r="DR105" i="2" s="1"/>
  <c r="DQ99" i="2"/>
  <c r="DQ105" i="2" s="1"/>
  <c r="DP99" i="2"/>
  <c r="DP105" i="2" s="1"/>
  <c r="DN99" i="2"/>
  <c r="DN105" i="2" s="1"/>
  <c r="DM99" i="2"/>
  <c r="DL99" i="2"/>
  <c r="DL105" i="2" s="1"/>
  <c r="DK99" i="2"/>
  <c r="DK105" i="2" s="1"/>
  <c r="DJ99" i="2"/>
  <c r="DJ105" i="2" s="1"/>
  <c r="DI99" i="2"/>
  <c r="DI105" i="2" s="1"/>
  <c r="DH99" i="2"/>
  <c r="DH105" i="2" s="1"/>
  <c r="DG99" i="2"/>
  <c r="DF99" i="2"/>
  <c r="DE99" i="2"/>
  <c r="DE105" i="2" s="1"/>
  <c r="DD99" i="2"/>
  <c r="DD105" i="2" s="1"/>
  <c r="DC99" i="2"/>
  <c r="DC105" i="2" s="1"/>
  <c r="DB99" i="2"/>
  <c r="DA99" i="2"/>
  <c r="CZ99" i="2"/>
  <c r="CZ105" i="2" s="1"/>
  <c r="CY99" i="2"/>
  <c r="CY105" i="2" s="1"/>
  <c r="CX99" i="2"/>
  <c r="CW99" i="2"/>
  <c r="CW105" i="2" s="1"/>
  <c r="CV99" i="2"/>
  <c r="CV105" i="2" s="1"/>
  <c r="CU99" i="2"/>
  <c r="CT99" i="2"/>
  <c r="CS99" i="2"/>
  <c r="CS105" i="2" s="1"/>
  <c r="CR99" i="2"/>
  <c r="CR105" i="2" s="1"/>
  <c r="CQ99" i="2"/>
  <c r="CQ105" i="2" s="1"/>
  <c r="CP99" i="2"/>
  <c r="CP105" i="2" s="1"/>
  <c r="CN99" i="2"/>
  <c r="CO99" i="2" s="1"/>
  <c r="CM99" i="2"/>
  <c r="CM105" i="2" s="1"/>
  <c r="CL99" i="2"/>
  <c r="CL105" i="2" s="1"/>
  <c r="CK99" i="2"/>
  <c r="CK105" i="2" s="1"/>
  <c r="CJ99" i="2"/>
  <c r="CJ105" i="2" s="1"/>
  <c r="CI99" i="2"/>
  <c r="CH99" i="2"/>
  <c r="CG99" i="2"/>
  <c r="CG105" i="2" s="1"/>
  <c r="CF99" i="2"/>
  <c r="CF105" i="2" s="1"/>
  <c r="CE99" i="2"/>
  <c r="CE105" i="2" s="1"/>
  <c r="CD99" i="2"/>
  <c r="CD105" i="2" s="1"/>
  <c r="CC99" i="2"/>
  <c r="CC105" i="2" s="1"/>
  <c r="CA99" i="2"/>
  <c r="BZ99" i="2"/>
  <c r="BZ105" i="2" s="1"/>
  <c r="BY99" i="2"/>
  <c r="BY105" i="2" s="1"/>
  <c r="BX99" i="2"/>
  <c r="BX105" i="2" s="1"/>
  <c r="BW99" i="2"/>
  <c r="BV99" i="2"/>
  <c r="BU99" i="2"/>
  <c r="BT99" i="2"/>
  <c r="BT105" i="2" s="1"/>
  <c r="BS99" i="2"/>
  <c r="BS105" i="2" s="1"/>
  <c r="BR99" i="2"/>
  <c r="BR105" i="2" s="1"/>
  <c r="BQ99" i="2"/>
  <c r="BQ105" i="2" s="1"/>
  <c r="BP99" i="2"/>
  <c r="BP105" i="2" s="1"/>
  <c r="BN99" i="2"/>
  <c r="BO99" i="2" s="1"/>
  <c r="BO105" i="2" s="1"/>
  <c r="BM99" i="2"/>
  <c r="BM105" i="2" s="1"/>
  <c r="BL99" i="2"/>
  <c r="BL105" i="2" s="1"/>
  <c r="BK99" i="2"/>
  <c r="BJ99" i="2"/>
  <c r="BI99" i="2"/>
  <c r="BH99" i="2"/>
  <c r="BH105" i="2" s="1"/>
  <c r="BG99" i="2"/>
  <c r="BG105" i="2" s="1"/>
  <c r="BF99" i="2"/>
  <c r="BF105" i="2" s="1"/>
  <c r="BE99" i="2"/>
  <c r="BE105" i="2" s="1"/>
  <c r="BD99" i="2"/>
  <c r="BD105" i="2" s="1"/>
  <c r="BC99" i="2"/>
  <c r="BB99" i="2"/>
  <c r="BA99" i="2"/>
  <c r="BA105" i="2" s="1"/>
  <c r="AZ99" i="2"/>
  <c r="AZ105" i="2" s="1"/>
  <c r="AY99" i="2"/>
  <c r="AX99" i="2"/>
  <c r="AW99" i="2"/>
  <c r="AV99" i="2"/>
  <c r="AV105" i="2" s="1"/>
  <c r="AU99" i="2"/>
  <c r="AU105" i="2" s="1"/>
  <c r="AT99" i="2"/>
  <c r="AT105" i="2" s="1"/>
  <c r="AS99" i="2"/>
  <c r="AS105" i="2" s="1"/>
  <c r="AR99" i="2"/>
  <c r="AR105" i="2" s="1"/>
  <c r="AQ99" i="2"/>
  <c r="AP99" i="2"/>
  <c r="AP105" i="2" s="1"/>
  <c r="AN99" i="2"/>
  <c r="AN105" i="2" s="1"/>
  <c r="AM99" i="2"/>
  <c r="AL99" i="2"/>
  <c r="AK99" i="2"/>
  <c r="AJ99" i="2"/>
  <c r="AJ105" i="2" s="1"/>
  <c r="AI99" i="2"/>
  <c r="AI105" i="2" s="1"/>
  <c r="AH99" i="2"/>
  <c r="AH105" i="2" s="1"/>
  <c r="AG99" i="2"/>
  <c r="AG105" i="2" s="1"/>
  <c r="AF99" i="2"/>
  <c r="AF105" i="2" s="1"/>
  <c r="AE99" i="2"/>
  <c r="AD99" i="2"/>
  <c r="AD105" i="2" s="1"/>
  <c r="AC99" i="2"/>
  <c r="AC105" i="2" s="1"/>
  <c r="AA99" i="2"/>
  <c r="AB99" i="2" s="1"/>
  <c r="Z99" i="2"/>
  <c r="Y99" i="2"/>
  <c r="Y105" i="2" s="1"/>
  <c r="X99" i="2"/>
  <c r="W99" i="2"/>
  <c r="W105" i="2" s="1"/>
  <c r="V99" i="2"/>
  <c r="V105" i="2" s="1"/>
  <c r="U99" i="2"/>
  <c r="U105" i="2" s="1"/>
  <c r="T99" i="2"/>
  <c r="T105" i="2" s="1"/>
  <c r="S99" i="2"/>
  <c r="S105" i="2" s="1"/>
  <c r="R99" i="2"/>
  <c r="Q99" i="2"/>
  <c r="Q105" i="2" s="1"/>
  <c r="P99" i="2"/>
  <c r="P105" i="2" s="1"/>
  <c r="N99" i="2"/>
  <c r="M99" i="2"/>
  <c r="M105" i="2" s="1"/>
  <c r="L99" i="2"/>
  <c r="L105" i="2" s="1"/>
  <c r="K99" i="2"/>
  <c r="J99" i="2"/>
  <c r="J105" i="2" s="1"/>
  <c r="I99" i="2"/>
  <c r="I105" i="2" s="1"/>
  <c r="H99" i="2"/>
  <c r="H105" i="2" s="1"/>
  <c r="G99" i="2"/>
  <c r="G105" i="2" s="1"/>
  <c r="F99" i="2"/>
  <c r="F105" i="2" s="1"/>
  <c r="E99" i="2"/>
  <c r="D99" i="2"/>
  <c r="C99" i="2"/>
  <c r="FN93" i="2"/>
  <c r="FM93" i="2"/>
  <c r="FL93" i="2"/>
  <c r="FK93" i="2"/>
  <c r="FJ93" i="2"/>
  <c r="FI92" i="2"/>
  <c r="FO92" i="2" s="1"/>
  <c r="FH92" i="2"/>
  <c r="FG92" i="2"/>
  <c r="FF92" i="2"/>
  <c r="FE92" i="2"/>
  <c r="FD92" i="2"/>
  <c r="FC92" i="2"/>
  <c r="FA92" i="2"/>
  <c r="FB92" i="2" s="1"/>
  <c r="EZ92" i="2"/>
  <c r="EY92" i="2"/>
  <c r="EX92" i="2"/>
  <c r="EW92" i="2"/>
  <c r="EV92" i="2"/>
  <c r="EU92" i="2"/>
  <c r="ET92" i="2"/>
  <c r="ES92" i="2"/>
  <c r="ER92" i="2"/>
  <c r="EQ92" i="2"/>
  <c r="EP92" i="2"/>
  <c r="EN92" i="2"/>
  <c r="EO92" i="2" s="1"/>
  <c r="EM92" i="2"/>
  <c r="EL92" i="2"/>
  <c r="EK92" i="2"/>
  <c r="EJ92" i="2"/>
  <c r="EI92" i="2"/>
  <c r="EH92" i="2"/>
  <c r="EG92" i="2"/>
  <c r="EF92" i="2"/>
  <c r="EE92" i="2"/>
  <c r="ED92" i="2"/>
  <c r="EC92" i="2"/>
  <c r="EB92" i="2"/>
  <c r="EA92" i="2"/>
  <c r="DZ92" i="2"/>
  <c r="DY92" i="2"/>
  <c r="DX92" i="2"/>
  <c r="DW92" i="2"/>
  <c r="DV92" i="2"/>
  <c r="DU92" i="2"/>
  <c r="DT92" i="2"/>
  <c r="DS92" i="2"/>
  <c r="DR92" i="2"/>
  <c r="DQ92" i="2"/>
  <c r="DP92" i="2"/>
  <c r="DN92" i="2"/>
  <c r="DO92" i="2" s="1"/>
  <c r="DM92" i="2"/>
  <c r="DL92" i="2"/>
  <c r="DK92" i="2"/>
  <c r="DJ92" i="2"/>
  <c r="DI92" i="2"/>
  <c r="DH92" i="2"/>
  <c r="DG92" i="2"/>
  <c r="DF92" i="2"/>
  <c r="DE92" i="2"/>
  <c r="DD92" i="2"/>
  <c r="DC92" i="2"/>
  <c r="DA92" i="2"/>
  <c r="DB92" i="2" s="1"/>
  <c r="CZ92" i="2"/>
  <c r="CY92" i="2"/>
  <c r="CX92" i="2"/>
  <c r="CW92" i="2"/>
  <c r="CV92" i="2"/>
  <c r="CU92" i="2"/>
  <c r="CT92" i="2"/>
  <c r="CS92" i="2"/>
  <c r="CR92" i="2"/>
  <c r="CQ92" i="2"/>
  <c r="CP92" i="2"/>
  <c r="CN92" i="2"/>
  <c r="CO92" i="2" s="1"/>
  <c r="CM92" i="2"/>
  <c r="CL92" i="2"/>
  <c r="CK92" i="2"/>
  <c r="CJ92" i="2"/>
  <c r="CI92" i="2"/>
  <c r="CH92" i="2"/>
  <c r="CG92" i="2"/>
  <c r="CF92" i="2"/>
  <c r="CE92" i="2"/>
  <c r="CD92" i="2"/>
  <c r="CC92" i="2"/>
  <c r="CA92" i="2"/>
  <c r="CB92" i="2" s="1"/>
  <c r="BZ92" i="2"/>
  <c r="BY92" i="2"/>
  <c r="BX92" i="2"/>
  <c r="BW92" i="2"/>
  <c r="BV92" i="2"/>
  <c r="BU92" i="2"/>
  <c r="BT92" i="2"/>
  <c r="BS92" i="2"/>
  <c r="BR92" i="2"/>
  <c r="BQ92" i="2"/>
  <c r="BP92" i="2"/>
  <c r="BN92" i="2"/>
  <c r="BO92" i="2" s="1"/>
  <c r="BM92" i="2"/>
  <c r="BL92" i="2"/>
  <c r="BK92" i="2"/>
  <c r="BJ92" i="2"/>
  <c r="BI92" i="2"/>
  <c r="BH92" i="2"/>
  <c r="BG92" i="2"/>
  <c r="BF92" i="2"/>
  <c r="BE92" i="2"/>
  <c r="BD92" i="2"/>
  <c r="BC92" i="2"/>
  <c r="BA92" i="2"/>
  <c r="BB92" i="2" s="1"/>
  <c r="AZ92" i="2"/>
  <c r="AY92" i="2"/>
  <c r="AX92" i="2"/>
  <c r="AW92" i="2"/>
  <c r="AV92" i="2"/>
  <c r="AU92" i="2"/>
  <c r="AT92" i="2"/>
  <c r="AS92" i="2"/>
  <c r="AR92" i="2"/>
  <c r="AQ92" i="2"/>
  <c r="AP92" i="2"/>
  <c r="AN92" i="2"/>
  <c r="AO92" i="2" s="1"/>
  <c r="AM92" i="2"/>
  <c r="AL92" i="2"/>
  <c r="AK92" i="2"/>
  <c r="AJ92" i="2"/>
  <c r="AI92" i="2"/>
  <c r="AH92" i="2"/>
  <c r="AG92" i="2"/>
  <c r="AF92" i="2"/>
  <c r="AE92" i="2"/>
  <c r="AD92" i="2"/>
  <c r="AC92" i="2"/>
  <c r="AA92" i="2"/>
  <c r="AB92" i="2" s="1"/>
  <c r="Z92" i="2"/>
  <c r="Y92" i="2"/>
  <c r="X92" i="2"/>
  <c r="W92" i="2"/>
  <c r="V92" i="2"/>
  <c r="U92" i="2"/>
  <c r="T92" i="2"/>
  <c r="S92" i="2"/>
  <c r="R92" i="2"/>
  <c r="Q92" i="2"/>
  <c r="P92" i="2"/>
  <c r="N92" i="2"/>
  <c r="O92" i="2" s="1"/>
  <c r="M92" i="2"/>
  <c r="L92" i="2"/>
  <c r="K92" i="2"/>
  <c r="J92" i="2"/>
  <c r="I92" i="2"/>
  <c r="H92" i="2"/>
  <c r="G92" i="2"/>
  <c r="F92" i="2"/>
  <c r="E92" i="2"/>
  <c r="D92" i="2"/>
  <c r="C92" i="2"/>
  <c r="FO91" i="2"/>
  <c r="FI91" i="2"/>
  <c r="FH91" i="2"/>
  <c r="FG91" i="2"/>
  <c r="FF91" i="2"/>
  <c r="FE91" i="2"/>
  <c r="FD91" i="2"/>
  <c r="FC91" i="2"/>
  <c r="FA91" i="2"/>
  <c r="FB91" i="2" s="1"/>
  <c r="EZ91" i="2"/>
  <c r="EY91" i="2"/>
  <c r="EX91" i="2"/>
  <c r="EW91" i="2"/>
  <c r="EV91" i="2"/>
  <c r="EU91" i="2"/>
  <c r="ET91" i="2"/>
  <c r="ES91" i="2"/>
  <c r="ER91" i="2"/>
  <c r="EQ91" i="2"/>
  <c r="EP91" i="2"/>
  <c r="EN91" i="2"/>
  <c r="EO91" i="2" s="1"/>
  <c r="EM91" i="2"/>
  <c r="EL91" i="2"/>
  <c r="EK91" i="2"/>
  <c r="EJ91" i="2"/>
  <c r="EI91" i="2"/>
  <c r="EH91" i="2"/>
  <c r="EG91" i="2"/>
  <c r="EF91" i="2"/>
  <c r="EE91" i="2"/>
  <c r="ED91" i="2"/>
  <c r="EC91" i="2"/>
  <c r="EA91" i="2"/>
  <c r="EB91" i="2" s="1"/>
  <c r="DZ91" i="2"/>
  <c r="DY91" i="2"/>
  <c r="DX91" i="2"/>
  <c r="DW91" i="2"/>
  <c r="DV91" i="2"/>
  <c r="DU91" i="2"/>
  <c r="DT91" i="2"/>
  <c r="DS91" i="2"/>
  <c r="DR91" i="2"/>
  <c r="DQ91" i="2"/>
  <c r="DP91" i="2"/>
  <c r="DN91" i="2"/>
  <c r="DO91" i="2" s="1"/>
  <c r="DM91" i="2"/>
  <c r="DL91" i="2"/>
  <c r="DK91" i="2"/>
  <c r="DJ91" i="2"/>
  <c r="DI91" i="2"/>
  <c r="DH91" i="2"/>
  <c r="DG91" i="2"/>
  <c r="DF91" i="2"/>
  <c r="DE91" i="2"/>
  <c r="DD91" i="2"/>
  <c r="DC91" i="2"/>
  <c r="DB91" i="2"/>
  <c r="DA91" i="2"/>
  <c r="CZ91" i="2"/>
  <c r="CY91" i="2"/>
  <c r="CX91" i="2"/>
  <c r="CW91" i="2"/>
  <c r="CV91" i="2"/>
  <c r="CU91" i="2"/>
  <c r="CT91" i="2"/>
  <c r="CS91" i="2"/>
  <c r="CR91" i="2"/>
  <c r="CQ91" i="2"/>
  <c r="CP91" i="2"/>
  <c r="CN91" i="2"/>
  <c r="CO91" i="2" s="1"/>
  <c r="CM91" i="2"/>
  <c r="CL91" i="2"/>
  <c r="CK91" i="2"/>
  <c r="CJ91" i="2"/>
  <c r="CI91" i="2"/>
  <c r="CH91" i="2"/>
  <c r="CG91" i="2"/>
  <c r="CF91" i="2"/>
  <c r="CE91" i="2"/>
  <c r="CD91" i="2"/>
  <c r="CC91" i="2"/>
  <c r="CB91" i="2"/>
  <c r="CA91" i="2"/>
  <c r="BZ91" i="2"/>
  <c r="BY91" i="2"/>
  <c r="BX91" i="2"/>
  <c r="BW91" i="2"/>
  <c r="BV91" i="2"/>
  <c r="BU91" i="2"/>
  <c r="BT91" i="2"/>
  <c r="BS91" i="2"/>
  <c r="BR91" i="2"/>
  <c r="BQ91" i="2"/>
  <c r="BP91" i="2"/>
  <c r="BN91" i="2"/>
  <c r="BO91" i="2" s="1"/>
  <c r="BM91" i="2"/>
  <c r="BL91" i="2"/>
  <c r="BK91" i="2"/>
  <c r="BJ91" i="2"/>
  <c r="BI91" i="2"/>
  <c r="BH91" i="2"/>
  <c r="BG91" i="2"/>
  <c r="BF91" i="2"/>
  <c r="BE91" i="2"/>
  <c r="BD91" i="2"/>
  <c r="BC91" i="2"/>
  <c r="BA91" i="2"/>
  <c r="BB91" i="2" s="1"/>
  <c r="AZ91" i="2"/>
  <c r="AY91" i="2"/>
  <c r="AX91" i="2"/>
  <c r="AW91" i="2"/>
  <c r="AV91" i="2"/>
  <c r="AU91" i="2"/>
  <c r="AT91" i="2"/>
  <c r="AS91" i="2"/>
  <c r="AR91" i="2"/>
  <c r="AQ91" i="2"/>
  <c r="AP91" i="2"/>
  <c r="AN91" i="2"/>
  <c r="AO91" i="2" s="1"/>
  <c r="AM91" i="2"/>
  <c r="AL91" i="2"/>
  <c r="AK91" i="2"/>
  <c r="AJ91" i="2"/>
  <c r="AI91" i="2"/>
  <c r="AH91" i="2"/>
  <c r="AG91" i="2"/>
  <c r="AF91" i="2"/>
  <c r="AE91" i="2"/>
  <c r="AD91" i="2"/>
  <c r="AC91" i="2"/>
  <c r="AA91" i="2"/>
  <c r="AB91" i="2" s="1"/>
  <c r="Z91" i="2"/>
  <c r="Y91" i="2"/>
  <c r="X91" i="2"/>
  <c r="W91" i="2"/>
  <c r="V91" i="2"/>
  <c r="U91" i="2"/>
  <c r="T91" i="2"/>
  <c r="S91" i="2"/>
  <c r="R91" i="2"/>
  <c r="Q91" i="2"/>
  <c r="P91" i="2"/>
  <c r="N91" i="2"/>
  <c r="O91" i="2" s="1"/>
  <c r="M91" i="2"/>
  <c r="L91" i="2"/>
  <c r="K91" i="2"/>
  <c r="J91" i="2"/>
  <c r="I91" i="2"/>
  <c r="H91" i="2"/>
  <c r="G91" i="2"/>
  <c r="F91" i="2"/>
  <c r="E91" i="2"/>
  <c r="D91" i="2"/>
  <c r="C91" i="2"/>
  <c r="FI90" i="2"/>
  <c r="FO90" i="2" s="1"/>
  <c r="FH90" i="2"/>
  <c r="FG90" i="2"/>
  <c r="FF90" i="2"/>
  <c r="FE90" i="2"/>
  <c r="FD90" i="2"/>
  <c r="FC90" i="2"/>
  <c r="FA90" i="2"/>
  <c r="FB90" i="2" s="1"/>
  <c r="EZ90" i="2"/>
  <c r="EY90" i="2"/>
  <c r="EX90" i="2"/>
  <c r="EW90" i="2"/>
  <c r="EV90" i="2"/>
  <c r="EU90" i="2"/>
  <c r="ET90" i="2"/>
  <c r="ES90" i="2"/>
  <c r="ER90" i="2"/>
  <c r="EQ90" i="2"/>
  <c r="EP90" i="2"/>
  <c r="EN90" i="2"/>
  <c r="EO90" i="2" s="1"/>
  <c r="EM90" i="2"/>
  <c r="EL90" i="2"/>
  <c r="EK90" i="2"/>
  <c r="EJ90" i="2"/>
  <c r="EI90" i="2"/>
  <c r="EH90" i="2"/>
  <c r="EG90" i="2"/>
  <c r="EF90" i="2"/>
  <c r="EE90" i="2"/>
  <c r="ED90" i="2"/>
  <c r="EC90" i="2"/>
  <c r="EA90" i="2"/>
  <c r="EB90" i="2" s="1"/>
  <c r="DZ90" i="2"/>
  <c r="DY90" i="2"/>
  <c r="DX90" i="2"/>
  <c r="DW90" i="2"/>
  <c r="DV90" i="2"/>
  <c r="DU90" i="2"/>
  <c r="DT90" i="2"/>
  <c r="DS90" i="2"/>
  <c r="DR90" i="2"/>
  <c r="DQ90" i="2"/>
  <c r="DP90" i="2"/>
  <c r="DN90" i="2"/>
  <c r="DO90" i="2" s="1"/>
  <c r="DM90" i="2"/>
  <c r="DL90" i="2"/>
  <c r="DK90" i="2"/>
  <c r="DJ90" i="2"/>
  <c r="DI90" i="2"/>
  <c r="DH90" i="2"/>
  <c r="DG90" i="2"/>
  <c r="DF90" i="2"/>
  <c r="DE90" i="2"/>
  <c r="DD90" i="2"/>
  <c r="DC90" i="2"/>
  <c r="DA90" i="2"/>
  <c r="DB90" i="2" s="1"/>
  <c r="CZ90" i="2"/>
  <c r="CY90" i="2"/>
  <c r="CX90" i="2"/>
  <c r="CW90" i="2"/>
  <c r="CV90" i="2"/>
  <c r="CU90" i="2"/>
  <c r="CT90" i="2"/>
  <c r="CS90" i="2"/>
  <c r="CR90" i="2"/>
  <c r="CQ90" i="2"/>
  <c r="CP90" i="2"/>
  <c r="CN90" i="2"/>
  <c r="CO90" i="2" s="1"/>
  <c r="CM90" i="2"/>
  <c r="CL90" i="2"/>
  <c r="CK90" i="2"/>
  <c r="CJ90" i="2"/>
  <c r="CI90" i="2"/>
  <c r="CH90" i="2"/>
  <c r="CG90" i="2"/>
  <c r="CF90" i="2"/>
  <c r="CE90" i="2"/>
  <c r="CD90" i="2"/>
  <c r="CC90" i="2"/>
  <c r="CA90" i="2"/>
  <c r="CB90" i="2" s="1"/>
  <c r="BZ90" i="2"/>
  <c r="BY90" i="2"/>
  <c r="BX90" i="2"/>
  <c r="BW90" i="2"/>
  <c r="BV90" i="2"/>
  <c r="BU90" i="2"/>
  <c r="BT90" i="2"/>
  <c r="BS90" i="2"/>
  <c r="BR90" i="2"/>
  <c r="BQ90" i="2"/>
  <c r="BP90" i="2"/>
  <c r="BN90" i="2"/>
  <c r="BO90" i="2" s="1"/>
  <c r="BM90" i="2"/>
  <c r="BL90" i="2"/>
  <c r="BK90" i="2"/>
  <c r="BJ90" i="2"/>
  <c r="BI90" i="2"/>
  <c r="BH90" i="2"/>
  <c r="BG90" i="2"/>
  <c r="BF90" i="2"/>
  <c r="BE90" i="2"/>
  <c r="BD90" i="2"/>
  <c r="BC90" i="2"/>
  <c r="BB90" i="2"/>
  <c r="BA90" i="2"/>
  <c r="AZ90" i="2"/>
  <c r="AY90" i="2"/>
  <c r="AX90" i="2"/>
  <c r="AW90" i="2"/>
  <c r="AV90" i="2"/>
  <c r="AU90" i="2"/>
  <c r="AT90" i="2"/>
  <c r="AS90" i="2"/>
  <c r="AR90" i="2"/>
  <c r="AQ90" i="2"/>
  <c r="AP90" i="2"/>
  <c r="AN90" i="2"/>
  <c r="AO90" i="2" s="1"/>
  <c r="AM90" i="2"/>
  <c r="AL90" i="2"/>
  <c r="AK90" i="2"/>
  <c r="AJ90" i="2"/>
  <c r="AI90" i="2"/>
  <c r="AH90" i="2"/>
  <c r="AG90" i="2"/>
  <c r="AF90" i="2"/>
  <c r="AE90" i="2"/>
  <c r="AD90" i="2"/>
  <c r="AC90" i="2"/>
  <c r="AA90" i="2"/>
  <c r="AB90" i="2" s="1"/>
  <c r="Z90" i="2"/>
  <c r="Y90" i="2"/>
  <c r="X90" i="2"/>
  <c r="W90" i="2"/>
  <c r="V90" i="2"/>
  <c r="U90" i="2"/>
  <c r="T90" i="2"/>
  <c r="S90" i="2"/>
  <c r="R90" i="2"/>
  <c r="Q90" i="2"/>
  <c r="P90" i="2"/>
  <c r="N90" i="2"/>
  <c r="O90" i="2" s="1"/>
  <c r="M90" i="2"/>
  <c r="L90" i="2"/>
  <c r="K90" i="2"/>
  <c r="J90" i="2"/>
  <c r="I90" i="2"/>
  <c r="H90" i="2"/>
  <c r="G90" i="2"/>
  <c r="F90" i="2"/>
  <c r="E90" i="2"/>
  <c r="D90" i="2"/>
  <c r="C90" i="2"/>
  <c r="FI89" i="2"/>
  <c r="FO89" i="2" s="1"/>
  <c r="FH89" i="2"/>
  <c r="FG89" i="2"/>
  <c r="FF89" i="2"/>
  <c r="FE89" i="2"/>
  <c r="FD89" i="2"/>
  <c r="FC89" i="2"/>
  <c r="FA89" i="2"/>
  <c r="FB89" i="2" s="1"/>
  <c r="EZ89" i="2"/>
  <c r="EY89" i="2"/>
  <c r="EX89" i="2"/>
  <c r="EW89" i="2"/>
  <c r="EV89" i="2"/>
  <c r="EU89" i="2"/>
  <c r="ET89" i="2"/>
  <c r="ES89" i="2"/>
  <c r="ER89" i="2"/>
  <c r="EQ89" i="2"/>
  <c r="EP89" i="2"/>
  <c r="EN89" i="2"/>
  <c r="EO89" i="2" s="1"/>
  <c r="EM89" i="2"/>
  <c r="EL89" i="2"/>
  <c r="EK89" i="2"/>
  <c r="EJ89" i="2"/>
  <c r="EI89" i="2"/>
  <c r="EH89" i="2"/>
  <c r="EG89" i="2"/>
  <c r="EF89" i="2"/>
  <c r="EE89" i="2"/>
  <c r="ED89" i="2"/>
  <c r="EC89" i="2"/>
  <c r="EB89" i="2"/>
  <c r="EA89" i="2"/>
  <c r="DZ89" i="2"/>
  <c r="DY89" i="2"/>
  <c r="DX89" i="2"/>
  <c r="DW89" i="2"/>
  <c r="DV89" i="2"/>
  <c r="DU89" i="2"/>
  <c r="DT89" i="2"/>
  <c r="DS89" i="2"/>
  <c r="DR89" i="2"/>
  <c r="DQ89" i="2"/>
  <c r="DP89" i="2"/>
  <c r="DN89" i="2"/>
  <c r="DO89" i="2" s="1"/>
  <c r="DM89" i="2"/>
  <c r="DL89" i="2"/>
  <c r="DK89" i="2"/>
  <c r="DJ89" i="2"/>
  <c r="DI89" i="2"/>
  <c r="DH89" i="2"/>
  <c r="DG89" i="2"/>
  <c r="DF89" i="2"/>
  <c r="DE89" i="2"/>
  <c r="DD89" i="2"/>
  <c r="DC89" i="2"/>
  <c r="DB89" i="2"/>
  <c r="DA89" i="2"/>
  <c r="CZ89" i="2"/>
  <c r="CY89" i="2"/>
  <c r="CX89" i="2"/>
  <c r="CW89" i="2"/>
  <c r="CV89" i="2"/>
  <c r="CU89" i="2"/>
  <c r="CT89" i="2"/>
  <c r="CS89" i="2"/>
  <c r="CR89" i="2"/>
  <c r="CQ89" i="2"/>
  <c r="CP89" i="2"/>
  <c r="CN89" i="2"/>
  <c r="CO89" i="2" s="1"/>
  <c r="CM89" i="2"/>
  <c r="CL89" i="2"/>
  <c r="CK89" i="2"/>
  <c r="CJ89" i="2"/>
  <c r="CI89" i="2"/>
  <c r="CH89" i="2"/>
  <c r="CG89" i="2"/>
  <c r="CF89" i="2"/>
  <c r="CE89" i="2"/>
  <c r="CD89" i="2"/>
  <c r="CC89" i="2"/>
  <c r="CA89" i="2"/>
  <c r="CB89" i="2" s="1"/>
  <c r="BZ89" i="2"/>
  <c r="BY89" i="2"/>
  <c r="BX89" i="2"/>
  <c r="BW89" i="2"/>
  <c r="BV89" i="2"/>
  <c r="BU89" i="2"/>
  <c r="BT89" i="2"/>
  <c r="BS89" i="2"/>
  <c r="BR89" i="2"/>
  <c r="BQ89" i="2"/>
  <c r="BP89" i="2"/>
  <c r="BN89" i="2"/>
  <c r="BO89" i="2" s="1"/>
  <c r="BM89" i="2"/>
  <c r="BL89" i="2"/>
  <c r="BK89" i="2"/>
  <c r="BJ89" i="2"/>
  <c r="BI89" i="2"/>
  <c r="BH89" i="2"/>
  <c r="BG89" i="2"/>
  <c r="BF89" i="2"/>
  <c r="BE89" i="2"/>
  <c r="BD89" i="2"/>
  <c r="BC89" i="2"/>
  <c r="BA89" i="2"/>
  <c r="BB89" i="2" s="1"/>
  <c r="AZ89" i="2"/>
  <c r="AY89" i="2"/>
  <c r="AX89" i="2"/>
  <c r="AW89" i="2"/>
  <c r="AV89" i="2"/>
  <c r="AU89" i="2"/>
  <c r="AT89" i="2"/>
  <c r="AS89" i="2"/>
  <c r="AR89" i="2"/>
  <c r="AQ89" i="2"/>
  <c r="AP89" i="2"/>
  <c r="AN89" i="2"/>
  <c r="AO89" i="2" s="1"/>
  <c r="AM89" i="2"/>
  <c r="AL89" i="2"/>
  <c r="AK89" i="2"/>
  <c r="AJ89" i="2"/>
  <c r="AI89" i="2"/>
  <c r="AH89" i="2"/>
  <c r="AG89" i="2"/>
  <c r="AF89" i="2"/>
  <c r="AE89" i="2"/>
  <c r="AD89" i="2"/>
  <c r="AC89" i="2"/>
  <c r="AA89" i="2"/>
  <c r="AB89" i="2" s="1"/>
  <c r="Z89" i="2"/>
  <c r="Y89" i="2"/>
  <c r="X89" i="2"/>
  <c r="W89" i="2"/>
  <c r="V89" i="2"/>
  <c r="U89" i="2"/>
  <c r="T89" i="2"/>
  <c r="S89" i="2"/>
  <c r="R89" i="2"/>
  <c r="Q89" i="2"/>
  <c r="P89" i="2"/>
  <c r="O89" i="2"/>
  <c r="N89" i="2"/>
  <c r="M89" i="2"/>
  <c r="L89" i="2"/>
  <c r="K89" i="2"/>
  <c r="J89" i="2"/>
  <c r="I89" i="2"/>
  <c r="H89" i="2"/>
  <c r="G89" i="2"/>
  <c r="F89" i="2"/>
  <c r="E89" i="2"/>
  <c r="D89" i="2"/>
  <c r="C89" i="2"/>
  <c r="FI88" i="2"/>
  <c r="FO88" i="2" s="1"/>
  <c r="FH88" i="2"/>
  <c r="FG88" i="2"/>
  <c r="FF88" i="2"/>
  <c r="FE88" i="2"/>
  <c r="FD88" i="2"/>
  <c r="FC88" i="2"/>
  <c r="FA88" i="2"/>
  <c r="FB88" i="2" s="1"/>
  <c r="EZ88" i="2"/>
  <c r="EY88" i="2"/>
  <c r="EX88" i="2"/>
  <c r="EW88" i="2"/>
  <c r="EV88" i="2"/>
  <c r="EU88" i="2"/>
  <c r="ET88" i="2"/>
  <c r="ES88" i="2"/>
  <c r="ER88" i="2"/>
  <c r="EQ88" i="2"/>
  <c r="EP88" i="2"/>
  <c r="EN88" i="2"/>
  <c r="EO88" i="2" s="1"/>
  <c r="EM88" i="2"/>
  <c r="EL88" i="2"/>
  <c r="EK88" i="2"/>
  <c r="EJ88" i="2"/>
  <c r="EI88" i="2"/>
  <c r="EH88" i="2"/>
  <c r="EG88" i="2"/>
  <c r="EF88" i="2"/>
  <c r="EE88" i="2"/>
  <c r="ED88" i="2"/>
  <c r="EC88" i="2"/>
  <c r="EA88" i="2"/>
  <c r="EB88" i="2" s="1"/>
  <c r="DZ88" i="2"/>
  <c r="DY88" i="2"/>
  <c r="DX88" i="2"/>
  <c r="DW88" i="2"/>
  <c r="DV88" i="2"/>
  <c r="DU88" i="2"/>
  <c r="DT88" i="2"/>
  <c r="DS88" i="2"/>
  <c r="DR88" i="2"/>
  <c r="DQ88" i="2"/>
  <c r="DP88" i="2"/>
  <c r="DN88" i="2"/>
  <c r="DO88" i="2" s="1"/>
  <c r="DM88" i="2"/>
  <c r="DL88" i="2"/>
  <c r="DK88" i="2"/>
  <c r="DJ88" i="2"/>
  <c r="DI88" i="2"/>
  <c r="DH88" i="2"/>
  <c r="DG88" i="2"/>
  <c r="DF88" i="2"/>
  <c r="DE88" i="2"/>
  <c r="DD88" i="2"/>
  <c r="DC88" i="2"/>
  <c r="DB88" i="2"/>
  <c r="DA88" i="2"/>
  <c r="CZ88" i="2"/>
  <c r="CY88" i="2"/>
  <c r="CX88" i="2"/>
  <c r="CW88" i="2"/>
  <c r="CV88" i="2"/>
  <c r="CU88" i="2"/>
  <c r="CT88" i="2"/>
  <c r="CS88" i="2"/>
  <c r="CR88" i="2"/>
  <c r="CQ88" i="2"/>
  <c r="CP88" i="2"/>
  <c r="CN88" i="2"/>
  <c r="CO88" i="2" s="1"/>
  <c r="CM88" i="2"/>
  <c r="CL88" i="2"/>
  <c r="CK88" i="2"/>
  <c r="CJ88" i="2"/>
  <c r="CI88" i="2"/>
  <c r="CH88" i="2"/>
  <c r="CG88" i="2"/>
  <c r="CF88" i="2"/>
  <c r="CE88" i="2"/>
  <c r="CD88" i="2"/>
  <c r="CC88" i="2"/>
  <c r="CA88" i="2"/>
  <c r="CB88" i="2" s="1"/>
  <c r="BZ88" i="2"/>
  <c r="BY88" i="2"/>
  <c r="BX88" i="2"/>
  <c r="BW88" i="2"/>
  <c r="BV88" i="2"/>
  <c r="BU88" i="2"/>
  <c r="BT88" i="2"/>
  <c r="BS88" i="2"/>
  <c r="BR88" i="2"/>
  <c r="BQ88" i="2"/>
  <c r="BP88" i="2"/>
  <c r="BN88" i="2"/>
  <c r="BO88" i="2" s="1"/>
  <c r="BM88" i="2"/>
  <c r="BL88" i="2"/>
  <c r="BK88" i="2"/>
  <c r="BJ88" i="2"/>
  <c r="BI88" i="2"/>
  <c r="BH88" i="2"/>
  <c r="BG88" i="2"/>
  <c r="BF88" i="2"/>
  <c r="BE88" i="2"/>
  <c r="BD88" i="2"/>
  <c r="BC88" i="2"/>
  <c r="BA88" i="2"/>
  <c r="BB88" i="2" s="1"/>
  <c r="AZ88" i="2"/>
  <c r="AY88" i="2"/>
  <c r="AX88" i="2"/>
  <c r="AW88" i="2"/>
  <c r="AV88" i="2"/>
  <c r="AU88" i="2"/>
  <c r="AT88" i="2"/>
  <c r="AS88" i="2"/>
  <c r="AR88" i="2"/>
  <c r="AQ88" i="2"/>
  <c r="AP88" i="2"/>
  <c r="AN88" i="2"/>
  <c r="AO88" i="2" s="1"/>
  <c r="AM88" i="2"/>
  <c r="AL88" i="2"/>
  <c r="AK88" i="2"/>
  <c r="AJ88" i="2"/>
  <c r="AI88" i="2"/>
  <c r="AH88" i="2"/>
  <c r="AG88" i="2"/>
  <c r="AF88" i="2"/>
  <c r="AE88" i="2"/>
  <c r="AD88" i="2"/>
  <c r="AC88" i="2"/>
  <c r="AB88" i="2"/>
  <c r="AA88" i="2"/>
  <c r="Z88" i="2"/>
  <c r="Y88" i="2"/>
  <c r="X88" i="2"/>
  <c r="W88" i="2"/>
  <c r="V88" i="2"/>
  <c r="U88" i="2"/>
  <c r="T88" i="2"/>
  <c r="S88" i="2"/>
  <c r="R88" i="2"/>
  <c r="Q88" i="2"/>
  <c r="P88" i="2"/>
  <c r="N88" i="2"/>
  <c r="O88" i="2" s="1"/>
  <c r="M88" i="2"/>
  <c r="L88" i="2"/>
  <c r="K88" i="2"/>
  <c r="J88" i="2"/>
  <c r="I88" i="2"/>
  <c r="H88" i="2"/>
  <c r="G88" i="2"/>
  <c r="F88" i="2"/>
  <c r="E88" i="2"/>
  <c r="D88" i="2"/>
  <c r="C88" i="2"/>
  <c r="FI87" i="2"/>
  <c r="FO87" i="2" s="1"/>
  <c r="FH87" i="2"/>
  <c r="FH93" i="2" s="1"/>
  <c r="FG87" i="2"/>
  <c r="FG93" i="2" s="1"/>
  <c r="FF87" i="2"/>
  <c r="FF93" i="2" s="1"/>
  <c r="FE87" i="2"/>
  <c r="FD87" i="2"/>
  <c r="FC87" i="2"/>
  <c r="FC93" i="2" s="1"/>
  <c r="FB87" i="2"/>
  <c r="FA87" i="2"/>
  <c r="EZ87" i="2"/>
  <c r="EZ93" i="2" s="1"/>
  <c r="EY87" i="2"/>
  <c r="EY93" i="2" s="1"/>
  <c r="EX87" i="2"/>
  <c r="EW87" i="2"/>
  <c r="EW93" i="2" s="1"/>
  <c r="EV87" i="2"/>
  <c r="EV93" i="2" s="1"/>
  <c r="EU87" i="2"/>
  <c r="ET87" i="2"/>
  <c r="ES87" i="2"/>
  <c r="ER87" i="2"/>
  <c r="EQ87" i="2"/>
  <c r="EQ93" i="2" s="1"/>
  <c r="EP87" i="2"/>
  <c r="EP93" i="2" s="1"/>
  <c r="EN87" i="2"/>
  <c r="EM87" i="2"/>
  <c r="EM93" i="2" s="1"/>
  <c r="EL87" i="2"/>
  <c r="EK87" i="2"/>
  <c r="EK93" i="2" s="1"/>
  <c r="EJ87" i="2"/>
  <c r="EJ93" i="2" s="1"/>
  <c r="EI87" i="2"/>
  <c r="EH87" i="2"/>
  <c r="EG87" i="2"/>
  <c r="EF87" i="2"/>
  <c r="EE87" i="2"/>
  <c r="EE93" i="2" s="1"/>
  <c r="ED87" i="2"/>
  <c r="ED93" i="2" s="1"/>
  <c r="EC87" i="2"/>
  <c r="EC93" i="2" s="1"/>
  <c r="EA87" i="2"/>
  <c r="EB87" i="2" s="1"/>
  <c r="DZ87" i="2"/>
  <c r="DY87" i="2"/>
  <c r="DY93" i="2" s="1"/>
  <c r="DX87" i="2"/>
  <c r="DX93" i="2" s="1"/>
  <c r="DW87" i="2"/>
  <c r="DV87" i="2"/>
  <c r="DU87" i="2"/>
  <c r="DT87" i="2"/>
  <c r="DT93" i="2" s="1"/>
  <c r="DS87" i="2"/>
  <c r="DS93" i="2" s="1"/>
  <c r="DR87" i="2"/>
  <c r="DR93" i="2" s="1"/>
  <c r="DQ87" i="2"/>
  <c r="DQ93" i="2" s="1"/>
  <c r="DP87" i="2"/>
  <c r="DO87" i="2"/>
  <c r="DN87" i="2"/>
  <c r="DM87" i="2"/>
  <c r="DM93" i="2" s="1"/>
  <c r="DL87" i="2"/>
  <c r="DL93" i="2" s="1"/>
  <c r="DK87" i="2"/>
  <c r="DJ87" i="2"/>
  <c r="DI87" i="2"/>
  <c r="DH87" i="2"/>
  <c r="DG87" i="2"/>
  <c r="DG93" i="2" s="1"/>
  <c r="DF87" i="2"/>
  <c r="DF93" i="2" s="1"/>
  <c r="DE87" i="2"/>
  <c r="DE93" i="2" s="1"/>
  <c r="DD87" i="2"/>
  <c r="DC87" i="2"/>
  <c r="DC93" i="2" s="1"/>
  <c r="DA87" i="2"/>
  <c r="DB87" i="2" s="1"/>
  <c r="DB93" i="2" s="1"/>
  <c r="CZ87" i="2"/>
  <c r="CZ93" i="2" s="1"/>
  <c r="CY87" i="2"/>
  <c r="CX87" i="2"/>
  <c r="CX93" i="2" s="1"/>
  <c r="CW87" i="2"/>
  <c r="CV87" i="2"/>
  <c r="CV93" i="2" s="1"/>
  <c r="CU87" i="2"/>
  <c r="CT87" i="2"/>
  <c r="CT93" i="2" s="1"/>
  <c r="CS87" i="2"/>
  <c r="CS93" i="2" s="1"/>
  <c r="CR87" i="2"/>
  <c r="CR93" i="2" s="1"/>
  <c r="CQ87" i="2"/>
  <c r="CP87" i="2"/>
  <c r="CN87" i="2"/>
  <c r="CN93" i="2" s="1"/>
  <c r="CM87" i="2"/>
  <c r="CM93" i="2" s="1"/>
  <c r="CL87" i="2"/>
  <c r="CK87" i="2"/>
  <c r="CJ87" i="2"/>
  <c r="CJ93" i="2" s="1"/>
  <c r="CI87" i="2"/>
  <c r="CH87" i="2"/>
  <c r="CG87" i="2"/>
  <c r="CG93" i="2" s="1"/>
  <c r="CF87" i="2"/>
  <c r="CF93" i="2" s="1"/>
  <c r="CE87" i="2"/>
  <c r="CE93" i="2" s="1"/>
  <c r="CD87" i="2"/>
  <c r="CC87" i="2"/>
  <c r="CC93" i="2" s="1"/>
  <c r="CA87" i="2"/>
  <c r="BZ87" i="2"/>
  <c r="BY87" i="2"/>
  <c r="BX87" i="2"/>
  <c r="BX93" i="2" s="1"/>
  <c r="BW87" i="2"/>
  <c r="BV87" i="2"/>
  <c r="BU87" i="2"/>
  <c r="BU93" i="2" s="1"/>
  <c r="BT87" i="2"/>
  <c r="BT93" i="2" s="1"/>
  <c r="BS87" i="2"/>
  <c r="BS93" i="2" s="1"/>
  <c r="BR87" i="2"/>
  <c r="BQ87" i="2"/>
  <c r="BP87" i="2"/>
  <c r="BP93" i="2" s="1"/>
  <c r="BO87" i="2"/>
  <c r="BN87" i="2"/>
  <c r="BM87" i="2"/>
  <c r="BL87" i="2"/>
  <c r="BL93" i="2" s="1"/>
  <c r="BK87" i="2"/>
  <c r="BJ87" i="2"/>
  <c r="BI87" i="2"/>
  <c r="BI93" i="2" s="1"/>
  <c r="BH87" i="2"/>
  <c r="BH93" i="2" s="1"/>
  <c r="BG87" i="2"/>
  <c r="BG93" i="2" s="1"/>
  <c r="BF87" i="2"/>
  <c r="BE87" i="2"/>
  <c r="BD87" i="2"/>
  <c r="BD93" i="2" s="1"/>
  <c r="BC87" i="2"/>
  <c r="BC93" i="2" s="1"/>
  <c r="BA87" i="2"/>
  <c r="BA93" i="2" s="1"/>
  <c r="AZ87" i="2"/>
  <c r="AZ93" i="2" s="1"/>
  <c r="AY87" i="2"/>
  <c r="AX87" i="2"/>
  <c r="AW87" i="2"/>
  <c r="AW93" i="2" s="1"/>
  <c r="AV87" i="2"/>
  <c r="AV93" i="2" s="1"/>
  <c r="AU87" i="2"/>
  <c r="AT87" i="2"/>
  <c r="AS87" i="2"/>
  <c r="AS93" i="2" s="1"/>
  <c r="AR87" i="2"/>
  <c r="AR93" i="2" s="1"/>
  <c r="AQ87" i="2"/>
  <c r="AQ93" i="2" s="1"/>
  <c r="AP87" i="2"/>
  <c r="AN87" i="2"/>
  <c r="AO87" i="2" s="1"/>
  <c r="AM87" i="2"/>
  <c r="AL87" i="2"/>
  <c r="AK87" i="2"/>
  <c r="AK93" i="2" s="1"/>
  <c r="AJ87" i="2"/>
  <c r="AJ93" i="2" s="1"/>
  <c r="AI87" i="2"/>
  <c r="AI93" i="2" s="1"/>
  <c r="AH87" i="2"/>
  <c r="AG87" i="2"/>
  <c r="AG93" i="2" s="1"/>
  <c r="AF87" i="2"/>
  <c r="AF93" i="2" s="1"/>
  <c r="AE87" i="2"/>
  <c r="AE93" i="2" s="1"/>
  <c r="AD87" i="2"/>
  <c r="AD93" i="2" s="1"/>
  <c r="AC87" i="2"/>
  <c r="AC93" i="2" s="1"/>
  <c r="AA87" i="2"/>
  <c r="AB87" i="2" s="1"/>
  <c r="Z87" i="2"/>
  <c r="Y87" i="2"/>
  <c r="Y93" i="2" s="1"/>
  <c r="X87" i="2"/>
  <c r="X93" i="2" s="1"/>
  <c r="W87" i="2"/>
  <c r="W93" i="2" s="1"/>
  <c r="V87" i="2"/>
  <c r="U87" i="2"/>
  <c r="U93" i="2" s="1"/>
  <c r="T87" i="2"/>
  <c r="T93" i="2" s="1"/>
  <c r="S87" i="2"/>
  <c r="S93" i="2" s="1"/>
  <c r="R87" i="2"/>
  <c r="R93" i="2" s="1"/>
  <c r="Q87" i="2"/>
  <c r="Q93" i="2" s="1"/>
  <c r="P87" i="2"/>
  <c r="P93" i="2" s="1"/>
  <c r="N87" i="2"/>
  <c r="M87" i="2"/>
  <c r="L87" i="2"/>
  <c r="L93" i="2" s="1"/>
  <c r="K87" i="2"/>
  <c r="J87" i="2"/>
  <c r="I87" i="2"/>
  <c r="I93" i="2" s="1"/>
  <c r="H87" i="2"/>
  <c r="H93" i="2" s="1"/>
  <c r="G87" i="2"/>
  <c r="F87" i="2"/>
  <c r="F93" i="2" s="1"/>
  <c r="E87" i="2"/>
  <c r="E93" i="2" s="1"/>
  <c r="D87" i="2"/>
  <c r="D93" i="2" s="1"/>
  <c r="C87" i="2"/>
  <c r="FN78" i="2"/>
  <c r="FM78" i="2"/>
  <c r="FL78" i="2"/>
  <c r="FK78" i="2"/>
  <c r="FJ78" i="2"/>
  <c r="FI77" i="2"/>
  <c r="FO77" i="2" s="1"/>
  <c r="FH77" i="2"/>
  <c r="FG77" i="2"/>
  <c r="FF77" i="2"/>
  <c r="FE77" i="2"/>
  <c r="FD77" i="2"/>
  <c r="FC77" i="2"/>
  <c r="FA77" i="2"/>
  <c r="FB77" i="2" s="1"/>
  <c r="EZ77" i="2"/>
  <c r="EY77" i="2"/>
  <c r="EX77" i="2"/>
  <c r="EW77" i="2"/>
  <c r="EV77" i="2"/>
  <c r="EU77" i="2"/>
  <c r="ET77" i="2"/>
  <c r="ES77" i="2"/>
  <c r="ER77" i="2"/>
  <c r="EQ77" i="2"/>
  <c r="EP77" i="2"/>
  <c r="EN77" i="2"/>
  <c r="EO77" i="2" s="1"/>
  <c r="EM77" i="2"/>
  <c r="EL77" i="2"/>
  <c r="EK77" i="2"/>
  <c r="EJ77" i="2"/>
  <c r="EI77" i="2"/>
  <c r="EH77" i="2"/>
  <c r="EG77" i="2"/>
  <c r="EF77" i="2"/>
  <c r="EE77" i="2"/>
  <c r="ED77" i="2"/>
  <c r="EC77" i="2"/>
  <c r="EA77" i="2"/>
  <c r="EB77" i="2" s="1"/>
  <c r="DZ77" i="2"/>
  <c r="DY77" i="2"/>
  <c r="DX77" i="2"/>
  <c r="DW77" i="2"/>
  <c r="DV77" i="2"/>
  <c r="DU77" i="2"/>
  <c r="DT77" i="2"/>
  <c r="DS77" i="2"/>
  <c r="DR77" i="2"/>
  <c r="DQ77" i="2"/>
  <c r="DP77" i="2"/>
  <c r="DO77" i="2"/>
  <c r="DN77" i="2"/>
  <c r="DM77" i="2"/>
  <c r="DL77" i="2"/>
  <c r="DK77" i="2"/>
  <c r="DJ77" i="2"/>
  <c r="DI77" i="2"/>
  <c r="DH77" i="2"/>
  <c r="DG77" i="2"/>
  <c r="DF77" i="2"/>
  <c r="DE77" i="2"/>
  <c r="DD77" i="2"/>
  <c r="DC77" i="2"/>
  <c r="DA77" i="2"/>
  <c r="DB77" i="2" s="1"/>
  <c r="CZ77" i="2"/>
  <c r="CY77" i="2"/>
  <c r="CX77" i="2"/>
  <c r="CW77" i="2"/>
  <c r="CV77" i="2"/>
  <c r="CU77" i="2"/>
  <c r="CT77" i="2"/>
  <c r="CS77" i="2"/>
  <c r="CR77" i="2"/>
  <c r="CQ77" i="2"/>
  <c r="CP77" i="2"/>
  <c r="CN77" i="2"/>
  <c r="CO77" i="2" s="1"/>
  <c r="CM77" i="2"/>
  <c r="CL77" i="2"/>
  <c r="CK77" i="2"/>
  <c r="CJ77" i="2"/>
  <c r="CI77" i="2"/>
  <c r="CH77" i="2"/>
  <c r="CG77" i="2"/>
  <c r="CF77" i="2"/>
  <c r="CE77" i="2"/>
  <c r="CD77" i="2"/>
  <c r="CC77" i="2"/>
  <c r="CA77" i="2"/>
  <c r="CB77" i="2" s="1"/>
  <c r="BZ77" i="2"/>
  <c r="BY77" i="2"/>
  <c r="BX77" i="2"/>
  <c r="BW77" i="2"/>
  <c r="BV77" i="2"/>
  <c r="BU77" i="2"/>
  <c r="BT77" i="2"/>
  <c r="BS77" i="2"/>
  <c r="BR77" i="2"/>
  <c r="BQ77" i="2"/>
  <c r="BP77" i="2"/>
  <c r="BN77" i="2"/>
  <c r="BO77" i="2" s="1"/>
  <c r="BM77" i="2"/>
  <c r="BL77" i="2"/>
  <c r="BK77" i="2"/>
  <c r="BJ77" i="2"/>
  <c r="BI77" i="2"/>
  <c r="BH77" i="2"/>
  <c r="BG77" i="2"/>
  <c r="BF77" i="2"/>
  <c r="BE77" i="2"/>
  <c r="BD77" i="2"/>
  <c r="BC77" i="2"/>
  <c r="BB77" i="2"/>
  <c r="BA77" i="2"/>
  <c r="AZ77" i="2"/>
  <c r="AY77" i="2"/>
  <c r="AX77" i="2"/>
  <c r="AW77" i="2"/>
  <c r="AV77" i="2"/>
  <c r="AU77" i="2"/>
  <c r="AT77" i="2"/>
  <c r="AS77" i="2"/>
  <c r="AR77" i="2"/>
  <c r="AQ77" i="2"/>
  <c r="AP77" i="2"/>
  <c r="AN77" i="2"/>
  <c r="AO77" i="2" s="1"/>
  <c r="AM77" i="2"/>
  <c r="AL77" i="2"/>
  <c r="AK77" i="2"/>
  <c r="AJ77" i="2"/>
  <c r="AI77" i="2"/>
  <c r="AH77" i="2"/>
  <c r="AG77" i="2"/>
  <c r="AF77" i="2"/>
  <c r="AE77" i="2"/>
  <c r="AD77" i="2"/>
  <c r="AC77" i="2"/>
  <c r="AA77" i="2"/>
  <c r="AB77" i="2" s="1"/>
  <c r="Z77" i="2"/>
  <c r="Y77" i="2"/>
  <c r="X77" i="2"/>
  <c r="W77" i="2"/>
  <c r="V77" i="2"/>
  <c r="U77" i="2"/>
  <c r="T77" i="2"/>
  <c r="S77" i="2"/>
  <c r="R77" i="2"/>
  <c r="Q77" i="2"/>
  <c r="P77" i="2"/>
  <c r="N77" i="2"/>
  <c r="O77" i="2" s="1"/>
  <c r="M77" i="2"/>
  <c r="L77" i="2"/>
  <c r="K77" i="2"/>
  <c r="J77" i="2"/>
  <c r="I77" i="2"/>
  <c r="H77" i="2"/>
  <c r="G77" i="2"/>
  <c r="F77" i="2"/>
  <c r="E77" i="2"/>
  <c r="D77" i="2"/>
  <c r="C77" i="2"/>
  <c r="FI76" i="2"/>
  <c r="FO76" i="2" s="1"/>
  <c r="FH76" i="2"/>
  <c r="FG76" i="2"/>
  <c r="FF76" i="2"/>
  <c r="FE76" i="2"/>
  <c r="FD76" i="2"/>
  <c r="FC76" i="2"/>
  <c r="FA76" i="2"/>
  <c r="FB76" i="2" s="1"/>
  <c r="EZ76" i="2"/>
  <c r="EY76" i="2"/>
  <c r="EX76" i="2"/>
  <c r="EW76" i="2"/>
  <c r="EV76" i="2"/>
  <c r="EU76" i="2"/>
  <c r="ET76" i="2"/>
  <c r="ES76" i="2"/>
  <c r="ER76" i="2"/>
  <c r="EQ76" i="2"/>
  <c r="EP76" i="2"/>
  <c r="EN76" i="2"/>
  <c r="EO76" i="2" s="1"/>
  <c r="EM76" i="2"/>
  <c r="EL76" i="2"/>
  <c r="EK76" i="2"/>
  <c r="EJ76" i="2"/>
  <c r="EI76" i="2"/>
  <c r="EH76" i="2"/>
  <c r="EG76" i="2"/>
  <c r="EF76" i="2"/>
  <c r="EE76" i="2"/>
  <c r="ED76" i="2"/>
  <c r="EC76" i="2"/>
  <c r="EB76" i="2"/>
  <c r="EA76" i="2"/>
  <c r="DZ76" i="2"/>
  <c r="DY76" i="2"/>
  <c r="DX76" i="2"/>
  <c r="DW76" i="2"/>
  <c r="DV76" i="2"/>
  <c r="DU76" i="2"/>
  <c r="DT76" i="2"/>
  <c r="DS76" i="2"/>
  <c r="DR76" i="2"/>
  <c r="DQ76" i="2"/>
  <c r="DP76" i="2"/>
  <c r="DN76" i="2"/>
  <c r="DO76" i="2" s="1"/>
  <c r="DM76" i="2"/>
  <c r="DL76" i="2"/>
  <c r="DK76" i="2"/>
  <c r="DJ76" i="2"/>
  <c r="DI76" i="2"/>
  <c r="DH76" i="2"/>
  <c r="DG76" i="2"/>
  <c r="DF76" i="2"/>
  <c r="DE76" i="2"/>
  <c r="DD76" i="2"/>
  <c r="DC76" i="2"/>
  <c r="DA76" i="2"/>
  <c r="DB76" i="2" s="1"/>
  <c r="CZ76" i="2"/>
  <c r="CY76" i="2"/>
  <c r="CX76" i="2"/>
  <c r="CW76" i="2"/>
  <c r="CV76" i="2"/>
  <c r="CU76" i="2"/>
  <c r="CT76" i="2"/>
  <c r="CS76" i="2"/>
  <c r="CR76" i="2"/>
  <c r="CQ76" i="2"/>
  <c r="CP76" i="2"/>
  <c r="CO76" i="2"/>
  <c r="CN76" i="2"/>
  <c r="CM76" i="2"/>
  <c r="CL76" i="2"/>
  <c r="CK76" i="2"/>
  <c r="CJ76" i="2"/>
  <c r="CI76" i="2"/>
  <c r="CH76" i="2"/>
  <c r="CG76" i="2"/>
  <c r="CF76" i="2"/>
  <c r="CE76" i="2"/>
  <c r="CD76" i="2"/>
  <c r="CC76" i="2"/>
  <c r="CA76" i="2"/>
  <c r="CB76" i="2" s="1"/>
  <c r="BZ76" i="2"/>
  <c r="BY76" i="2"/>
  <c r="BX76" i="2"/>
  <c r="BW76" i="2"/>
  <c r="BV76" i="2"/>
  <c r="BU76" i="2"/>
  <c r="BT76" i="2"/>
  <c r="BS76" i="2"/>
  <c r="BR76" i="2"/>
  <c r="BQ76" i="2"/>
  <c r="BP76" i="2"/>
  <c r="BN76" i="2"/>
  <c r="BO76" i="2" s="1"/>
  <c r="BM76" i="2"/>
  <c r="BL76" i="2"/>
  <c r="BK76" i="2"/>
  <c r="BJ76" i="2"/>
  <c r="BI76" i="2"/>
  <c r="BH76" i="2"/>
  <c r="BG76" i="2"/>
  <c r="BF76" i="2"/>
  <c r="BE76" i="2"/>
  <c r="BD76" i="2"/>
  <c r="BC76" i="2"/>
  <c r="BA76" i="2"/>
  <c r="BB76" i="2" s="1"/>
  <c r="AZ76" i="2"/>
  <c r="AY76" i="2"/>
  <c r="AX76" i="2"/>
  <c r="AW76" i="2"/>
  <c r="AV76" i="2"/>
  <c r="AU76" i="2"/>
  <c r="AT76" i="2"/>
  <c r="AS76" i="2"/>
  <c r="AR76" i="2"/>
  <c r="AQ76" i="2"/>
  <c r="AP76" i="2"/>
  <c r="AN76" i="2"/>
  <c r="AO76" i="2" s="1"/>
  <c r="AM76" i="2"/>
  <c r="AL76" i="2"/>
  <c r="AK76" i="2"/>
  <c r="AJ76" i="2"/>
  <c r="AI76" i="2"/>
  <c r="AH76" i="2"/>
  <c r="AG76" i="2"/>
  <c r="AF76" i="2"/>
  <c r="AE76" i="2"/>
  <c r="AD76" i="2"/>
  <c r="AC76" i="2"/>
  <c r="AA76" i="2"/>
  <c r="AB76" i="2" s="1"/>
  <c r="Z76" i="2"/>
  <c r="Y76" i="2"/>
  <c r="X76" i="2"/>
  <c r="W76" i="2"/>
  <c r="V76" i="2"/>
  <c r="U76" i="2"/>
  <c r="T76" i="2"/>
  <c r="S76" i="2"/>
  <c r="R76" i="2"/>
  <c r="Q76" i="2"/>
  <c r="P76" i="2"/>
  <c r="N76" i="2"/>
  <c r="O76" i="2" s="1"/>
  <c r="M76" i="2"/>
  <c r="L76" i="2"/>
  <c r="K76" i="2"/>
  <c r="J76" i="2"/>
  <c r="I76" i="2"/>
  <c r="H76" i="2"/>
  <c r="G76" i="2"/>
  <c r="F76" i="2"/>
  <c r="E76" i="2"/>
  <c r="D76" i="2"/>
  <c r="C76" i="2"/>
  <c r="FI75" i="2"/>
  <c r="FO75" i="2" s="1"/>
  <c r="FH75" i="2"/>
  <c r="FG75" i="2"/>
  <c r="FF75" i="2"/>
  <c r="FE75" i="2"/>
  <c r="FD75" i="2"/>
  <c r="FC75" i="2"/>
  <c r="FA75" i="2"/>
  <c r="FB75" i="2" s="1"/>
  <c r="EZ75" i="2"/>
  <c r="EY75" i="2"/>
  <c r="EX75" i="2"/>
  <c r="EW75" i="2"/>
  <c r="EV75" i="2"/>
  <c r="EU75" i="2"/>
  <c r="ET75" i="2"/>
  <c r="ES75" i="2"/>
  <c r="ER75" i="2"/>
  <c r="EQ75" i="2"/>
  <c r="EP75" i="2"/>
  <c r="EN75" i="2"/>
  <c r="EO75" i="2" s="1"/>
  <c r="EM75" i="2"/>
  <c r="EL75" i="2"/>
  <c r="EK75" i="2"/>
  <c r="EJ75" i="2"/>
  <c r="EI75" i="2"/>
  <c r="EH75" i="2"/>
  <c r="EG75" i="2"/>
  <c r="EF75" i="2"/>
  <c r="EE75" i="2"/>
  <c r="ED75" i="2"/>
  <c r="EC75" i="2"/>
  <c r="EA75" i="2"/>
  <c r="EB75" i="2" s="1"/>
  <c r="DZ75" i="2"/>
  <c r="DY75" i="2"/>
  <c r="DX75" i="2"/>
  <c r="DW75" i="2"/>
  <c r="DV75" i="2"/>
  <c r="DU75" i="2"/>
  <c r="DT75" i="2"/>
  <c r="DS75" i="2"/>
  <c r="DR75" i="2"/>
  <c r="DQ75" i="2"/>
  <c r="DP75" i="2"/>
  <c r="DN75" i="2"/>
  <c r="DO75" i="2" s="1"/>
  <c r="DM75" i="2"/>
  <c r="DL75" i="2"/>
  <c r="DK75" i="2"/>
  <c r="DJ75" i="2"/>
  <c r="DI75" i="2"/>
  <c r="DH75" i="2"/>
  <c r="DG75" i="2"/>
  <c r="DF75" i="2"/>
  <c r="DE75" i="2"/>
  <c r="DD75" i="2"/>
  <c r="DC75" i="2"/>
  <c r="DB75" i="2"/>
  <c r="DA75" i="2"/>
  <c r="CZ75" i="2"/>
  <c r="CY75" i="2"/>
  <c r="CX75" i="2"/>
  <c r="CW75" i="2"/>
  <c r="CV75" i="2"/>
  <c r="CU75" i="2"/>
  <c r="CT75" i="2"/>
  <c r="CS75" i="2"/>
  <c r="CR75" i="2"/>
  <c r="CQ75" i="2"/>
  <c r="CP75" i="2"/>
  <c r="CN75" i="2"/>
  <c r="CO75" i="2" s="1"/>
  <c r="CM75" i="2"/>
  <c r="CL75" i="2"/>
  <c r="CK75" i="2"/>
  <c r="CJ75" i="2"/>
  <c r="CI75" i="2"/>
  <c r="CH75" i="2"/>
  <c r="CG75" i="2"/>
  <c r="CF75" i="2"/>
  <c r="CE75" i="2"/>
  <c r="CD75" i="2"/>
  <c r="CC75" i="2"/>
  <c r="CA75" i="2"/>
  <c r="CB75" i="2" s="1"/>
  <c r="BZ75" i="2"/>
  <c r="BY75" i="2"/>
  <c r="BX75" i="2"/>
  <c r="BW75" i="2"/>
  <c r="BV75" i="2"/>
  <c r="BU75" i="2"/>
  <c r="BT75" i="2"/>
  <c r="BS75" i="2"/>
  <c r="BR75" i="2"/>
  <c r="BQ75" i="2"/>
  <c r="BP75" i="2"/>
  <c r="BN75" i="2"/>
  <c r="BO75" i="2" s="1"/>
  <c r="BM75" i="2"/>
  <c r="BL75" i="2"/>
  <c r="BK75" i="2"/>
  <c r="BJ75" i="2"/>
  <c r="BI75" i="2"/>
  <c r="BH75" i="2"/>
  <c r="BG75" i="2"/>
  <c r="BF75" i="2"/>
  <c r="BE75" i="2"/>
  <c r="BD75" i="2"/>
  <c r="BC75" i="2"/>
  <c r="BA75" i="2"/>
  <c r="BB75" i="2" s="1"/>
  <c r="AZ75" i="2"/>
  <c r="AY75" i="2"/>
  <c r="AX75" i="2"/>
  <c r="AW75" i="2"/>
  <c r="AV75" i="2"/>
  <c r="AU75" i="2"/>
  <c r="AT75" i="2"/>
  <c r="AS75" i="2"/>
  <c r="AR75" i="2"/>
  <c r="AQ75" i="2"/>
  <c r="AP75" i="2"/>
  <c r="AN75" i="2"/>
  <c r="AO75" i="2" s="1"/>
  <c r="AM75" i="2"/>
  <c r="AL75" i="2"/>
  <c r="AK75" i="2"/>
  <c r="AJ75" i="2"/>
  <c r="AI75" i="2"/>
  <c r="AH75" i="2"/>
  <c r="AG75" i="2"/>
  <c r="AF75" i="2"/>
  <c r="AE75" i="2"/>
  <c r="AD75" i="2"/>
  <c r="AC75" i="2"/>
  <c r="AA75" i="2"/>
  <c r="AB75" i="2" s="1"/>
  <c r="Z75" i="2"/>
  <c r="Y75" i="2"/>
  <c r="X75" i="2"/>
  <c r="W75" i="2"/>
  <c r="V75" i="2"/>
  <c r="U75" i="2"/>
  <c r="T75" i="2"/>
  <c r="S75" i="2"/>
  <c r="R75" i="2"/>
  <c r="Q75" i="2"/>
  <c r="P75" i="2"/>
  <c r="O75" i="2"/>
  <c r="N75" i="2"/>
  <c r="M75" i="2"/>
  <c r="L75" i="2"/>
  <c r="K75" i="2"/>
  <c r="J75" i="2"/>
  <c r="I75" i="2"/>
  <c r="H75" i="2"/>
  <c r="G75" i="2"/>
  <c r="F75" i="2"/>
  <c r="E75" i="2"/>
  <c r="D75" i="2"/>
  <c r="C75" i="2"/>
  <c r="FI74" i="2"/>
  <c r="FO74" i="2" s="1"/>
  <c r="FH74" i="2"/>
  <c r="FG74" i="2"/>
  <c r="FF74" i="2"/>
  <c r="FE74" i="2"/>
  <c r="FD74" i="2"/>
  <c r="FC74" i="2"/>
  <c r="FA74" i="2"/>
  <c r="FB74" i="2" s="1"/>
  <c r="EZ74" i="2"/>
  <c r="EY74" i="2"/>
  <c r="EX74" i="2"/>
  <c r="EW74" i="2"/>
  <c r="EV74" i="2"/>
  <c r="EU74" i="2"/>
  <c r="ET74" i="2"/>
  <c r="ES74" i="2"/>
  <c r="ER74" i="2"/>
  <c r="EQ74" i="2"/>
  <c r="EP74" i="2"/>
  <c r="EO74" i="2"/>
  <c r="EN74" i="2"/>
  <c r="EM74" i="2"/>
  <c r="EL74" i="2"/>
  <c r="EK74" i="2"/>
  <c r="EJ74" i="2"/>
  <c r="EI74" i="2"/>
  <c r="EH74" i="2"/>
  <c r="EG74" i="2"/>
  <c r="EF74" i="2"/>
  <c r="EE74" i="2"/>
  <c r="ED74" i="2"/>
  <c r="EC74" i="2"/>
  <c r="EA74" i="2"/>
  <c r="EB74" i="2" s="1"/>
  <c r="DZ74" i="2"/>
  <c r="DY74" i="2"/>
  <c r="DX74" i="2"/>
  <c r="DW74" i="2"/>
  <c r="DV74" i="2"/>
  <c r="DU74" i="2"/>
  <c r="DT74" i="2"/>
  <c r="DS74" i="2"/>
  <c r="DR74" i="2"/>
  <c r="DQ74" i="2"/>
  <c r="DP74" i="2"/>
  <c r="DN74" i="2"/>
  <c r="DO74" i="2" s="1"/>
  <c r="DM74" i="2"/>
  <c r="DL74" i="2"/>
  <c r="DK74" i="2"/>
  <c r="DJ74" i="2"/>
  <c r="DI74" i="2"/>
  <c r="DH74" i="2"/>
  <c r="DG74" i="2"/>
  <c r="DF74" i="2"/>
  <c r="DE74" i="2"/>
  <c r="DD74" i="2"/>
  <c r="DC74" i="2"/>
  <c r="DA74" i="2"/>
  <c r="DB74" i="2" s="1"/>
  <c r="CZ74" i="2"/>
  <c r="CY74" i="2"/>
  <c r="CX74" i="2"/>
  <c r="CW74" i="2"/>
  <c r="CV74" i="2"/>
  <c r="CU74" i="2"/>
  <c r="CT74" i="2"/>
  <c r="CS74" i="2"/>
  <c r="CR74" i="2"/>
  <c r="CQ74" i="2"/>
  <c r="CP74" i="2"/>
  <c r="CN74" i="2"/>
  <c r="CO74" i="2" s="1"/>
  <c r="CM74" i="2"/>
  <c r="CL74" i="2"/>
  <c r="CK74" i="2"/>
  <c r="CJ74" i="2"/>
  <c r="CI74" i="2"/>
  <c r="CH74" i="2"/>
  <c r="CG74" i="2"/>
  <c r="CF74" i="2"/>
  <c r="CE74" i="2"/>
  <c r="CD74" i="2"/>
  <c r="CC74" i="2"/>
  <c r="CA74" i="2"/>
  <c r="CB74" i="2" s="1"/>
  <c r="BZ74" i="2"/>
  <c r="BY74" i="2"/>
  <c r="BX74" i="2"/>
  <c r="BW74" i="2"/>
  <c r="BV74" i="2"/>
  <c r="BU74" i="2"/>
  <c r="BT74" i="2"/>
  <c r="BS74" i="2"/>
  <c r="BR74" i="2"/>
  <c r="BQ74" i="2"/>
  <c r="BP74" i="2"/>
  <c r="BN74" i="2"/>
  <c r="BO74" i="2" s="1"/>
  <c r="BM74" i="2"/>
  <c r="BL74" i="2"/>
  <c r="BK74" i="2"/>
  <c r="BJ74" i="2"/>
  <c r="BI74" i="2"/>
  <c r="BH74" i="2"/>
  <c r="BG74" i="2"/>
  <c r="BF74" i="2"/>
  <c r="BE74" i="2"/>
  <c r="BD74" i="2"/>
  <c r="BC74" i="2"/>
  <c r="BA74" i="2"/>
  <c r="BB74" i="2" s="1"/>
  <c r="AZ74" i="2"/>
  <c r="AY74" i="2"/>
  <c r="AX74" i="2"/>
  <c r="AW74" i="2"/>
  <c r="AV74" i="2"/>
  <c r="AU74" i="2"/>
  <c r="AT74" i="2"/>
  <c r="AS74" i="2"/>
  <c r="AR74" i="2"/>
  <c r="AQ74" i="2"/>
  <c r="AP74" i="2"/>
  <c r="AN74" i="2"/>
  <c r="AO74" i="2" s="1"/>
  <c r="AM74" i="2"/>
  <c r="AL74" i="2"/>
  <c r="AK74" i="2"/>
  <c r="AJ74" i="2"/>
  <c r="AI74" i="2"/>
  <c r="AH74" i="2"/>
  <c r="AG74" i="2"/>
  <c r="AF74" i="2"/>
  <c r="AE74" i="2"/>
  <c r="AD74" i="2"/>
  <c r="AC74" i="2"/>
  <c r="AA74" i="2"/>
  <c r="AB74" i="2" s="1"/>
  <c r="Z74" i="2"/>
  <c r="Y74" i="2"/>
  <c r="X74" i="2"/>
  <c r="W74" i="2"/>
  <c r="V74" i="2"/>
  <c r="U74" i="2"/>
  <c r="T74" i="2"/>
  <c r="S74" i="2"/>
  <c r="R74" i="2"/>
  <c r="Q74" i="2"/>
  <c r="P74" i="2"/>
  <c r="O74" i="2"/>
  <c r="N74" i="2"/>
  <c r="M74" i="2"/>
  <c r="L74" i="2"/>
  <c r="K74" i="2"/>
  <c r="J74" i="2"/>
  <c r="I74" i="2"/>
  <c r="H74" i="2"/>
  <c r="G74" i="2"/>
  <c r="F74" i="2"/>
  <c r="E74" i="2"/>
  <c r="D74" i="2"/>
  <c r="C74" i="2"/>
  <c r="FI73" i="2"/>
  <c r="FO73" i="2" s="1"/>
  <c r="FH73" i="2"/>
  <c r="FG73" i="2"/>
  <c r="FF73" i="2"/>
  <c r="FE73" i="2"/>
  <c r="FD73" i="2"/>
  <c r="FC73" i="2"/>
  <c r="FB73" i="2"/>
  <c r="FA73" i="2"/>
  <c r="EZ73" i="2"/>
  <c r="EY73" i="2"/>
  <c r="EX73" i="2"/>
  <c r="EW73" i="2"/>
  <c r="EV73" i="2"/>
  <c r="EU73" i="2"/>
  <c r="ET73" i="2"/>
  <c r="ES73" i="2"/>
  <c r="ER73" i="2"/>
  <c r="EQ73" i="2"/>
  <c r="EP73" i="2"/>
  <c r="EN73" i="2"/>
  <c r="EO73" i="2" s="1"/>
  <c r="EM73" i="2"/>
  <c r="EL73" i="2"/>
  <c r="EK73" i="2"/>
  <c r="EJ73" i="2"/>
  <c r="EI73" i="2"/>
  <c r="EH73" i="2"/>
  <c r="EG73" i="2"/>
  <c r="EF73" i="2"/>
  <c r="EE73" i="2"/>
  <c r="ED73" i="2"/>
  <c r="EC73" i="2"/>
  <c r="EA73" i="2"/>
  <c r="EB73" i="2" s="1"/>
  <c r="DZ73" i="2"/>
  <c r="DY73" i="2"/>
  <c r="DX73" i="2"/>
  <c r="DW73" i="2"/>
  <c r="DV73" i="2"/>
  <c r="DU73" i="2"/>
  <c r="DT73" i="2"/>
  <c r="DS73" i="2"/>
  <c r="DR73" i="2"/>
  <c r="DQ73" i="2"/>
  <c r="DP73" i="2"/>
  <c r="DN73" i="2"/>
  <c r="DO73" i="2" s="1"/>
  <c r="DM73" i="2"/>
  <c r="DL73" i="2"/>
  <c r="DK73" i="2"/>
  <c r="DJ73" i="2"/>
  <c r="DI73" i="2"/>
  <c r="DH73" i="2"/>
  <c r="DG73" i="2"/>
  <c r="DF73" i="2"/>
  <c r="DE73" i="2"/>
  <c r="DD73" i="2"/>
  <c r="DC73" i="2"/>
  <c r="DA73" i="2"/>
  <c r="DB73" i="2" s="1"/>
  <c r="CZ73" i="2"/>
  <c r="CY73" i="2"/>
  <c r="CX73" i="2"/>
  <c r="CW73" i="2"/>
  <c r="CV73" i="2"/>
  <c r="CU73" i="2"/>
  <c r="CT73" i="2"/>
  <c r="CS73" i="2"/>
  <c r="CR73" i="2"/>
  <c r="CQ73" i="2"/>
  <c r="CP73" i="2"/>
  <c r="CN73" i="2"/>
  <c r="CO73" i="2" s="1"/>
  <c r="CM73" i="2"/>
  <c r="CL73" i="2"/>
  <c r="CK73" i="2"/>
  <c r="CJ73" i="2"/>
  <c r="CI73" i="2"/>
  <c r="CH73" i="2"/>
  <c r="CG73" i="2"/>
  <c r="CF73" i="2"/>
  <c r="CE73" i="2"/>
  <c r="CD73" i="2"/>
  <c r="CC73" i="2"/>
  <c r="CA73" i="2"/>
  <c r="CB73" i="2" s="1"/>
  <c r="BZ73" i="2"/>
  <c r="BY73" i="2"/>
  <c r="BX73" i="2"/>
  <c r="BW73" i="2"/>
  <c r="BV73" i="2"/>
  <c r="BU73" i="2"/>
  <c r="BT73" i="2"/>
  <c r="BS73" i="2"/>
  <c r="BR73" i="2"/>
  <c r="BQ73" i="2"/>
  <c r="BP73" i="2"/>
  <c r="BN73" i="2"/>
  <c r="BO73" i="2" s="1"/>
  <c r="BM73" i="2"/>
  <c r="BL73" i="2"/>
  <c r="BK73" i="2"/>
  <c r="BJ73" i="2"/>
  <c r="BI73" i="2"/>
  <c r="BH73" i="2"/>
  <c r="BG73" i="2"/>
  <c r="BF73" i="2"/>
  <c r="BE73" i="2"/>
  <c r="BD73" i="2"/>
  <c r="BC73" i="2"/>
  <c r="BA73" i="2"/>
  <c r="BB73" i="2" s="1"/>
  <c r="AZ73" i="2"/>
  <c r="AY73" i="2"/>
  <c r="AX73" i="2"/>
  <c r="AW73" i="2"/>
  <c r="AV73" i="2"/>
  <c r="AU73" i="2"/>
  <c r="AT73" i="2"/>
  <c r="AS73" i="2"/>
  <c r="AR73" i="2"/>
  <c r="AQ73" i="2"/>
  <c r="AP73" i="2"/>
  <c r="AN73" i="2"/>
  <c r="AO73" i="2" s="1"/>
  <c r="AM73" i="2"/>
  <c r="AL73" i="2"/>
  <c r="AK73" i="2"/>
  <c r="AJ73" i="2"/>
  <c r="AI73" i="2"/>
  <c r="AH73" i="2"/>
  <c r="AG73" i="2"/>
  <c r="AF73" i="2"/>
  <c r="AE73" i="2"/>
  <c r="AD73" i="2"/>
  <c r="AC73" i="2"/>
  <c r="AA73" i="2"/>
  <c r="AB73" i="2" s="1"/>
  <c r="Z73" i="2"/>
  <c r="Y73" i="2"/>
  <c r="X73" i="2"/>
  <c r="W73" i="2"/>
  <c r="V73" i="2"/>
  <c r="U73" i="2"/>
  <c r="T73" i="2"/>
  <c r="S73" i="2"/>
  <c r="R73" i="2"/>
  <c r="Q73" i="2"/>
  <c r="P73" i="2"/>
  <c r="O73" i="2"/>
  <c r="N73" i="2"/>
  <c r="M73" i="2"/>
  <c r="L73" i="2"/>
  <c r="K73" i="2"/>
  <c r="J73" i="2"/>
  <c r="I73" i="2"/>
  <c r="H73" i="2"/>
  <c r="G73" i="2"/>
  <c r="F73" i="2"/>
  <c r="E73" i="2"/>
  <c r="D73" i="2"/>
  <c r="C73" i="2"/>
  <c r="FI72" i="2"/>
  <c r="FI78" i="2" s="1"/>
  <c r="FH72" i="2"/>
  <c r="FH78" i="2" s="1"/>
  <c r="FG72" i="2"/>
  <c r="FG78" i="2" s="1"/>
  <c r="FF72" i="2"/>
  <c r="FF78" i="2" s="1"/>
  <c r="FE72" i="2"/>
  <c r="FE78" i="2" s="1"/>
  <c r="FD72" i="2"/>
  <c r="FC72" i="2"/>
  <c r="FC78" i="2" s="1"/>
  <c r="FA72" i="2"/>
  <c r="FB72" i="2" s="1"/>
  <c r="EZ72" i="2"/>
  <c r="EZ78" i="2" s="1"/>
  <c r="EY72" i="2"/>
  <c r="EX72" i="2"/>
  <c r="EX78" i="2" s="1"/>
  <c r="EW72" i="2"/>
  <c r="EV72" i="2"/>
  <c r="EV78" i="2" s="1"/>
  <c r="EU72" i="2"/>
  <c r="EU78" i="2" s="1"/>
  <c r="ET72" i="2"/>
  <c r="ET78" i="2" s="1"/>
  <c r="ES72" i="2"/>
  <c r="ES78" i="2" s="1"/>
  <c r="ER72" i="2"/>
  <c r="EQ72" i="2"/>
  <c r="EP72" i="2"/>
  <c r="EP78" i="2" s="1"/>
  <c r="EN72" i="2"/>
  <c r="EO72" i="2" s="1"/>
  <c r="EM72" i="2"/>
  <c r="EL72" i="2"/>
  <c r="EL78" i="2" s="1"/>
  <c r="EK72" i="2"/>
  <c r="EK78" i="2" s="1"/>
  <c r="EJ72" i="2"/>
  <c r="EI72" i="2"/>
  <c r="EI78" i="2" s="1"/>
  <c r="EH72" i="2"/>
  <c r="EH78" i="2" s="1"/>
  <c r="EG72" i="2"/>
  <c r="EG78" i="2" s="1"/>
  <c r="EF72" i="2"/>
  <c r="EE72" i="2"/>
  <c r="EE78" i="2" s="1"/>
  <c r="ED72" i="2"/>
  <c r="EC72" i="2"/>
  <c r="EC78" i="2" s="1"/>
  <c r="EA72" i="2"/>
  <c r="EB72" i="2" s="1"/>
  <c r="DZ72" i="2"/>
  <c r="DZ78" i="2" s="1"/>
  <c r="DY72" i="2"/>
  <c r="DY78" i="2" s="1"/>
  <c r="DX72" i="2"/>
  <c r="DX78" i="2" s="1"/>
  <c r="DW72" i="2"/>
  <c r="DV72" i="2"/>
  <c r="DV78" i="2" s="1"/>
  <c r="DU72" i="2"/>
  <c r="DU78" i="2" s="1"/>
  <c r="DT72" i="2"/>
  <c r="DT78" i="2" s="1"/>
  <c r="DS72" i="2"/>
  <c r="DS78" i="2" s="1"/>
  <c r="DR72" i="2"/>
  <c r="DR78" i="2" s="1"/>
  <c r="DQ72" i="2"/>
  <c r="DP72" i="2"/>
  <c r="DN72" i="2"/>
  <c r="DN78" i="2" s="1"/>
  <c r="DM72" i="2"/>
  <c r="DM78" i="2" s="1"/>
  <c r="DL72" i="2"/>
  <c r="DL78" i="2" s="1"/>
  <c r="DK72" i="2"/>
  <c r="DJ72" i="2"/>
  <c r="DJ78" i="2" s="1"/>
  <c r="DI72" i="2"/>
  <c r="DI78" i="2" s="1"/>
  <c r="DH72" i="2"/>
  <c r="DH78" i="2" s="1"/>
  <c r="DG72" i="2"/>
  <c r="DG78" i="2" s="1"/>
  <c r="DF72" i="2"/>
  <c r="DF78" i="2" s="1"/>
  <c r="DE72" i="2"/>
  <c r="DD72" i="2"/>
  <c r="DC72" i="2"/>
  <c r="DA72" i="2"/>
  <c r="DB72" i="2" s="1"/>
  <c r="CZ72" i="2"/>
  <c r="CZ78" i="2" s="1"/>
  <c r="CY72" i="2"/>
  <c r="CY78" i="2" s="1"/>
  <c r="CX72" i="2"/>
  <c r="CW72" i="2"/>
  <c r="CW78" i="2" s="1"/>
  <c r="CV72" i="2"/>
  <c r="CV78" i="2" s="1"/>
  <c r="CU72" i="2"/>
  <c r="CU78" i="2" s="1"/>
  <c r="CT72" i="2"/>
  <c r="CT78" i="2" s="1"/>
  <c r="CS72" i="2"/>
  <c r="CS78" i="2" s="1"/>
  <c r="CR72" i="2"/>
  <c r="CQ72" i="2"/>
  <c r="CP72" i="2"/>
  <c r="CP78" i="2" s="1"/>
  <c r="CN72" i="2"/>
  <c r="CO72" i="2" s="1"/>
  <c r="CM72" i="2"/>
  <c r="CM78" i="2" s="1"/>
  <c r="CL72" i="2"/>
  <c r="CL78" i="2" s="1"/>
  <c r="CK72" i="2"/>
  <c r="CJ72" i="2"/>
  <c r="CJ78" i="2" s="1"/>
  <c r="CI72" i="2"/>
  <c r="CI78" i="2" s="1"/>
  <c r="CH72" i="2"/>
  <c r="CH78" i="2" s="1"/>
  <c r="CG72" i="2"/>
  <c r="CG78" i="2" s="1"/>
  <c r="CF72" i="2"/>
  <c r="CE72" i="2"/>
  <c r="CD72" i="2"/>
  <c r="CD78" i="2" s="1"/>
  <c r="CC72" i="2"/>
  <c r="CA72" i="2"/>
  <c r="CA78" i="2" s="1"/>
  <c r="BZ72" i="2"/>
  <c r="BZ78" i="2" s="1"/>
  <c r="BY72" i="2"/>
  <c r="BX72" i="2"/>
  <c r="BX78" i="2" s="1"/>
  <c r="BW72" i="2"/>
  <c r="BW78" i="2" s="1"/>
  <c r="BV72" i="2"/>
  <c r="BV78" i="2" s="1"/>
  <c r="BU72" i="2"/>
  <c r="BU78" i="2" s="1"/>
  <c r="BT72" i="2"/>
  <c r="BS72" i="2"/>
  <c r="BR72" i="2"/>
  <c r="BR78" i="2" s="1"/>
  <c r="BQ72" i="2"/>
  <c r="BQ78" i="2" s="1"/>
  <c r="BP72" i="2"/>
  <c r="BP78" i="2" s="1"/>
  <c r="BN72" i="2"/>
  <c r="BN78" i="2" s="1"/>
  <c r="BM72" i="2"/>
  <c r="BL72" i="2"/>
  <c r="BL78" i="2" s="1"/>
  <c r="BK72" i="2"/>
  <c r="BK78" i="2" s="1"/>
  <c r="BJ72" i="2"/>
  <c r="BJ78" i="2" s="1"/>
  <c r="BI72" i="2"/>
  <c r="BI78" i="2" s="1"/>
  <c r="BH72" i="2"/>
  <c r="BG72" i="2"/>
  <c r="BF72" i="2"/>
  <c r="BF78" i="2" s="1"/>
  <c r="BE72" i="2"/>
  <c r="BE78" i="2" s="1"/>
  <c r="BD72" i="2"/>
  <c r="BD78" i="2" s="1"/>
  <c r="BC72" i="2"/>
  <c r="BC78" i="2" s="1"/>
  <c r="BA72" i="2"/>
  <c r="BB72" i="2" s="1"/>
  <c r="AZ72" i="2"/>
  <c r="AY72" i="2"/>
  <c r="AY78" i="2" s="1"/>
  <c r="AX72" i="2"/>
  <c r="AX78" i="2" s="1"/>
  <c r="AW72" i="2"/>
  <c r="AW78" i="2" s="1"/>
  <c r="AV72" i="2"/>
  <c r="AU72" i="2"/>
  <c r="AT72" i="2"/>
  <c r="AS72" i="2"/>
  <c r="AS78" i="2" s="1"/>
  <c r="AR72" i="2"/>
  <c r="AR78" i="2" s="1"/>
  <c r="AQ72" i="2"/>
  <c r="AQ78" i="2" s="1"/>
  <c r="AP72" i="2"/>
  <c r="AP78" i="2" s="1"/>
  <c r="AO72" i="2"/>
  <c r="AN72" i="2"/>
  <c r="AM72" i="2"/>
  <c r="AM78" i="2" s="1"/>
  <c r="AL72" i="2"/>
  <c r="AL78" i="2" s="1"/>
  <c r="AK72" i="2"/>
  <c r="AK78" i="2" s="1"/>
  <c r="AJ72" i="2"/>
  <c r="AI72" i="2"/>
  <c r="AH72" i="2"/>
  <c r="AG72" i="2"/>
  <c r="AG78" i="2" s="1"/>
  <c r="AF72" i="2"/>
  <c r="AF78" i="2" s="1"/>
  <c r="AE72" i="2"/>
  <c r="AE78" i="2" s="1"/>
  <c r="AD72" i="2"/>
  <c r="AD78" i="2" s="1"/>
  <c r="AC72" i="2"/>
  <c r="AC78" i="2" s="1"/>
  <c r="AA72" i="2"/>
  <c r="Z72" i="2"/>
  <c r="Z78" i="2" s="1"/>
  <c r="Y72" i="2"/>
  <c r="Y78" i="2" s="1"/>
  <c r="X72" i="2"/>
  <c r="X78" i="2" s="1"/>
  <c r="W72" i="2"/>
  <c r="V72" i="2"/>
  <c r="V78" i="2" s="1"/>
  <c r="U72" i="2"/>
  <c r="T72" i="2"/>
  <c r="T78" i="2" s="1"/>
  <c r="S72" i="2"/>
  <c r="R72" i="2"/>
  <c r="R78" i="2" s="1"/>
  <c r="Q72" i="2"/>
  <c r="Q78" i="2" s="1"/>
  <c r="P72" i="2"/>
  <c r="P78" i="2" s="1"/>
  <c r="N72" i="2"/>
  <c r="N78" i="2" s="1"/>
  <c r="M72" i="2"/>
  <c r="M78" i="2" s="1"/>
  <c r="L72" i="2"/>
  <c r="L78" i="2" s="1"/>
  <c r="K72" i="2"/>
  <c r="J72" i="2"/>
  <c r="J78" i="2" s="1"/>
  <c r="I72" i="2"/>
  <c r="H72" i="2"/>
  <c r="H78" i="2" s="1"/>
  <c r="G72" i="2"/>
  <c r="G78" i="2" s="1"/>
  <c r="F72" i="2"/>
  <c r="F78" i="2" s="1"/>
  <c r="E72" i="2"/>
  <c r="E78" i="2" s="1"/>
  <c r="D72" i="2"/>
  <c r="D78" i="2" s="1"/>
  <c r="C72" i="2"/>
  <c r="FN66" i="2"/>
  <c r="FM66" i="2"/>
  <c r="FL66" i="2"/>
  <c r="FK66" i="2"/>
  <c r="FJ66" i="2"/>
  <c r="FI65" i="2"/>
  <c r="FO65" i="2" s="1"/>
  <c r="FH65" i="2"/>
  <c r="FG65" i="2"/>
  <c r="FF65" i="2"/>
  <c r="FE65" i="2"/>
  <c r="FD65" i="2"/>
  <c r="FC65" i="2"/>
  <c r="FA65" i="2"/>
  <c r="FB65" i="2" s="1"/>
  <c r="EZ65" i="2"/>
  <c r="EY65" i="2"/>
  <c r="EX65" i="2"/>
  <c r="EW65" i="2"/>
  <c r="EV65" i="2"/>
  <c r="EU65" i="2"/>
  <c r="ET65" i="2"/>
  <c r="ES65" i="2"/>
  <c r="ER65" i="2"/>
  <c r="EQ65" i="2"/>
  <c r="EP65" i="2"/>
  <c r="EN65" i="2"/>
  <c r="EO65" i="2" s="1"/>
  <c r="EM65" i="2"/>
  <c r="EL65" i="2"/>
  <c r="EK65" i="2"/>
  <c r="EJ65" i="2"/>
  <c r="EI65" i="2"/>
  <c r="EH65" i="2"/>
  <c r="EG65" i="2"/>
  <c r="EF65" i="2"/>
  <c r="EE65" i="2"/>
  <c r="ED65" i="2"/>
  <c r="EC65" i="2"/>
  <c r="EA65" i="2"/>
  <c r="EB65" i="2" s="1"/>
  <c r="DZ65" i="2"/>
  <c r="DY65" i="2"/>
  <c r="DX65" i="2"/>
  <c r="DW65" i="2"/>
  <c r="DV65" i="2"/>
  <c r="DU65" i="2"/>
  <c r="DT65" i="2"/>
  <c r="DS65" i="2"/>
  <c r="DR65" i="2"/>
  <c r="DQ65" i="2"/>
  <c r="DP65" i="2"/>
  <c r="DN65" i="2"/>
  <c r="DO65" i="2" s="1"/>
  <c r="DM65" i="2"/>
  <c r="DL65" i="2"/>
  <c r="DK65" i="2"/>
  <c r="DJ65" i="2"/>
  <c r="DI65" i="2"/>
  <c r="DH65" i="2"/>
  <c r="DG65" i="2"/>
  <c r="DF65" i="2"/>
  <c r="DE65" i="2"/>
  <c r="DD65" i="2"/>
  <c r="DC65" i="2"/>
  <c r="DA65" i="2"/>
  <c r="DB65" i="2" s="1"/>
  <c r="CZ65" i="2"/>
  <c r="CY65" i="2"/>
  <c r="CX65" i="2"/>
  <c r="CW65" i="2"/>
  <c r="CV65" i="2"/>
  <c r="CU65" i="2"/>
  <c r="CT65" i="2"/>
  <c r="CS65" i="2"/>
  <c r="CR65" i="2"/>
  <c r="CQ65" i="2"/>
  <c r="CP65" i="2"/>
  <c r="CN65" i="2"/>
  <c r="CO65" i="2" s="1"/>
  <c r="CM65" i="2"/>
  <c r="CL65" i="2"/>
  <c r="CK65" i="2"/>
  <c r="CJ65" i="2"/>
  <c r="CI65" i="2"/>
  <c r="CH65" i="2"/>
  <c r="CG65" i="2"/>
  <c r="CF65" i="2"/>
  <c r="CE65" i="2"/>
  <c r="CD65" i="2"/>
  <c r="CC65" i="2"/>
  <c r="CB65" i="2"/>
  <c r="CA65" i="2"/>
  <c r="BZ65" i="2"/>
  <c r="BY65" i="2"/>
  <c r="BX65" i="2"/>
  <c r="BW65" i="2"/>
  <c r="BV65" i="2"/>
  <c r="BU65" i="2"/>
  <c r="BT65" i="2"/>
  <c r="BS65" i="2"/>
  <c r="BR65" i="2"/>
  <c r="BQ65" i="2"/>
  <c r="BP65" i="2"/>
  <c r="BN65" i="2"/>
  <c r="BO65" i="2" s="1"/>
  <c r="BM65" i="2"/>
  <c r="BL65" i="2"/>
  <c r="BK65" i="2"/>
  <c r="BJ65" i="2"/>
  <c r="BI65" i="2"/>
  <c r="BH65" i="2"/>
  <c r="BG65" i="2"/>
  <c r="BF65" i="2"/>
  <c r="BE65" i="2"/>
  <c r="BD65" i="2"/>
  <c r="BC65" i="2"/>
  <c r="BA65" i="2"/>
  <c r="BB65" i="2" s="1"/>
  <c r="AZ65" i="2"/>
  <c r="AY65" i="2"/>
  <c r="AX65" i="2"/>
  <c r="AW65" i="2"/>
  <c r="AV65" i="2"/>
  <c r="AU65" i="2"/>
  <c r="AT65" i="2"/>
  <c r="AS65" i="2"/>
  <c r="AR65" i="2"/>
  <c r="AQ65" i="2"/>
  <c r="AP65" i="2"/>
  <c r="AN65" i="2"/>
  <c r="AO65" i="2" s="1"/>
  <c r="AM65" i="2"/>
  <c r="AL65" i="2"/>
  <c r="AK65" i="2"/>
  <c r="AJ65" i="2"/>
  <c r="AI65" i="2"/>
  <c r="AH65" i="2"/>
  <c r="AG65" i="2"/>
  <c r="AF65" i="2"/>
  <c r="AE65" i="2"/>
  <c r="AD65" i="2"/>
  <c r="AC65" i="2"/>
  <c r="AA65" i="2"/>
  <c r="AB65" i="2" s="1"/>
  <c r="Z65" i="2"/>
  <c r="Y65" i="2"/>
  <c r="X65" i="2"/>
  <c r="W65" i="2"/>
  <c r="V65" i="2"/>
  <c r="U65" i="2"/>
  <c r="T65" i="2"/>
  <c r="S65" i="2"/>
  <c r="R65" i="2"/>
  <c r="Q65" i="2"/>
  <c r="P65" i="2"/>
  <c r="N65" i="2"/>
  <c r="O65" i="2" s="1"/>
  <c r="M65" i="2"/>
  <c r="L65" i="2"/>
  <c r="K65" i="2"/>
  <c r="J65" i="2"/>
  <c r="I65" i="2"/>
  <c r="H65" i="2"/>
  <c r="G65" i="2"/>
  <c r="F65" i="2"/>
  <c r="E65" i="2"/>
  <c r="D65" i="2"/>
  <c r="C65" i="2"/>
  <c r="FO64" i="2"/>
  <c r="FI64" i="2"/>
  <c r="FH64" i="2"/>
  <c r="FG64" i="2"/>
  <c r="FF64" i="2"/>
  <c r="FE64" i="2"/>
  <c r="FD64" i="2"/>
  <c r="FC64" i="2"/>
  <c r="FA64" i="2"/>
  <c r="FB64" i="2" s="1"/>
  <c r="EZ64" i="2"/>
  <c r="EY64" i="2"/>
  <c r="EX64" i="2"/>
  <c r="EW64" i="2"/>
  <c r="EV64" i="2"/>
  <c r="EU64" i="2"/>
  <c r="ET64" i="2"/>
  <c r="ES64" i="2"/>
  <c r="ER64" i="2"/>
  <c r="EQ64" i="2"/>
  <c r="EP64" i="2"/>
  <c r="EN64" i="2"/>
  <c r="EO64" i="2" s="1"/>
  <c r="EM64" i="2"/>
  <c r="EL64" i="2"/>
  <c r="EK64" i="2"/>
  <c r="EJ64" i="2"/>
  <c r="EI64" i="2"/>
  <c r="EH64" i="2"/>
  <c r="EG64" i="2"/>
  <c r="EF64" i="2"/>
  <c r="EE64" i="2"/>
  <c r="ED64" i="2"/>
  <c r="EC64" i="2"/>
  <c r="EA64" i="2"/>
  <c r="EB64" i="2" s="1"/>
  <c r="DZ64" i="2"/>
  <c r="DY64" i="2"/>
  <c r="DX64" i="2"/>
  <c r="DW64" i="2"/>
  <c r="DV64" i="2"/>
  <c r="DU64" i="2"/>
  <c r="DT64" i="2"/>
  <c r="DS64" i="2"/>
  <c r="DR64" i="2"/>
  <c r="DQ64" i="2"/>
  <c r="DP64" i="2"/>
  <c r="DN64" i="2"/>
  <c r="DO64" i="2" s="1"/>
  <c r="DM64" i="2"/>
  <c r="DL64" i="2"/>
  <c r="DK64" i="2"/>
  <c r="DJ64" i="2"/>
  <c r="DI64" i="2"/>
  <c r="DH64" i="2"/>
  <c r="DG64" i="2"/>
  <c r="DF64" i="2"/>
  <c r="DE64" i="2"/>
  <c r="DD64" i="2"/>
  <c r="DC64" i="2"/>
  <c r="DA64" i="2"/>
  <c r="DB64" i="2" s="1"/>
  <c r="CZ64" i="2"/>
  <c r="CY64" i="2"/>
  <c r="CX64" i="2"/>
  <c r="CW64" i="2"/>
  <c r="CV64" i="2"/>
  <c r="CU64" i="2"/>
  <c r="CT64" i="2"/>
  <c r="CS64" i="2"/>
  <c r="CR64" i="2"/>
  <c r="CQ64" i="2"/>
  <c r="CP64" i="2"/>
  <c r="CN64" i="2"/>
  <c r="CO64" i="2" s="1"/>
  <c r="CM64" i="2"/>
  <c r="CL64" i="2"/>
  <c r="CK64" i="2"/>
  <c r="CJ64" i="2"/>
  <c r="CI64" i="2"/>
  <c r="CH64" i="2"/>
  <c r="CG64" i="2"/>
  <c r="CF64" i="2"/>
  <c r="CE64" i="2"/>
  <c r="CD64" i="2"/>
  <c r="CC64" i="2"/>
  <c r="CB64" i="2"/>
  <c r="CA64" i="2"/>
  <c r="BZ64" i="2"/>
  <c r="BY64" i="2"/>
  <c r="BX64" i="2"/>
  <c r="BW64" i="2"/>
  <c r="BV64" i="2"/>
  <c r="BU64" i="2"/>
  <c r="BT64" i="2"/>
  <c r="BS64" i="2"/>
  <c r="BR64" i="2"/>
  <c r="BQ64" i="2"/>
  <c r="BP64" i="2"/>
  <c r="BN64" i="2"/>
  <c r="BO64" i="2" s="1"/>
  <c r="BM64" i="2"/>
  <c r="BL64" i="2"/>
  <c r="BK64" i="2"/>
  <c r="BJ64" i="2"/>
  <c r="BI64" i="2"/>
  <c r="BH64" i="2"/>
  <c r="BG64" i="2"/>
  <c r="BF64" i="2"/>
  <c r="BE64" i="2"/>
  <c r="BD64" i="2"/>
  <c r="BC64" i="2"/>
  <c r="BA64" i="2"/>
  <c r="BB64" i="2" s="1"/>
  <c r="AZ64" i="2"/>
  <c r="AY64" i="2"/>
  <c r="AX64" i="2"/>
  <c r="AW64" i="2"/>
  <c r="AV64" i="2"/>
  <c r="AU64" i="2"/>
  <c r="AT64" i="2"/>
  <c r="AS64" i="2"/>
  <c r="AR64" i="2"/>
  <c r="AQ64" i="2"/>
  <c r="AP64" i="2"/>
  <c r="AN64" i="2"/>
  <c r="AO64" i="2" s="1"/>
  <c r="AM64" i="2"/>
  <c r="AL64" i="2"/>
  <c r="AK64" i="2"/>
  <c r="AJ64" i="2"/>
  <c r="AI64" i="2"/>
  <c r="AH64" i="2"/>
  <c r="AG64" i="2"/>
  <c r="AF64" i="2"/>
  <c r="AE64" i="2"/>
  <c r="AD64" i="2"/>
  <c r="AC64" i="2"/>
  <c r="AA64" i="2"/>
  <c r="AB64" i="2" s="1"/>
  <c r="Z64" i="2"/>
  <c r="Y64" i="2"/>
  <c r="X64" i="2"/>
  <c r="W64" i="2"/>
  <c r="V64" i="2"/>
  <c r="U64" i="2"/>
  <c r="T64" i="2"/>
  <c r="S64" i="2"/>
  <c r="R64" i="2"/>
  <c r="Q64" i="2"/>
  <c r="P64" i="2"/>
  <c r="N64" i="2"/>
  <c r="O64" i="2" s="1"/>
  <c r="M64" i="2"/>
  <c r="L64" i="2"/>
  <c r="K64" i="2"/>
  <c r="J64" i="2"/>
  <c r="I64" i="2"/>
  <c r="H64" i="2"/>
  <c r="G64" i="2"/>
  <c r="F64" i="2"/>
  <c r="E64" i="2"/>
  <c r="D64" i="2"/>
  <c r="C64" i="2"/>
  <c r="FO63" i="2"/>
  <c r="FI63" i="2"/>
  <c r="FH63" i="2"/>
  <c r="FG63" i="2"/>
  <c r="FF63" i="2"/>
  <c r="FE63" i="2"/>
  <c r="FD63" i="2"/>
  <c r="FC63" i="2"/>
  <c r="FA63" i="2"/>
  <c r="FB63" i="2" s="1"/>
  <c r="EZ63" i="2"/>
  <c r="EY63" i="2"/>
  <c r="EX63" i="2"/>
  <c r="EW63" i="2"/>
  <c r="EV63" i="2"/>
  <c r="EU63" i="2"/>
  <c r="ET63" i="2"/>
  <c r="ES63" i="2"/>
  <c r="ER63" i="2"/>
  <c r="EQ63" i="2"/>
  <c r="EP63" i="2"/>
  <c r="EN63" i="2"/>
  <c r="EO63" i="2" s="1"/>
  <c r="EM63" i="2"/>
  <c r="EL63" i="2"/>
  <c r="EK63" i="2"/>
  <c r="EJ63" i="2"/>
  <c r="EI63" i="2"/>
  <c r="EH63" i="2"/>
  <c r="EG63" i="2"/>
  <c r="EF63" i="2"/>
  <c r="EE63" i="2"/>
  <c r="ED63" i="2"/>
  <c r="EC63" i="2"/>
  <c r="EA63" i="2"/>
  <c r="EB63" i="2" s="1"/>
  <c r="DZ63" i="2"/>
  <c r="DY63" i="2"/>
  <c r="DX63" i="2"/>
  <c r="DW63" i="2"/>
  <c r="DV63" i="2"/>
  <c r="DU63" i="2"/>
  <c r="DT63" i="2"/>
  <c r="DS63" i="2"/>
  <c r="DR63" i="2"/>
  <c r="DQ63" i="2"/>
  <c r="DP63" i="2"/>
  <c r="DO63" i="2"/>
  <c r="DN63" i="2"/>
  <c r="DM63" i="2"/>
  <c r="DL63" i="2"/>
  <c r="DK63" i="2"/>
  <c r="DJ63" i="2"/>
  <c r="DI63" i="2"/>
  <c r="DH63" i="2"/>
  <c r="DG63" i="2"/>
  <c r="DF63" i="2"/>
  <c r="DE63" i="2"/>
  <c r="DD63" i="2"/>
  <c r="DC63" i="2"/>
  <c r="DB63" i="2"/>
  <c r="DA63" i="2"/>
  <c r="CZ63" i="2"/>
  <c r="CY63" i="2"/>
  <c r="CX63" i="2"/>
  <c r="CW63" i="2"/>
  <c r="CV63" i="2"/>
  <c r="CU63" i="2"/>
  <c r="CT63" i="2"/>
  <c r="CS63" i="2"/>
  <c r="CR63" i="2"/>
  <c r="CQ63" i="2"/>
  <c r="CP63" i="2"/>
  <c r="CN63" i="2"/>
  <c r="CO63" i="2" s="1"/>
  <c r="CM63" i="2"/>
  <c r="CL63" i="2"/>
  <c r="CK63" i="2"/>
  <c r="CJ63" i="2"/>
  <c r="CI63" i="2"/>
  <c r="CH63" i="2"/>
  <c r="CG63" i="2"/>
  <c r="CF63" i="2"/>
  <c r="CE63" i="2"/>
  <c r="CD63" i="2"/>
  <c r="CC63" i="2"/>
  <c r="CB63" i="2"/>
  <c r="CA63" i="2"/>
  <c r="BZ63" i="2"/>
  <c r="BY63" i="2"/>
  <c r="BX63" i="2"/>
  <c r="BW63" i="2"/>
  <c r="BV63" i="2"/>
  <c r="BU63" i="2"/>
  <c r="BT63" i="2"/>
  <c r="BS63" i="2"/>
  <c r="BR63" i="2"/>
  <c r="BQ63" i="2"/>
  <c r="BP63" i="2"/>
  <c r="BN63" i="2"/>
  <c r="BO63" i="2" s="1"/>
  <c r="BM63" i="2"/>
  <c r="BL63" i="2"/>
  <c r="BK63" i="2"/>
  <c r="BJ63" i="2"/>
  <c r="BI63" i="2"/>
  <c r="BH63" i="2"/>
  <c r="BG63" i="2"/>
  <c r="BF63" i="2"/>
  <c r="BE63" i="2"/>
  <c r="BD63" i="2"/>
  <c r="BC63" i="2"/>
  <c r="BB63" i="2"/>
  <c r="BA63" i="2"/>
  <c r="AZ63" i="2"/>
  <c r="AY63" i="2"/>
  <c r="AX63" i="2"/>
  <c r="AW63" i="2"/>
  <c r="AV63" i="2"/>
  <c r="AU63" i="2"/>
  <c r="AT63" i="2"/>
  <c r="AS63" i="2"/>
  <c r="AR63" i="2"/>
  <c r="AQ63" i="2"/>
  <c r="AP63" i="2"/>
  <c r="AN63" i="2"/>
  <c r="AO63" i="2" s="1"/>
  <c r="AM63" i="2"/>
  <c r="AL63" i="2"/>
  <c r="AK63" i="2"/>
  <c r="AJ63" i="2"/>
  <c r="AI63" i="2"/>
  <c r="AH63" i="2"/>
  <c r="AG63" i="2"/>
  <c r="AF63" i="2"/>
  <c r="AE63" i="2"/>
  <c r="AD63" i="2"/>
  <c r="AC63" i="2"/>
  <c r="AB63" i="2"/>
  <c r="AA63" i="2"/>
  <c r="Z63" i="2"/>
  <c r="Y63" i="2"/>
  <c r="X63" i="2"/>
  <c r="W63" i="2"/>
  <c r="V63" i="2"/>
  <c r="U63" i="2"/>
  <c r="T63" i="2"/>
  <c r="S63" i="2"/>
  <c r="R63" i="2"/>
  <c r="Q63" i="2"/>
  <c r="P63" i="2"/>
  <c r="N63" i="2"/>
  <c r="O63" i="2" s="1"/>
  <c r="M63" i="2"/>
  <c r="L63" i="2"/>
  <c r="K63" i="2"/>
  <c r="J63" i="2"/>
  <c r="I63" i="2"/>
  <c r="H63" i="2"/>
  <c r="G63" i="2"/>
  <c r="F63" i="2"/>
  <c r="E63" i="2"/>
  <c r="D63" i="2"/>
  <c r="C63" i="2"/>
  <c r="FI62" i="2"/>
  <c r="FO62" i="2" s="1"/>
  <c r="FH62" i="2"/>
  <c r="FG62" i="2"/>
  <c r="FF62" i="2"/>
  <c r="FE62" i="2"/>
  <c r="FD62" i="2"/>
  <c r="FC62" i="2"/>
  <c r="FB62" i="2"/>
  <c r="FA62" i="2"/>
  <c r="EZ62" i="2"/>
  <c r="EY62" i="2"/>
  <c r="EX62" i="2"/>
  <c r="EW62" i="2"/>
  <c r="EV62" i="2"/>
  <c r="EU62" i="2"/>
  <c r="ET62" i="2"/>
  <c r="ES62" i="2"/>
  <c r="ER62" i="2"/>
  <c r="EQ62" i="2"/>
  <c r="EP62" i="2"/>
  <c r="EN62" i="2"/>
  <c r="EO62" i="2" s="1"/>
  <c r="EM62" i="2"/>
  <c r="EL62" i="2"/>
  <c r="EK62" i="2"/>
  <c r="EJ62" i="2"/>
  <c r="EI62" i="2"/>
  <c r="EH62" i="2"/>
  <c r="EG62" i="2"/>
  <c r="EF62" i="2"/>
  <c r="EE62" i="2"/>
  <c r="ED62" i="2"/>
  <c r="EC62" i="2"/>
  <c r="EA62" i="2"/>
  <c r="EB62" i="2" s="1"/>
  <c r="DZ62" i="2"/>
  <c r="DY62" i="2"/>
  <c r="DX62" i="2"/>
  <c r="DW62" i="2"/>
  <c r="DV62" i="2"/>
  <c r="DU62" i="2"/>
  <c r="DT62" i="2"/>
  <c r="DS62" i="2"/>
  <c r="DR62" i="2"/>
  <c r="DQ62" i="2"/>
  <c r="DP62" i="2"/>
  <c r="DN62" i="2"/>
  <c r="DO62" i="2" s="1"/>
  <c r="DM62" i="2"/>
  <c r="DL62" i="2"/>
  <c r="DK62" i="2"/>
  <c r="DJ62" i="2"/>
  <c r="DI62" i="2"/>
  <c r="DH62" i="2"/>
  <c r="DG62" i="2"/>
  <c r="DF62" i="2"/>
  <c r="DE62" i="2"/>
  <c r="DD62" i="2"/>
  <c r="DC62" i="2"/>
  <c r="DB62" i="2"/>
  <c r="DA62" i="2"/>
  <c r="CZ62" i="2"/>
  <c r="CY62" i="2"/>
  <c r="CX62" i="2"/>
  <c r="CW62" i="2"/>
  <c r="CV62" i="2"/>
  <c r="CU62" i="2"/>
  <c r="CT62" i="2"/>
  <c r="CS62" i="2"/>
  <c r="CR62" i="2"/>
  <c r="CQ62" i="2"/>
  <c r="CP62" i="2"/>
  <c r="CN62" i="2"/>
  <c r="CO62" i="2" s="1"/>
  <c r="CM62" i="2"/>
  <c r="CL62" i="2"/>
  <c r="CK62" i="2"/>
  <c r="CJ62" i="2"/>
  <c r="CI62" i="2"/>
  <c r="CH62" i="2"/>
  <c r="CG62" i="2"/>
  <c r="CF62" i="2"/>
  <c r="CE62" i="2"/>
  <c r="CD62" i="2"/>
  <c r="CC62" i="2"/>
  <c r="CA62" i="2"/>
  <c r="CB62" i="2" s="1"/>
  <c r="BZ62" i="2"/>
  <c r="BY62" i="2"/>
  <c r="BX62" i="2"/>
  <c r="BW62" i="2"/>
  <c r="BV62" i="2"/>
  <c r="BU62" i="2"/>
  <c r="BT62" i="2"/>
  <c r="BS62" i="2"/>
  <c r="BR62" i="2"/>
  <c r="BQ62" i="2"/>
  <c r="BP62" i="2"/>
  <c r="BO62" i="2"/>
  <c r="BN62" i="2"/>
  <c r="BM62" i="2"/>
  <c r="BL62" i="2"/>
  <c r="BK62" i="2"/>
  <c r="BJ62" i="2"/>
  <c r="BI62" i="2"/>
  <c r="BH62" i="2"/>
  <c r="BG62" i="2"/>
  <c r="BF62" i="2"/>
  <c r="BE62" i="2"/>
  <c r="BD62" i="2"/>
  <c r="BC62" i="2"/>
  <c r="BA62" i="2"/>
  <c r="BB62" i="2" s="1"/>
  <c r="AZ62" i="2"/>
  <c r="AY62" i="2"/>
  <c r="AX62" i="2"/>
  <c r="AW62" i="2"/>
  <c r="AV62" i="2"/>
  <c r="AU62" i="2"/>
  <c r="AT62" i="2"/>
  <c r="AS62" i="2"/>
  <c r="AR62" i="2"/>
  <c r="AQ62" i="2"/>
  <c r="AP62" i="2"/>
  <c r="AN62" i="2"/>
  <c r="AO62" i="2" s="1"/>
  <c r="AM62" i="2"/>
  <c r="AL62" i="2"/>
  <c r="AK62" i="2"/>
  <c r="AJ62" i="2"/>
  <c r="AI62" i="2"/>
  <c r="AH62" i="2"/>
  <c r="AG62" i="2"/>
  <c r="AF62" i="2"/>
  <c r="AE62" i="2"/>
  <c r="AD62" i="2"/>
  <c r="AC62" i="2"/>
  <c r="AB62" i="2"/>
  <c r="AA62" i="2"/>
  <c r="Z62" i="2"/>
  <c r="Y62" i="2"/>
  <c r="X62" i="2"/>
  <c r="W62" i="2"/>
  <c r="V62" i="2"/>
  <c r="U62" i="2"/>
  <c r="T62" i="2"/>
  <c r="S62" i="2"/>
  <c r="R62" i="2"/>
  <c r="Q62" i="2"/>
  <c r="P62" i="2"/>
  <c r="N62" i="2"/>
  <c r="O62" i="2" s="1"/>
  <c r="M62" i="2"/>
  <c r="L62" i="2"/>
  <c r="K62" i="2"/>
  <c r="J62" i="2"/>
  <c r="I62" i="2"/>
  <c r="H62" i="2"/>
  <c r="G62" i="2"/>
  <c r="F62" i="2"/>
  <c r="E62" i="2"/>
  <c r="D62" i="2"/>
  <c r="C62" i="2"/>
  <c r="FI61" i="2"/>
  <c r="FO61" i="2" s="1"/>
  <c r="FH61" i="2"/>
  <c r="FG61" i="2"/>
  <c r="FF61" i="2"/>
  <c r="FE61" i="2"/>
  <c r="FD61" i="2"/>
  <c r="FC61" i="2"/>
  <c r="FA61" i="2"/>
  <c r="FB61" i="2" s="1"/>
  <c r="EZ61" i="2"/>
  <c r="EY61" i="2"/>
  <c r="EX61" i="2"/>
  <c r="EW61" i="2"/>
  <c r="EV61" i="2"/>
  <c r="EU61" i="2"/>
  <c r="ET61" i="2"/>
  <c r="ES61" i="2"/>
  <c r="ER61" i="2"/>
  <c r="EQ61" i="2"/>
  <c r="EP61" i="2"/>
  <c r="EN61" i="2"/>
  <c r="EO61" i="2" s="1"/>
  <c r="EM61" i="2"/>
  <c r="EL61" i="2"/>
  <c r="EK61" i="2"/>
  <c r="EJ61" i="2"/>
  <c r="EI61" i="2"/>
  <c r="EH61" i="2"/>
  <c r="EG61" i="2"/>
  <c r="EF61" i="2"/>
  <c r="EE61" i="2"/>
  <c r="ED61" i="2"/>
  <c r="EC61" i="2"/>
  <c r="EB61" i="2"/>
  <c r="EA61" i="2"/>
  <c r="DZ61" i="2"/>
  <c r="DY61" i="2"/>
  <c r="DX61" i="2"/>
  <c r="DW61" i="2"/>
  <c r="DV61" i="2"/>
  <c r="DU61" i="2"/>
  <c r="DT61" i="2"/>
  <c r="DS61" i="2"/>
  <c r="DR61" i="2"/>
  <c r="DQ61" i="2"/>
  <c r="DP61" i="2"/>
  <c r="DN61" i="2"/>
  <c r="DO61" i="2" s="1"/>
  <c r="DM61" i="2"/>
  <c r="DL61" i="2"/>
  <c r="DK61" i="2"/>
  <c r="DJ61" i="2"/>
  <c r="DI61" i="2"/>
  <c r="DH61" i="2"/>
  <c r="DG61" i="2"/>
  <c r="DF61" i="2"/>
  <c r="DE61" i="2"/>
  <c r="DD61" i="2"/>
  <c r="DC61" i="2"/>
  <c r="DB61" i="2"/>
  <c r="DA61" i="2"/>
  <c r="CZ61" i="2"/>
  <c r="CY61" i="2"/>
  <c r="CX61" i="2"/>
  <c r="CW61" i="2"/>
  <c r="CV61" i="2"/>
  <c r="CU61" i="2"/>
  <c r="CT61" i="2"/>
  <c r="CS61" i="2"/>
  <c r="CR61" i="2"/>
  <c r="CQ61" i="2"/>
  <c r="CP61" i="2"/>
  <c r="CN61" i="2"/>
  <c r="CO61" i="2" s="1"/>
  <c r="CM61" i="2"/>
  <c r="CL61" i="2"/>
  <c r="CK61" i="2"/>
  <c r="CJ61" i="2"/>
  <c r="CI61" i="2"/>
  <c r="CH61" i="2"/>
  <c r="CG61" i="2"/>
  <c r="CF61" i="2"/>
  <c r="CE61" i="2"/>
  <c r="CD61" i="2"/>
  <c r="CC61" i="2"/>
  <c r="CB61" i="2"/>
  <c r="CA61" i="2"/>
  <c r="BZ61" i="2"/>
  <c r="BY61" i="2"/>
  <c r="BX61" i="2"/>
  <c r="BW61" i="2"/>
  <c r="BV61" i="2"/>
  <c r="BU61" i="2"/>
  <c r="BT61" i="2"/>
  <c r="BS61" i="2"/>
  <c r="BR61" i="2"/>
  <c r="BQ61" i="2"/>
  <c r="BP61" i="2"/>
  <c r="BN61" i="2"/>
  <c r="BO61" i="2" s="1"/>
  <c r="BM61" i="2"/>
  <c r="BL61" i="2"/>
  <c r="BK61" i="2"/>
  <c r="BJ61" i="2"/>
  <c r="BI61" i="2"/>
  <c r="BH61" i="2"/>
  <c r="BG61" i="2"/>
  <c r="BF61" i="2"/>
  <c r="BE61" i="2"/>
  <c r="BD61" i="2"/>
  <c r="BC61" i="2"/>
  <c r="BB61" i="2"/>
  <c r="BA61" i="2"/>
  <c r="AZ61" i="2"/>
  <c r="AY61" i="2"/>
  <c r="AX61" i="2"/>
  <c r="AW61" i="2"/>
  <c r="AV61" i="2"/>
  <c r="AU61" i="2"/>
  <c r="AT61" i="2"/>
  <c r="AS61" i="2"/>
  <c r="AR61" i="2"/>
  <c r="AQ61" i="2"/>
  <c r="AP61" i="2"/>
  <c r="AN61" i="2"/>
  <c r="AO61" i="2" s="1"/>
  <c r="AM61" i="2"/>
  <c r="AL61" i="2"/>
  <c r="AK61" i="2"/>
  <c r="AJ61" i="2"/>
  <c r="AI61" i="2"/>
  <c r="AH61" i="2"/>
  <c r="AG61" i="2"/>
  <c r="AF61" i="2"/>
  <c r="AE61" i="2"/>
  <c r="AD61" i="2"/>
  <c r="AC61" i="2"/>
  <c r="AA61" i="2"/>
  <c r="AB61" i="2" s="1"/>
  <c r="Z61" i="2"/>
  <c r="Y61" i="2"/>
  <c r="X61" i="2"/>
  <c r="W61" i="2"/>
  <c r="V61" i="2"/>
  <c r="U61" i="2"/>
  <c r="T61" i="2"/>
  <c r="S61" i="2"/>
  <c r="R61" i="2"/>
  <c r="Q61" i="2"/>
  <c r="P61" i="2"/>
  <c r="O61" i="2"/>
  <c r="N61" i="2"/>
  <c r="M61" i="2"/>
  <c r="L61" i="2"/>
  <c r="K61" i="2"/>
  <c r="J61" i="2"/>
  <c r="I61" i="2"/>
  <c r="H61" i="2"/>
  <c r="G61" i="2"/>
  <c r="F61" i="2"/>
  <c r="E61" i="2"/>
  <c r="D61" i="2"/>
  <c r="C61" i="2"/>
  <c r="FI60" i="2"/>
  <c r="FH60" i="2"/>
  <c r="FH66" i="2" s="1"/>
  <c r="FG60" i="2"/>
  <c r="FG66" i="2" s="1"/>
  <c r="FF60" i="2"/>
  <c r="FE60" i="2"/>
  <c r="FD60" i="2"/>
  <c r="FC60" i="2"/>
  <c r="FC66" i="2" s="1"/>
  <c r="FB60" i="2"/>
  <c r="FA60" i="2"/>
  <c r="EZ60" i="2"/>
  <c r="EY60" i="2"/>
  <c r="EX60" i="2"/>
  <c r="EW60" i="2"/>
  <c r="EV60" i="2"/>
  <c r="EV66" i="2" s="1"/>
  <c r="EU60" i="2"/>
  <c r="EU66" i="2" s="1"/>
  <c r="ET60" i="2"/>
  <c r="ES60" i="2"/>
  <c r="ER60" i="2"/>
  <c r="EQ60" i="2"/>
  <c r="EQ66" i="2" s="1"/>
  <c r="EP60" i="2"/>
  <c r="EP66" i="2" s="1"/>
  <c r="EN60" i="2"/>
  <c r="EO60" i="2" s="1"/>
  <c r="EM60" i="2"/>
  <c r="EL60" i="2"/>
  <c r="EK60" i="2"/>
  <c r="EK66" i="2" s="1"/>
  <c r="EJ60" i="2"/>
  <c r="EJ66" i="2" s="1"/>
  <c r="EI60" i="2"/>
  <c r="EI66" i="2" s="1"/>
  <c r="EH60" i="2"/>
  <c r="EH66" i="2" s="1"/>
  <c r="EG60" i="2"/>
  <c r="EF60" i="2"/>
  <c r="EF66" i="2" s="1"/>
  <c r="EE60" i="2"/>
  <c r="EE66" i="2" s="1"/>
  <c r="ED60" i="2"/>
  <c r="EC60" i="2"/>
  <c r="EA60" i="2"/>
  <c r="DZ60" i="2"/>
  <c r="DY60" i="2"/>
  <c r="DY66" i="2" s="1"/>
  <c r="DX60" i="2"/>
  <c r="DW60" i="2"/>
  <c r="DW66" i="2" s="1"/>
  <c r="DV60" i="2"/>
  <c r="DV66" i="2" s="1"/>
  <c r="DU60" i="2"/>
  <c r="DT60" i="2"/>
  <c r="DS60" i="2"/>
  <c r="DS66" i="2" s="1"/>
  <c r="DR60" i="2"/>
  <c r="DQ60" i="2"/>
  <c r="DP60" i="2"/>
  <c r="DO60" i="2"/>
  <c r="DN60" i="2"/>
  <c r="DM60" i="2"/>
  <c r="DM66" i="2" s="1"/>
  <c r="DL60" i="2"/>
  <c r="DK60" i="2"/>
  <c r="DK66" i="2" s="1"/>
  <c r="DJ60" i="2"/>
  <c r="DJ66" i="2" s="1"/>
  <c r="DI60" i="2"/>
  <c r="DI66" i="2" s="1"/>
  <c r="DH60" i="2"/>
  <c r="DG60" i="2"/>
  <c r="DG66" i="2" s="1"/>
  <c r="DF60" i="2"/>
  <c r="DE60" i="2"/>
  <c r="DD60" i="2"/>
  <c r="DC60" i="2"/>
  <c r="DA60" i="2"/>
  <c r="DB60" i="2" s="1"/>
  <c r="CZ60" i="2"/>
  <c r="CZ66" i="2" s="1"/>
  <c r="CY60" i="2"/>
  <c r="CX60" i="2"/>
  <c r="CX66" i="2" s="1"/>
  <c r="CW60" i="2"/>
  <c r="CW66" i="2" s="1"/>
  <c r="CV60" i="2"/>
  <c r="CU60" i="2"/>
  <c r="CT60" i="2"/>
  <c r="CS60" i="2"/>
  <c r="CR60" i="2"/>
  <c r="CQ60" i="2"/>
  <c r="CP60" i="2"/>
  <c r="CN60" i="2"/>
  <c r="CO60" i="2" s="1"/>
  <c r="CO66" i="2" s="1"/>
  <c r="CM60" i="2"/>
  <c r="CM66" i="2" s="1"/>
  <c r="CL60" i="2"/>
  <c r="CK60" i="2"/>
  <c r="CK66" i="2" s="1"/>
  <c r="CJ60" i="2"/>
  <c r="CJ66" i="2" s="1"/>
  <c r="CI60" i="2"/>
  <c r="CI66" i="2" s="1"/>
  <c r="CH60" i="2"/>
  <c r="CG60" i="2"/>
  <c r="CF60" i="2"/>
  <c r="CE60" i="2"/>
  <c r="CD60" i="2"/>
  <c r="CC60" i="2"/>
  <c r="CC66" i="2" s="1"/>
  <c r="CA60" i="2"/>
  <c r="CA66" i="2" s="1"/>
  <c r="BZ60" i="2"/>
  <c r="BY60" i="2"/>
  <c r="BY66" i="2" s="1"/>
  <c r="BX60" i="2"/>
  <c r="BX66" i="2" s="1"/>
  <c r="BW60" i="2"/>
  <c r="BW66" i="2" s="1"/>
  <c r="BV60" i="2"/>
  <c r="BU60" i="2"/>
  <c r="BT60" i="2"/>
  <c r="BS60" i="2"/>
  <c r="BR60" i="2"/>
  <c r="BQ60" i="2"/>
  <c r="BQ66" i="2" s="1"/>
  <c r="BP60" i="2"/>
  <c r="BN60" i="2"/>
  <c r="BM60" i="2"/>
  <c r="BM66" i="2" s="1"/>
  <c r="BL60" i="2"/>
  <c r="BL66" i="2" s="1"/>
  <c r="BK60" i="2"/>
  <c r="BK66" i="2" s="1"/>
  <c r="BJ60" i="2"/>
  <c r="BI60" i="2"/>
  <c r="BH60" i="2"/>
  <c r="BG60" i="2"/>
  <c r="BF60" i="2"/>
  <c r="BE60" i="2"/>
  <c r="BD60" i="2"/>
  <c r="BD66" i="2" s="1"/>
  <c r="BC60" i="2"/>
  <c r="BB60" i="2"/>
  <c r="BA60" i="2"/>
  <c r="AZ60" i="2"/>
  <c r="AZ66" i="2" s="1"/>
  <c r="AY60" i="2"/>
  <c r="AY66" i="2" s="1"/>
  <c r="AX60" i="2"/>
  <c r="AX66" i="2" s="1"/>
  <c r="AW60" i="2"/>
  <c r="AV60" i="2"/>
  <c r="AU60" i="2"/>
  <c r="AT60" i="2"/>
  <c r="AS60" i="2"/>
  <c r="AS66" i="2" s="1"/>
  <c r="AR60" i="2"/>
  <c r="AQ60" i="2"/>
  <c r="AP60" i="2"/>
  <c r="AN60" i="2"/>
  <c r="AO60" i="2" s="1"/>
  <c r="AM60" i="2"/>
  <c r="AM66" i="2" s="1"/>
  <c r="AL60" i="2"/>
  <c r="AK60" i="2"/>
  <c r="AK66" i="2" s="1"/>
  <c r="AJ60" i="2"/>
  <c r="AI60" i="2"/>
  <c r="AH60" i="2"/>
  <c r="AG60" i="2"/>
  <c r="AF60" i="2"/>
  <c r="AE60" i="2"/>
  <c r="AD60" i="2"/>
  <c r="AC60" i="2"/>
  <c r="AA60" i="2"/>
  <c r="Z60" i="2"/>
  <c r="Y60" i="2"/>
  <c r="Y66" i="2" s="1"/>
  <c r="X60" i="2"/>
  <c r="X66" i="2" s="1"/>
  <c r="W60" i="2"/>
  <c r="V60" i="2"/>
  <c r="U60" i="2"/>
  <c r="T60" i="2"/>
  <c r="S60" i="2"/>
  <c r="R60" i="2"/>
  <c r="Q60" i="2"/>
  <c r="P60" i="2"/>
  <c r="P66" i="2" s="1"/>
  <c r="N60" i="2"/>
  <c r="O60" i="2" s="1"/>
  <c r="M60" i="2"/>
  <c r="M66" i="2" s="1"/>
  <c r="L60" i="2"/>
  <c r="L66" i="2" s="1"/>
  <c r="K60" i="2"/>
  <c r="J60" i="2"/>
  <c r="I60" i="2"/>
  <c r="I66" i="2" s="1"/>
  <c r="H60" i="2"/>
  <c r="G60" i="2"/>
  <c r="F60" i="2"/>
  <c r="E60" i="2"/>
  <c r="D60" i="2"/>
  <c r="D66" i="2" s="1"/>
  <c r="C60" i="2"/>
  <c r="FN54" i="2"/>
  <c r="FM54" i="2"/>
  <c r="FL54" i="2"/>
  <c r="FK54" i="2"/>
  <c r="FJ54" i="2"/>
  <c r="FI53" i="2"/>
  <c r="FO53" i="2" s="1"/>
  <c r="FH53" i="2"/>
  <c r="FG53" i="2"/>
  <c r="FF53" i="2"/>
  <c r="FE53" i="2"/>
  <c r="FD53" i="2"/>
  <c r="FC53" i="2"/>
  <c r="FB53" i="2"/>
  <c r="FA53" i="2"/>
  <c r="EZ53" i="2"/>
  <c r="EY53" i="2"/>
  <c r="EX53" i="2"/>
  <c r="EW53" i="2"/>
  <c r="EV53" i="2"/>
  <c r="EU53" i="2"/>
  <c r="ET53" i="2"/>
  <c r="ES53" i="2"/>
  <c r="ER53" i="2"/>
  <c r="EQ53" i="2"/>
  <c r="EP53" i="2"/>
  <c r="EN53" i="2"/>
  <c r="EO53" i="2" s="1"/>
  <c r="EM53" i="2"/>
  <c r="EL53" i="2"/>
  <c r="EK53" i="2"/>
  <c r="EJ53" i="2"/>
  <c r="EI53" i="2"/>
  <c r="EH53" i="2"/>
  <c r="EG53" i="2"/>
  <c r="EF53" i="2"/>
  <c r="EE53" i="2"/>
  <c r="ED53" i="2"/>
  <c r="EC53" i="2"/>
  <c r="EA53" i="2"/>
  <c r="EB53" i="2" s="1"/>
  <c r="DZ53" i="2"/>
  <c r="DY53" i="2"/>
  <c r="DX53" i="2"/>
  <c r="DW53" i="2"/>
  <c r="DV53" i="2"/>
  <c r="DU53" i="2"/>
  <c r="DT53" i="2"/>
  <c r="DS53" i="2"/>
  <c r="DR53" i="2"/>
  <c r="DQ53" i="2"/>
  <c r="DP53" i="2"/>
  <c r="DN53" i="2"/>
  <c r="DO53" i="2" s="1"/>
  <c r="DM53" i="2"/>
  <c r="DL53" i="2"/>
  <c r="DK53" i="2"/>
  <c r="DJ53" i="2"/>
  <c r="DI53" i="2"/>
  <c r="DH53" i="2"/>
  <c r="DG53" i="2"/>
  <c r="DF53" i="2"/>
  <c r="DE53" i="2"/>
  <c r="DD53" i="2"/>
  <c r="DC53" i="2"/>
  <c r="DA53" i="2"/>
  <c r="DB53" i="2" s="1"/>
  <c r="CZ53" i="2"/>
  <c r="CY53" i="2"/>
  <c r="CX53" i="2"/>
  <c r="CW53" i="2"/>
  <c r="CV53" i="2"/>
  <c r="CU53" i="2"/>
  <c r="CT53" i="2"/>
  <c r="CS53" i="2"/>
  <c r="CR53" i="2"/>
  <c r="CQ53" i="2"/>
  <c r="CP53" i="2"/>
  <c r="CN53" i="2"/>
  <c r="CO53" i="2" s="1"/>
  <c r="CM53" i="2"/>
  <c r="CL53" i="2"/>
  <c r="CK53" i="2"/>
  <c r="CJ53" i="2"/>
  <c r="CI53" i="2"/>
  <c r="CH53" i="2"/>
  <c r="CG53" i="2"/>
  <c r="CF53" i="2"/>
  <c r="CE53" i="2"/>
  <c r="CD53" i="2"/>
  <c r="CC53" i="2"/>
  <c r="CA53" i="2"/>
  <c r="CB53" i="2" s="1"/>
  <c r="BZ53" i="2"/>
  <c r="BY53" i="2"/>
  <c r="BX53" i="2"/>
  <c r="BW53" i="2"/>
  <c r="BV53" i="2"/>
  <c r="BU53" i="2"/>
  <c r="BT53" i="2"/>
  <c r="BS53" i="2"/>
  <c r="BR53" i="2"/>
  <c r="BQ53" i="2"/>
  <c r="BP53" i="2"/>
  <c r="BN53" i="2"/>
  <c r="BO53" i="2" s="1"/>
  <c r="BM53" i="2"/>
  <c r="BL53" i="2"/>
  <c r="BK53" i="2"/>
  <c r="BJ53" i="2"/>
  <c r="BI53" i="2"/>
  <c r="BH53" i="2"/>
  <c r="BG53" i="2"/>
  <c r="BF53" i="2"/>
  <c r="BE53" i="2"/>
  <c r="BD53" i="2"/>
  <c r="BC53" i="2"/>
  <c r="BA53" i="2"/>
  <c r="BB53" i="2" s="1"/>
  <c r="AZ53" i="2"/>
  <c r="AY53" i="2"/>
  <c r="AX53" i="2"/>
  <c r="AW53" i="2"/>
  <c r="AV53" i="2"/>
  <c r="AU53" i="2"/>
  <c r="AT53" i="2"/>
  <c r="AS53" i="2"/>
  <c r="AR53" i="2"/>
  <c r="AQ53" i="2"/>
  <c r="AP53" i="2"/>
  <c r="AO53" i="2"/>
  <c r="AN53" i="2"/>
  <c r="AM53" i="2"/>
  <c r="AL53" i="2"/>
  <c r="AK53" i="2"/>
  <c r="AJ53" i="2"/>
  <c r="AI53" i="2"/>
  <c r="AH53" i="2"/>
  <c r="AG53" i="2"/>
  <c r="AF53" i="2"/>
  <c r="AE53" i="2"/>
  <c r="AD53" i="2"/>
  <c r="AC53" i="2"/>
  <c r="AB53" i="2"/>
  <c r="AA53" i="2"/>
  <c r="Z53" i="2"/>
  <c r="Y53" i="2"/>
  <c r="X53" i="2"/>
  <c r="W53" i="2"/>
  <c r="V53" i="2"/>
  <c r="U53" i="2"/>
  <c r="T53" i="2"/>
  <c r="S53" i="2"/>
  <c r="R53" i="2"/>
  <c r="Q53" i="2"/>
  <c r="P53" i="2"/>
  <c r="N53" i="2"/>
  <c r="O53" i="2" s="1"/>
  <c r="M53" i="2"/>
  <c r="L53" i="2"/>
  <c r="K53" i="2"/>
  <c r="J53" i="2"/>
  <c r="I53" i="2"/>
  <c r="H53" i="2"/>
  <c r="G53" i="2"/>
  <c r="F53" i="2"/>
  <c r="E53" i="2"/>
  <c r="D53" i="2"/>
  <c r="C53" i="2"/>
  <c r="FI52" i="2"/>
  <c r="FO52" i="2" s="1"/>
  <c r="FH52" i="2"/>
  <c r="FG52" i="2"/>
  <c r="FF52" i="2"/>
  <c r="FE52" i="2"/>
  <c r="FD52" i="2"/>
  <c r="FC52" i="2"/>
  <c r="FA52" i="2"/>
  <c r="FB52" i="2" s="1"/>
  <c r="EZ52" i="2"/>
  <c r="EY52" i="2"/>
  <c r="EX52" i="2"/>
  <c r="EW52" i="2"/>
  <c r="EV52" i="2"/>
  <c r="EU52" i="2"/>
  <c r="ET52" i="2"/>
  <c r="ES52" i="2"/>
  <c r="ER52" i="2"/>
  <c r="EQ52" i="2"/>
  <c r="EP52" i="2"/>
  <c r="EN52" i="2"/>
  <c r="EO52" i="2" s="1"/>
  <c r="EM52" i="2"/>
  <c r="EL52" i="2"/>
  <c r="EK52" i="2"/>
  <c r="EJ52" i="2"/>
  <c r="EI52" i="2"/>
  <c r="EH52" i="2"/>
  <c r="EG52" i="2"/>
  <c r="EF52" i="2"/>
  <c r="EE52" i="2"/>
  <c r="ED52" i="2"/>
  <c r="EC52" i="2"/>
  <c r="EB52" i="2"/>
  <c r="EA52" i="2"/>
  <c r="DZ52" i="2"/>
  <c r="DY52" i="2"/>
  <c r="DX52" i="2"/>
  <c r="DW52" i="2"/>
  <c r="DV52" i="2"/>
  <c r="DU52" i="2"/>
  <c r="DT52" i="2"/>
  <c r="DS52" i="2"/>
  <c r="DR52" i="2"/>
  <c r="DQ52" i="2"/>
  <c r="DP52" i="2"/>
  <c r="DN52" i="2"/>
  <c r="DO52" i="2" s="1"/>
  <c r="DM52" i="2"/>
  <c r="DL52" i="2"/>
  <c r="DK52" i="2"/>
  <c r="DJ52" i="2"/>
  <c r="DI52" i="2"/>
  <c r="DH52" i="2"/>
  <c r="DG52" i="2"/>
  <c r="DF52" i="2"/>
  <c r="DE52" i="2"/>
  <c r="DD52" i="2"/>
  <c r="DC52" i="2"/>
  <c r="DB52" i="2"/>
  <c r="DA52" i="2"/>
  <c r="CZ52" i="2"/>
  <c r="CY52" i="2"/>
  <c r="CX52" i="2"/>
  <c r="CW52" i="2"/>
  <c r="CV52" i="2"/>
  <c r="CU52" i="2"/>
  <c r="CT52" i="2"/>
  <c r="CS52" i="2"/>
  <c r="CR52" i="2"/>
  <c r="CQ52" i="2"/>
  <c r="CP52" i="2"/>
  <c r="CN52" i="2"/>
  <c r="CO52" i="2" s="1"/>
  <c r="CM52" i="2"/>
  <c r="CL52" i="2"/>
  <c r="CK52" i="2"/>
  <c r="CJ52" i="2"/>
  <c r="CI52" i="2"/>
  <c r="CH52" i="2"/>
  <c r="CG52" i="2"/>
  <c r="CF52" i="2"/>
  <c r="CE52" i="2"/>
  <c r="CD52" i="2"/>
  <c r="CC52" i="2"/>
  <c r="CA52" i="2"/>
  <c r="CB52" i="2" s="1"/>
  <c r="BZ52" i="2"/>
  <c r="BY52" i="2"/>
  <c r="BX52" i="2"/>
  <c r="BW52" i="2"/>
  <c r="BV52" i="2"/>
  <c r="BU52" i="2"/>
  <c r="BT52" i="2"/>
  <c r="BS52" i="2"/>
  <c r="BR52" i="2"/>
  <c r="BQ52" i="2"/>
  <c r="BP52" i="2"/>
  <c r="BN52" i="2"/>
  <c r="BO52" i="2" s="1"/>
  <c r="BM52" i="2"/>
  <c r="BL52" i="2"/>
  <c r="BK52" i="2"/>
  <c r="BJ52" i="2"/>
  <c r="BI52" i="2"/>
  <c r="BH52" i="2"/>
  <c r="BG52" i="2"/>
  <c r="BF52" i="2"/>
  <c r="BE52" i="2"/>
  <c r="BD52" i="2"/>
  <c r="BC52" i="2"/>
  <c r="BA52" i="2"/>
  <c r="BB52" i="2" s="1"/>
  <c r="AZ52" i="2"/>
  <c r="AY52" i="2"/>
  <c r="AX52" i="2"/>
  <c r="AW52" i="2"/>
  <c r="AV52" i="2"/>
  <c r="AU52" i="2"/>
  <c r="AT52" i="2"/>
  <c r="AS52" i="2"/>
  <c r="AR52" i="2"/>
  <c r="AQ52" i="2"/>
  <c r="AP52" i="2"/>
  <c r="AN52" i="2"/>
  <c r="AO52" i="2" s="1"/>
  <c r="AM52" i="2"/>
  <c r="AL52" i="2"/>
  <c r="AK52" i="2"/>
  <c r="AJ52" i="2"/>
  <c r="AI52" i="2"/>
  <c r="AH52" i="2"/>
  <c r="AG52" i="2"/>
  <c r="AF52" i="2"/>
  <c r="AE52" i="2"/>
  <c r="AD52" i="2"/>
  <c r="AC52" i="2"/>
  <c r="AB52" i="2"/>
  <c r="AA52" i="2"/>
  <c r="Z52" i="2"/>
  <c r="Y52" i="2"/>
  <c r="X52" i="2"/>
  <c r="W52" i="2"/>
  <c r="V52" i="2"/>
  <c r="U52" i="2"/>
  <c r="T52" i="2"/>
  <c r="S52" i="2"/>
  <c r="R52" i="2"/>
  <c r="Q52" i="2"/>
  <c r="P52" i="2"/>
  <c r="N52" i="2"/>
  <c r="O52" i="2" s="1"/>
  <c r="M52" i="2"/>
  <c r="L52" i="2"/>
  <c r="K52" i="2"/>
  <c r="J52" i="2"/>
  <c r="I52" i="2"/>
  <c r="H52" i="2"/>
  <c r="G52" i="2"/>
  <c r="F52" i="2"/>
  <c r="E52" i="2"/>
  <c r="D52" i="2"/>
  <c r="C52" i="2"/>
  <c r="FI51" i="2"/>
  <c r="FO51" i="2" s="1"/>
  <c r="FH51" i="2"/>
  <c r="FG51" i="2"/>
  <c r="FF51" i="2"/>
  <c r="FE51" i="2"/>
  <c r="FD51" i="2"/>
  <c r="FC51" i="2"/>
  <c r="FA51" i="2"/>
  <c r="FB51" i="2" s="1"/>
  <c r="EZ51" i="2"/>
  <c r="EY51" i="2"/>
  <c r="EX51" i="2"/>
  <c r="EW51" i="2"/>
  <c r="EV51" i="2"/>
  <c r="EU51" i="2"/>
  <c r="ET51" i="2"/>
  <c r="ES51" i="2"/>
  <c r="ER51" i="2"/>
  <c r="EQ51" i="2"/>
  <c r="EP51" i="2"/>
  <c r="EN51" i="2"/>
  <c r="EO51" i="2" s="1"/>
  <c r="EM51" i="2"/>
  <c r="EL51" i="2"/>
  <c r="EK51" i="2"/>
  <c r="EJ51" i="2"/>
  <c r="EI51" i="2"/>
  <c r="EH51" i="2"/>
  <c r="EG51" i="2"/>
  <c r="EF51" i="2"/>
  <c r="EE51" i="2"/>
  <c r="ED51" i="2"/>
  <c r="EC51" i="2"/>
  <c r="EA51" i="2"/>
  <c r="EB51" i="2" s="1"/>
  <c r="DZ51" i="2"/>
  <c r="DY51" i="2"/>
  <c r="DX51" i="2"/>
  <c r="DW51" i="2"/>
  <c r="DV51" i="2"/>
  <c r="DU51" i="2"/>
  <c r="DT51" i="2"/>
  <c r="DS51" i="2"/>
  <c r="DR51" i="2"/>
  <c r="DQ51" i="2"/>
  <c r="DP51" i="2"/>
  <c r="DN51" i="2"/>
  <c r="DO51" i="2" s="1"/>
  <c r="DM51" i="2"/>
  <c r="DL51" i="2"/>
  <c r="DK51" i="2"/>
  <c r="DJ51" i="2"/>
  <c r="DI51" i="2"/>
  <c r="DH51" i="2"/>
  <c r="DG51" i="2"/>
  <c r="DF51" i="2"/>
  <c r="DE51" i="2"/>
  <c r="DD51" i="2"/>
  <c r="DC51" i="2"/>
  <c r="DB51" i="2"/>
  <c r="DA51" i="2"/>
  <c r="CZ51" i="2"/>
  <c r="CY51" i="2"/>
  <c r="CX51" i="2"/>
  <c r="CW51" i="2"/>
  <c r="CV51" i="2"/>
  <c r="CU51" i="2"/>
  <c r="CT51" i="2"/>
  <c r="CS51" i="2"/>
  <c r="CR51" i="2"/>
  <c r="CQ51" i="2"/>
  <c r="CP51" i="2"/>
  <c r="CO51" i="2"/>
  <c r="CN51" i="2"/>
  <c r="CM51" i="2"/>
  <c r="CL51" i="2"/>
  <c r="CK51" i="2"/>
  <c r="CJ51" i="2"/>
  <c r="CI51" i="2"/>
  <c r="CH51" i="2"/>
  <c r="CG51" i="2"/>
  <c r="CF51" i="2"/>
  <c r="CE51" i="2"/>
  <c r="CD51" i="2"/>
  <c r="CC51" i="2"/>
  <c r="CA51" i="2"/>
  <c r="CB51" i="2" s="1"/>
  <c r="BZ51" i="2"/>
  <c r="BY51" i="2"/>
  <c r="BX51" i="2"/>
  <c r="BW51" i="2"/>
  <c r="BV51" i="2"/>
  <c r="BU51" i="2"/>
  <c r="BT51" i="2"/>
  <c r="BS51" i="2"/>
  <c r="BR51" i="2"/>
  <c r="BQ51" i="2"/>
  <c r="BP51" i="2"/>
  <c r="BN51" i="2"/>
  <c r="BO51" i="2" s="1"/>
  <c r="BM51" i="2"/>
  <c r="BL51" i="2"/>
  <c r="BK51" i="2"/>
  <c r="BJ51" i="2"/>
  <c r="BI51" i="2"/>
  <c r="BH51" i="2"/>
  <c r="BG51" i="2"/>
  <c r="BF51" i="2"/>
  <c r="BE51" i="2"/>
  <c r="BD51" i="2"/>
  <c r="BC51" i="2"/>
  <c r="BB51" i="2"/>
  <c r="BA51" i="2"/>
  <c r="AZ51" i="2"/>
  <c r="AY51" i="2"/>
  <c r="AX51" i="2"/>
  <c r="AW51" i="2"/>
  <c r="AV51" i="2"/>
  <c r="AU51" i="2"/>
  <c r="AT51" i="2"/>
  <c r="AS51" i="2"/>
  <c r="AR51" i="2"/>
  <c r="AQ51" i="2"/>
  <c r="AP51" i="2"/>
  <c r="AN51" i="2"/>
  <c r="AO51" i="2" s="1"/>
  <c r="AM51" i="2"/>
  <c r="AL51" i="2"/>
  <c r="AK51" i="2"/>
  <c r="AJ51" i="2"/>
  <c r="AI51" i="2"/>
  <c r="AH51" i="2"/>
  <c r="AG51" i="2"/>
  <c r="AF51" i="2"/>
  <c r="AE51" i="2"/>
  <c r="AD51" i="2"/>
  <c r="AC51" i="2"/>
  <c r="AA51" i="2"/>
  <c r="AB51" i="2" s="1"/>
  <c r="Z51" i="2"/>
  <c r="Y51" i="2"/>
  <c r="X51" i="2"/>
  <c r="W51" i="2"/>
  <c r="V51" i="2"/>
  <c r="U51" i="2"/>
  <c r="T51" i="2"/>
  <c r="S51" i="2"/>
  <c r="R51" i="2"/>
  <c r="Q51" i="2"/>
  <c r="P51" i="2"/>
  <c r="N51" i="2"/>
  <c r="O51" i="2" s="1"/>
  <c r="M51" i="2"/>
  <c r="L51" i="2"/>
  <c r="K51" i="2"/>
  <c r="J51" i="2"/>
  <c r="I51" i="2"/>
  <c r="H51" i="2"/>
  <c r="G51" i="2"/>
  <c r="F51" i="2"/>
  <c r="E51" i="2"/>
  <c r="D51" i="2"/>
  <c r="C51" i="2"/>
  <c r="FI50" i="2"/>
  <c r="FO50" i="2" s="1"/>
  <c r="FH50" i="2"/>
  <c r="FG50" i="2"/>
  <c r="FF50" i="2"/>
  <c r="FE50" i="2"/>
  <c r="FD50" i="2"/>
  <c r="FC50" i="2"/>
  <c r="FB50" i="2"/>
  <c r="FA50" i="2"/>
  <c r="EZ50" i="2"/>
  <c r="EY50" i="2"/>
  <c r="EX50" i="2"/>
  <c r="EW50" i="2"/>
  <c r="EV50" i="2"/>
  <c r="EU50" i="2"/>
  <c r="ET50" i="2"/>
  <c r="ES50" i="2"/>
  <c r="ER50" i="2"/>
  <c r="EQ50" i="2"/>
  <c r="EP50" i="2"/>
  <c r="EN50" i="2"/>
  <c r="EO50" i="2" s="1"/>
  <c r="EM50" i="2"/>
  <c r="EL50" i="2"/>
  <c r="EK50" i="2"/>
  <c r="EJ50" i="2"/>
  <c r="EI50" i="2"/>
  <c r="EH50" i="2"/>
  <c r="EG50" i="2"/>
  <c r="EF50" i="2"/>
  <c r="EE50" i="2"/>
  <c r="ED50" i="2"/>
  <c r="EC50" i="2"/>
  <c r="EA50" i="2"/>
  <c r="EB50" i="2" s="1"/>
  <c r="DZ50" i="2"/>
  <c r="DY50" i="2"/>
  <c r="DX50" i="2"/>
  <c r="DW50" i="2"/>
  <c r="DV50" i="2"/>
  <c r="DU50" i="2"/>
  <c r="DU54" i="2" s="1"/>
  <c r="DT50" i="2"/>
  <c r="DS50" i="2"/>
  <c r="DR50" i="2"/>
  <c r="DQ50" i="2"/>
  <c r="DP50" i="2"/>
  <c r="DO50" i="2"/>
  <c r="DN50" i="2"/>
  <c r="DM50" i="2"/>
  <c r="DL50" i="2"/>
  <c r="DK50" i="2"/>
  <c r="DJ50" i="2"/>
  <c r="DI50" i="2"/>
  <c r="DH50" i="2"/>
  <c r="DG50" i="2"/>
  <c r="DF50" i="2"/>
  <c r="DE50" i="2"/>
  <c r="DD50" i="2"/>
  <c r="DC50" i="2"/>
  <c r="DA50" i="2"/>
  <c r="DB50" i="2" s="1"/>
  <c r="CZ50" i="2"/>
  <c r="CY50" i="2"/>
  <c r="CX50" i="2"/>
  <c r="CW50" i="2"/>
  <c r="CV50" i="2"/>
  <c r="CU50" i="2"/>
  <c r="CT50" i="2"/>
  <c r="CS50" i="2"/>
  <c r="CR50" i="2"/>
  <c r="CQ50" i="2"/>
  <c r="CP50" i="2"/>
  <c r="CN50" i="2"/>
  <c r="CO50" i="2" s="1"/>
  <c r="CM50" i="2"/>
  <c r="CL50" i="2"/>
  <c r="CK50" i="2"/>
  <c r="CJ50" i="2"/>
  <c r="CI50" i="2"/>
  <c r="CH50" i="2"/>
  <c r="CG50" i="2"/>
  <c r="CF50" i="2"/>
  <c r="CE50" i="2"/>
  <c r="CD50" i="2"/>
  <c r="CC50" i="2"/>
  <c r="CA50" i="2"/>
  <c r="CB50" i="2" s="1"/>
  <c r="BZ50" i="2"/>
  <c r="BY50" i="2"/>
  <c r="BX50" i="2"/>
  <c r="BW50" i="2"/>
  <c r="BV50" i="2"/>
  <c r="BU50" i="2"/>
  <c r="BT50" i="2"/>
  <c r="BS50" i="2"/>
  <c r="BR50" i="2"/>
  <c r="BQ50" i="2"/>
  <c r="BP50" i="2"/>
  <c r="BN50" i="2"/>
  <c r="BO50" i="2" s="1"/>
  <c r="BM50" i="2"/>
  <c r="BL50" i="2"/>
  <c r="BK50" i="2"/>
  <c r="BJ50" i="2"/>
  <c r="BI50" i="2"/>
  <c r="BH50" i="2"/>
  <c r="BG50" i="2"/>
  <c r="BF50" i="2"/>
  <c r="BE50" i="2"/>
  <c r="BD50" i="2"/>
  <c r="BC50" i="2"/>
  <c r="BA50" i="2"/>
  <c r="BB50" i="2" s="1"/>
  <c r="AZ50" i="2"/>
  <c r="AY50" i="2"/>
  <c r="AX50" i="2"/>
  <c r="AW50" i="2"/>
  <c r="AV50" i="2"/>
  <c r="AU50" i="2"/>
  <c r="AT50" i="2"/>
  <c r="AS50" i="2"/>
  <c r="AR50" i="2"/>
  <c r="AQ50" i="2"/>
  <c r="AP50" i="2"/>
  <c r="AO50" i="2"/>
  <c r="AN50" i="2"/>
  <c r="AM50" i="2"/>
  <c r="AL50" i="2"/>
  <c r="AK50" i="2"/>
  <c r="AJ50" i="2"/>
  <c r="AI50" i="2"/>
  <c r="AH50" i="2"/>
  <c r="AG50" i="2"/>
  <c r="AF50" i="2"/>
  <c r="AE50" i="2"/>
  <c r="AD50" i="2"/>
  <c r="AC50" i="2"/>
  <c r="AA50" i="2"/>
  <c r="AB50" i="2" s="1"/>
  <c r="Z50" i="2"/>
  <c r="Y50" i="2"/>
  <c r="X50" i="2"/>
  <c r="W50" i="2"/>
  <c r="V50" i="2"/>
  <c r="U50" i="2"/>
  <c r="T50" i="2"/>
  <c r="S50" i="2"/>
  <c r="R50" i="2"/>
  <c r="Q50" i="2"/>
  <c r="P50" i="2"/>
  <c r="N50" i="2"/>
  <c r="O50" i="2" s="1"/>
  <c r="M50" i="2"/>
  <c r="L50" i="2"/>
  <c r="K50" i="2"/>
  <c r="J50" i="2"/>
  <c r="I50" i="2"/>
  <c r="H50" i="2"/>
  <c r="G50" i="2"/>
  <c r="F50" i="2"/>
  <c r="E50" i="2"/>
  <c r="D50" i="2"/>
  <c r="C50" i="2"/>
  <c r="FO49" i="2"/>
  <c r="FI49" i="2"/>
  <c r="FH49" i="2"/>
  <c r="FG49" i="2"/>
  <c r="FF49" i="2"/>
  <c r="FE49" i="2"/>
  <c r="FD49" i="2"/>
  <c r="FC49" i="2"/>
  <c r="FB49" i="2"/>
  <c r="FA49" i="2"/>
  <c r="EZ49" i="2"/>
  <c r="EY49" i="2"/>
  <c r="EX49" i="2"/>
  <c r="EW49" i="2"/>
  <c r="EV49" i="2"/>
  <c r="EU49" i="2"/>
  <c r="ET49" i="2"/>
  <c r="ES49" i="2"/>
  <c r="ER49" i="2"/>
  <c r="EQ49" i="2"/>
  <c r="EP49" i="2"/>
  <c r="EN49" i="2"/>
  <c r="EO49" i="2" s="1"/>
  <c r="EM49" i="2"/>
  <c r="EL49" i="2"/>
  <c r="EK49" i="2"/>
  <c r="EJ49" i="2"/>
  <c r="EI49" i="2"/>
  <c r="EH49" i="2"/>
  <c r="EG49" i="2"/>
  <c r="EF49" i="2"/>
  <c r="EE49" i="2"/>
  <c r="ED49" i="2"/>
  <c r="EC49" i="2"/>
  <c r="EB49" i="2"/>
  <c r="EA49" i="2"/>
  <c r="DZ49" i="2"/>
  <c r="DY49" i="2"/>
  <c r="DX49" i="2"/>
  <c r="DW49" i="2"/>
  <c r="DV49" i="2"/>
  <c r="DU49" i="2"/>
  <c r="DT49" i="2"/>
  <c r="DS49" i="2"/>
  <c r="DR49" i="2"/>
  <c r="DQ49" i="2"/>
  <c r="DP49" i="2"/>
  <c r="DN49" i="2"/>
  <c r="DO49" i="2" s="1"/>
  <c r="DM49" i="2"/>
  <c r="DL49" i="2"/>
  <c r="DK49" i="2"/>
  <c r="DJ49" i="2"/>
  <c r="DI49" i="2"/>
  <c r="DH49" i="2"/>
  <c r="DG49" i="2"/>
  <c r="DF49" i="2"/>
  <c r="DE49" i="2"/>
  <c r="DD49" i="2"/>
  <c r="DC49" i="2"/>
  <c r="DA49" i="2"/>
  <c r="DB49" i="2" s="1"/>
  <c r="CZ49" i="2"/>
  <c r="CY49" i="2"/>
  <c r="CX49" i="2"/>
  <c r="CW49" i="2"/>
  <c r="CV49" i="2"/>
  <c r="CU49" i="2"/>
  <c r="CT49" i="2"/>
  <c r="CS49" i="2"/>
  <c r="CR49" i="2"/>
  <c r="CQ49" i="2"/>
  <c r="CP49" i="2"/>
  <c r="CN49" i="2"/>
  <c r="CO49" i="2" s="1"/>
  <c r="CM49" i="2"/>
  <c r="CL49" i="2"/>
  <c r="CK49" i="2"/>
  <c r="CJ49" i="2"/>
  <c r="CI49" i="2"/>
  <c r="CH49" i="2"/>
  <c r="CG49" i="2"/>
  <c r="CF49" i="2"/>
  <c r="CE49" i="2"/>
  <c r="CD49" i="2"/>
  <c r="CC49" i="2"/>
  <c r="CA49" i="2"/>
  <c r="CB49" i="2" s="1"/>
  <c r="BZ49" i="2"/>
  <c r="BY49" i="2"/>
  <c r="BX49" i="2"/>
  <c r="BW49" i="2"/>
  <c r="BV49" i="2"/>
  <c r="BU49" i="2"/>
  <c r="BT49" i="2"/>
  <c r="BS49" i="2"/>
  <c r="BR49" i="2"/>
  <c r="BQ49" i="2"/>
  <c r="BP49" i="2"/>
  <c r="BO49" i="2"/>
  <c r="BN49" i="2"/>
  <c r="BM49" i="2"/>
  <c r="BL49" i="2"/>
  <c r="BK49" i="2"/>
  <c r="BJ49" i="2"/>
  <c r="BI49" i="2"/>
  <c r="BH49" i="2"/>
  <c r="BG49" i="2"/>
  <c r="BF49" i="2"/>
  <c r="BE49" i="2"/>
  <c r="BD49" i="2"/>
  <c r="BC49" i="2"/>
  <c r="BA49" i="2"/>
  <c r="BB49" i="2" s="1"/>
  <c r="AZ49" i="2"/>
  <c r="AY49" i="2"/>
  <c r="AX49" i="2"/>
  <c r="AW49" i="2"/>
  <c r="AV49" i="2"/>
  <c r="AU49" i="2"/>
  <c r="AT49" i="2"/>
  <c r="AS49" i="2"/>
  <c r="AR49" i="2"/>
  <c r="AQ49" i="2"/>
  <c r="AP49" i="2"/>
  <c r="AN49" i="2"/>
  <c r="AO49" i="2" s="1"/>
  <c r="AM49" i="2"/>
  <c r="AL49" i="2"/>
  <c r="AK49" i="2"/>
  <c r="AJ49" i="2"/>
  <c r="AI49" i="2"/>
  <c r="AH49" i="2"/>
  <c r="AG49" i="2"/>
  <c r="AF49" i="2"/>
  <c r="AE49" i="2"/>
  <c r="AD49" i="2"/>
  <c r="AC49" i="2"/>
  <c r="AA49" i="2"/>
  <c r="AB49" i="2" s="1"/>
  <c r="Z49" i="2"/>
  <c r="Y49" i="2"/>
  <c r="X49" i="2"/>
  <c r="W49" i="2"/>
  <c r="V49" i="2"/>
  <c r="U49" i="2"/>
  <c r="T49" i="2"/>
  <c r="S49" i="2"/>
  <c r="R49" i="2"/>
  <c r="Q49" i="2"/>
  <c r="P49" i="2"/>
  <c r="N49" i="2"/>
  <c r="O49" i="2" s="1"/>
  <c r="M49" i="2"/>
  <c r="L49" i="2"/>
  <c r="K49" i="2"/>
  <c r="J49" i="2"/>
  <c r="I49" i="2"/>
  <c r="H49" i="2"/>
  <c r="G49" i="2"/>
  <c r="F49" i="2"/>
  <c r="E49" i="2"/>
  <c r="D49" i="2"/>
  <c r="C49" i="2"/>
  <c r="FI48" i="2"/>
  <c r="FI54" i="2" s="1"/>
  <c r="FH48" i="2"/>
  <c r="FG48" i="2"/>
  <c r="FF48" i="2"/>
  <c r="FE48" i="2"/>
  <c r="FD48" i="2"/>
  <c r="FC48" i="2"/>
  <c r="FA48" i="2"/>
  <c r="FB48" i="2" s="1"/>
  <c r="EZ48" i="2"/>
  <c r="EY48" i="2"/>
  <c r="EY54" i="2" s="1"/>
  <c r="EX48" i="2"/>
  <c r="EW48" i="2"/>
  <c r="EW54" i="2" s="1"/>
  <c r="EV48" i="2"/>
  <c r="EU48" i="2"/>
  <c r="EU54" i="2" s="1"/>
  <c r="ET48" i="2"/>
  <c r="ES48" i="2"/>
  <c r="ER48" i="2"/>
  <c r="EQ48" i="2"/>
  <c r="EP48" i="2"/>
  <c r="EN48" i="2"/>
  <c r="EO48" i="2" s="1"/>
  <c r="EM48" i="2"/>
  <c r="EL48" i="2"/>
  <c r="EL54" i="2" s="1"/>
  <c r="EK48" i="2"/>
  <c r="EK54" i="2" s="1"/>
  <c r="EJ48" i="2"/>
  <c r="EI48" i="2"/>
  <c r="EI54" i="2" s="1"/>
  <c r="EH48" i="2"/>
  <c r="EG48" i="2"/>
  <c r="EF48" i="2"/>
  <c r="EE48" i="2"/>
  <c r="ED48" i="2"/>
  <c r="EC48" i="2"/>
  <c r="EB48" i="2"/>
  <c r="EA48" i="2"/>
  <c r="DZ48" i="2"/>
  <c r="DZ54" i="2" s="1"/>
  <c r="DY48" i="2"/>
  <c r="DY54" i="2" s="1"/>
  <c r="DX48" i="2"/>
  <c r="DW48" i="2"/>
  <c r="DW54" i="2" s="1"/>
  <c r="DV48" i="2"/>
  <c r="DU48" i="2"/>
  <c r="DT48" i="2"/>
  <c r="DS48" i="2"/>
  <c r="DR48" i="2"/>
  <c r="DQ48" i="2"/>
  <c r="DP48" i="2"/>
  <c r="DN48" i="2"/>
  <c r="DM48" i="2"/>
  <c r="DM54" i="2" s="1"/>
  <c r="DL48" i="2"/>
  <c r="DK48" i="2"/>
  <c r="DJ48" i="2"/>
  <c r="DI48" i="2"/>
  <c r="DH48" i="2"/>
  <c r="DG48" i="2"/>
  <c r="DG54" i="2" s="1"/>
  <c r="DF48" i="2"/>
  <c r="DE48" i="2"/>
  <c r="DD48" i="2"/>
  <c r="DC48" i="2"/>
  <c r="DC54" i="2" s="1"/>
  <c r="DA48" i="2"/>
  <c r="CZ48" i="2"/>
  <c r="CY48" i="2"/>
  <c r="CX48" i="2"/>
  <c r="CW48" i="2"/>
  <c r="CV48" i="2"/>
  <c r="CU48" i="2"/>
  <c r="CT48" i="2"/>
  <c r="CS48" i="2"/>
  <c r="CR48" i="2"/>
  <c r="CQ48" i="2"/>
  <c r="CP48" i="2"/>
  <c r="CP54" i="2" s="1"/>
  <c r="CN48" i="2"/>
  <c r="CO48" i="2" s="1"/>
  <c r="CO54" i="2" s="1"/>
  <c r="CM48" i="2"/>
  <c r="CM54" i="2" s="1"/>
  <c r="CL48" i="2"/>
  <c r="CK48" i="2"/>
  <c r="CJ48" i="2"/>
  <c r="CI48" i="2"/>
  <c r="CH48" i="2"/>
  <c r="CG48" i="2"/>
  <c r="CF48" i="2"/>
  <c r="CF54" i="2" s="1"/>
  <c r="CE48" i="2"/>
  <c r="CE54" i="2" s="1"/>
  <c r="CD48" i="2"/>
  <c r="CD54" i="2" s="1"/>
  <c r="CC48" i="2"/>
  <c r="CB48" i="2"/>
  <c r="CA48" i="2"/>
  <c r="CA54" i="2" s="1"/>
  <c r="BZ48" i="2"/>
  <c r="BY48" i="2"/>
  <c r="BX48" i="2"/>
  <c r="BW48" i="2"/>
  <c r="BV48" i="2"/>
  <c r="BU48" i="2"/>
  <c r="BT48" i="2"/>
  <c r="BT54" i="2" s="1"/>
  <c r="BS48" i="2"/>
  <c r="BS54" i="2" s="1"/>
  <c r="BR48" i="2"/>
  <c r="BR54" i="2" s="1"/>
  <c r="BQ48" i="2"/>
  <c r="BQ54" i="2" s="1"/>
  <c r="BP48" i="2"/>
  <c r="BP54" i="2" s="1"/>
  <c r="BN48" i="2"/>
  <c r="BO48" i="2" s="1"/>
  <c r="BM48" i="2"/>
  <c r="BL48" i="2"/>
  <c r="BK48" i="2"/>
  <c r="BK54" i="2" s="1"/>
  <c r="BJ48" i="2"/>
  <c r="BI48" i="2"/>
  <c r="BH48" i="2"/>
  <c r="BH54" i="2" s="1"/>
  <c r="BG48" i="2"/>
  <c r="BG54" i="2" s="1"/>
  <c r="BF48" i="2"/>
  <c r="BF54" i="2" s="1"/>
  <c r="BE48" i="2"/>
  <c r="BE54" i="2" s="1"/>
  <c r="BD48" i="2"/>
  <c r="BC48" i="2"/>
  <c r="BC54" i="2" s="1"/>
  <c r="BA48" i="2"/>
  <c r="AZ48" i="2"/>
  <c r="AY48" i="2"/>
  <c r="AX48" i="2"/>
  <c r="AW48" i="2"/>
  <c r="AV48" i="2"/>
  <c r="AV54" i="2" s="1"/>
  <c r="AU48" i="2"/>
  <c r="AU54" i="2" s="1"/>
  <c r="AT48" i="2"/>
  <c r="AT54" i="2" s="1"/>
  <c r="AS48" i="2"/>
  <c r="AS54" i="2" s="1"/>
  <c r="AR48" i="2"/>
  <c r="AQ48" i="2"/>
  <c r="AQ54" i="2" s="1"/>
  <c r="AP48" i="2"/>
  <c r="AP54" i="2" s="1"/>
  <c r="AN48" i="2"/>
  <c r="AO48" i="2" s="1"/>
  <c r="AM48" i="2"/>
  <c r="AL48" i="2"/>
  <c r="AK48" i="2"/>
  <c r="AJ48" i="2"/>
  <c r="AJ54" i="2" s="1"/>
  <c r="AI48" i="2"/>
  <c r="AI54" i="2" s="1"/>
  <c r="AH48" i="2"/>
  <c r="AH54" i="2" s="1"/>
  <c r="AG48" i="2"/>
  <c r="AG54" i="2" s="1"/>
  <c r="AF48" i="2"/>
  <c r="AE48" i="2"/>
  <c r="AD48" i="2"/>
  <c r="AD54" i="2" s="1"/>
  <c r="AC48" i="2"/>
  <c r="AC54" i="2" s="1"/>
  <c r="AA48" i="2"/>
  <c r="AB48" i="2" s="1"/>
  <c r="Z48" i="2"/>
  <c r="Y48" i="2"/>
  <c r="X48" i="2"/>
  <c r="X54" i="2" s="1"/>
  <c r="W48" i="2"/>
  <c r="W54" i="2" s="1"/>
  <c r="V48" i="2"/>
  <c r="V54" i="2" s="1"/>
  <c r="U48" i="2"/>
  <c r="U54" i="2" s="1"/>
  <c r="T48" i="2"/>
  <c r="S48" i="2"/>
  <c r="S54" i="2" s="1"/>
  <c r="R48" i="2"/>
  <c r="Q48" i="2"/>
  <c r="Q54" i="2" s="1"/>
  <c r="P48" i="2"/>
  <c r="P54" i="2" s="1"/>
  <c r="O48" i="2"/>
  <c r="N48" i="2"/>
  <c r="M48" i="2"/>
  <c r="L48" i="2"/>
  <c r="K48" i="2"/>
  <c r="K54" i="2" s="1"/>
  <c r="J48" i="2"/>
  <c r="J54" i="2" s="1"/>
  <c r="I48" i="2"/>
  <c r="I54" i="2" s="1"/>
  <c r="H48" i="2"/>
  <c r="G48" i="2"/>
  <c r="G54" i="2" s="1"/>
  <c r="F48" i="2"/>
  <c r="E48" i="2"/>
  <c r="E54" i="2" s="1"/>
  <c r="D48" i="2"/>
  <c r="D54" i="2" s="1"/>
  <c r="C48" i="2"/>
  <c r="C54" i="2" s="1"/>
  <c r="FN39" i="2"/>
  <c r="FM39" i="2"/>
  <c r="FL39" i="2"/>
  <c r="FK39" i="2"/>
  <c r="FJ39" i="2"/>
  <c r="FI38" i="2"/>
  <c r="FO38" i="2" s="1"/>
  <c r="FH38" i="2"/>
  <c r="FG38" i="2"/>
  <c r="FF38" i="2"/>
  <c r="FE38" i="2"/>
  <c r="FD38" i="2"/>
  <c r="FC38" i="2"/>
  <c r="FA38" i="2"/>
  <c r="FB38" i="2" s="1"/>
  <c r="EZ38" i="2"/>
  <c r="EY38" i="2"/>
  <c r="EX38" i="2"/>
  <c r="EW38" i="2"/>
  <c r="EV38" i="2"/>
  <c r="EU38" i="2"/>
  <c r="ET38" i="2"/>
  <c r="ES38" i="2"/>
  <c r="ER38" i="2"/>
  <c r="EQ38" i="2"/>
  <c r="EP38" i="2"/>
  <c r="EN38" i="2"/>
  <c r="EO38" i="2" s="1"/>
  <c r="EM38" i="2"/>
  <c r="EL38" i="2"/>
  <c r="EK38" i="2"/>
  <c r="EJ38" i="2"/>
  <c r="EI38" i="2"/>
  <c r="EH38" i="2"/>
  <c r="EG38" i="2"/>
  <c r="EF38" i="2"/>
  <c r="EE38" i="2"/>
  <c r="ED38" i="2"/>
  <c r="EC38" i="2"/>
  <c r="EB38" i="2"/>
  <c r="EA38" i="2"/>
  <c r="DZ38" i="2"/>
  <c r="DY38" i="2"/>
  <c r="DX38" i="2"/>
  <c r="DW38" i="2"/>
  <c r="DV38" i="2"/>
  <c r="DU38" i="2"/>
  <c r="DT38" i="2"/>
  <c r="DS38" i="2"/>
  <c r="DR38" i="2"/>
  <c r="DQ38" i="2"/>
  <c r="DP38" i="2"/>
  <c r="DN38" i="2"/>
  <c r="DO38" i="2" s="1"/>
  <c r="DM38" i="2"/>
  <c r="DL38" i="2"/>
  <c r="DK38" i="2"/>
  <c r="DJ38" i="2"/>
  <c r="DI38" i="2"/>
  <c r="DH38" i="2"/>
  <c r="DG38" i="2"/>
  <c r="DF38" i="2"/>
  <c r="DE38" i="2"/>
  <c r="DD38" i="2"/>
  <c r="DC38" i="2"/>
  <c r="DA38" i="2"/>
  <c r="DB38" i="2" s="1"/>
  <c r="CZ38" i="2"/>
  <c r="CY38" i="2"/>
  <c r="CX38" i="2"/>
  <c r="CW38" i="2"/>
  <c r="CV38" i="2"/>
  <c r="CU38" i="2"/>
  <c r="CT38" i="2"/>
  <c r="CS38" i="2"/>
  <c r="CR38" i="2"/>
  <c r="CQ38" i="2"/>
  <c r="CP38" i="2"/>
  <c r="CO38" i="2"/>
  <c r="CN38" i="2"/>
  <c r="CM38" i="2"/>
  <c r="CL38" i="2"/>
  <c r="CK38" i="2"/>
  <c r="CJ38" i="2"/>
  <c r="CI38" i="2"/>
  <c r="CH38" i="2"/>
  <c r="CG38" i="2"/>
  <c r="CF38" i="2"/>
  <c r="CE38" i="2"/>
  <c r="CD38" i="2"/>
  <c r="CC38" i="2"/>
  <c r="CA38" i="2"/>
  <c r="CB38" i="2" s="1"/>
  <c r="BZ38" i="2"/>
  <c r="BY38" i="2"/>
  <c r="BX38" i="2"/>
  <c r="BW38" i="2"/>
  <c r="BV38" i="2"/>
  <c r="BU38" i="2"/>
  <c r="BT38" i="2"/>
  <c r="BS38" i="2"/>
  <c r="BR38" i="2"/>
  <c r="BQ38" i="2"/>
  <c r="BP38" i="2"/>
  <c r="BN38" i="2"/>
  <c r="BO38" i="2" s="1"/>
  <c r="BM38" i="2"/>
  <c r="BL38" i="2"/>
  <c r="BK38" i="2"/>
  <c r="BJ38" i="2"/>
  <c r="BI38" i="2"/>
  <c r="BH38" i="2"/>
  <c r="BG38" i="2"/>
  <c r="BF38" i="2"/>
  <c r="BE38" i="2"/>
  <c r="BD38" i="2"/>
  <c r="BC38" i="2"/>
  <c r="BA38" i="2"/>
  <c r="BB38" i="2" s="1"/>
  <c r="AZ38" i="2"/>
  <c r="AY38" i="2"/>
  <c r="AX38" i="2"/>
  <c r="AW38" i="2"/>
  <c r="AV38" i="2"/>
  <c r="AU38" i="2"/>
  <c r="AT38" i="2"/>
  <c r="AS38" i="2"/>
  <c r="AR38" i="2"/>
  <c r="AQ38" i="2"/>
  <c r="AP38" i="2"/>
  <c r="AO38" i="2"/>
  <c r="AN38" i="2"/>
  <c r="AM38" i="2"/>
  <c r="AL38" i="2"/>
  <c r="AK38" i="2"/>
  <c r="AJ38" i="2"/>
  <c r="AI38" i="2"/>
  <c r="AH38" i="2"/>
  <c r="AG38" i="2"/>
  <c r="AF38" i="2"/>
  <c r="AE38" i="2"/>
  <c r="AD38" i="2"/>
  <c r="AC38" i="2"/>
  <c r="AA38" i="2"/>
  <c r="AB38" i="2" s="1"/>
  <c r="Z38" i="2"/>
  <c r="Y38" i="2"/>
  <c r="X38" i="2"/>
  <c r="W38" i="2"/>
  <c r="V38" i="2"/>
  <c r="U38" i="2"/>
  <c r="T38" i="2"/>
  <c r="S38" i="2"/>
  <c r="R38" i="2"/>
  <c r="Q38" i="2"/>
  <c r="P38" i="2"/>
  <c r="N38" i="2"/>
  <c r="O38" i="2" s="1"/>
  <c r="M38" i="2"/>
  <c r="L38" i="2"/>
  <c r="K38" i="2"/>
  <c r="J38" i="2"/>
  <c r="I38" i="2"/>
  <c r="H38" i="2"/>
  <c r="G38" i="2"/>
  <c r="F38" i="2"/>
  <c r="E38" i="2"/>
  <c r="D38" i="2"/>
  <c r="C38" i="2"/>
  <c r="FO37" i="2"/>
  <c r="FI37" i="2"/>
  <c r="FH37" i="2"/>
  <c r="FG37" i="2"/>
  <c r="FF37" i="2"/>
  <c r="FE37" i="2"/>
  <c r="FD37" i="2"/>
  <c r="FC37" i="2"/>
  <c r="FB37" i="2"/>
  <c r="FA37" i="2"/>
  <c r="EZ37" i="2"/>
  <c r="EY37" i="2"/>
  <c r="EX37" i="2"/>
  <c r="EW37" i="2"/>
  <c r="EV37" i="2"/>
  <c r="EU37" i="2"/>
  <c r="ET37" i="2"/>
  <c r="ES37" i="2"/>
  <c r="ER37" i="2"/>
  <c r="EQ37" i="2"/>
  <c r="EP37" i="2"/>
  <c r="EN37" i="2"/>
  <c r="EO37" i="2" s="1"/>
  <c r="EM37" i="2"/>
  <c r="EL37" i="2"/>
  <c r="EK37" i="2"/>
  <c r="EJ37" i="2"/>
  <c r="EI37" i="2"/>
  <c r="EH37" i="2"/>
  <c r="EG37" i="2"/>
  <c r="EF37" i="2"/>
  <c r="EE37" i="2"/>
  <c r="ED37" i="2"/>
  <c r="EC37" i="2"/>
  <c r="EA37" i="2"/>
  <c r="EB37" i="2" s="1"/>
  <c r="DZ37" i="2"/>
  <c r="DY37" i="2"/>
  <c r="DX37" i="2"/>
  <c r="DW37" i="2"/>
  <c r="DV37" i="2"/>
  <c r="DU37" i="2"/>
  <c r="DT37" i="2"/>
  <c r="DS37" i="2"/>
  <c r="DR37" i="2"/>
  <c r="DQ37" i="2"/>
  <c r="DP37" i="2"/>
  <c r="DN37" i="2"/>
  <c r="DO37" i="2" s="1"/>
  <c r="DM37" i="2"/>
  <c r="DL37" i="2"/>
  <c r="DK37" i="2"/>
  <c r="DJ37" i="2"/>
  <c r="DI37" i="2"/>
  <c r="DH37" i="2"/>
  <c r="DG37" i="2"/>
  <c r="DF37" i="2"/>
  <c r="DE37" i="2"/>
  <c r="DD37" i="2"/>
  <c r="DC37" i="2"/>
  <c r="DB37" i="2"/>
  <c r="DA37" i="2"/>
  <c r="CZ37" i="2"/>
  <c r="CY37" i="2"/>
  <c r="CX37" i="2"/>
  <c r="CW37" i="2"/>
  <c r="CV37" i="2"/>
  <c r="CU37" i="2"/>
  <c r="CT37" i="2"/>
  <c r="CS37" i="2"/>
  <c r="CR37" i="2"/>
  <c r="CQ37" i="2"/>
  <c r="CP37" i="2"/>
  <c r="CN37" i="2"/>
  <c r="CO37" i="2" s="1"/>
  <c r="CM37" i="2"/>
  <c r="CL37" i="2"/>
  <c r="CK37" i="2"/>
  <c r="CJ37" i="2"/>
  <c r="CI37" i="2"/>
  <c r="CH37" i="2"/>
  <c r="CG37" i="2"/>
  <c r="CF37" i="2"/>
  <c r="CE37" i="2"/>
  <c r="CD37" i="2"/>
  <c r="CC37" i="2"/>
  <c r="CA37" i="2"/>
  <c r="CB37" i="2" s="1"/>
  <c r="BZ37" i="2"/>
  <c r="BY37" i="2"/>
  <c r="BX37" i="2"/>
  <c r="BW37" i="2"/>
  <c r="BV37" i="2"/>
  <c r="BU37" i="2"/>
  <c r="BT37" i="2"/>
  <c r="BS37" i="2"/>
  <c r="BR37" i="2"/>
  <c r="BQ37" i="2"/>
  <c r="BP37" i="2"/>
  <c r="BN37" i="2"/>
  <c r="BO37" i="2" s="1"/>
  <c r="BM37" i="2"/>
  <c r="BL37" i="2"/>
  <c r="BK37" i="2"/>
  <c r="BJ37" i="2"/>
  <c r="BI37" i="2"/>
  <c r="BH37" i="2"/>
  <c r="BG37" i="2"/>
  <c r="BF37" i="2"/>
  <c r="BE37" i="2"/>
  <c r="BD37" i="2"/>
  <c r="BC37" i="2"/>
  <c r="BA37" i="2"/>
  <c r="BB37" i="2" s="1"/>
  <c r="AZ37" i="2"/>
  <c r="AY37" i="2"/>
  <c r="AX37" i="2"/>
  <c r="AW37" i="2"/>
  <c r="AV37" i="2"/>
  <c r="AU37" i="2"/>
  <c r="AT37" i="2"/>
  <c r="AS37" i="2"/>
  <c r="AR37" i="2"/>
  <c r="AQ37" i="2"/>
  <c r="AP37" i="2"/>
  <c r="AO37" i="2"/>
  <c r="AN37" i="2"/>
  <c r="AM37" i="2"/>
  <c r="AL37" i="2"/>
  <c r="AK37" i="2"/>
  <c r="AJ37" i="2"/>
  <c r="AI37" i="2"/>
  <c r="AH37" i="2"/>
  <c r="AG37" i="2"/>
  <c r="AF37" i="2"/>
  <c r="AE37" i="2"/>
  <c r="AD37" i="2"/>
  <c r="AC37" i="2"/>
  <c r="AA37" i="2"/>
  <c r="AB37" i="2" s="1"/>
  <c r="Z37" i="2"/>
  <c r="Y37" i="2"/>
  <c r="X37" i="2"/>
  <c r="W37" i="2"/>
  <c r="V37" i="2"/>
  <c r="U37" i="2"/>
  <c r="T37" i="2"/>
  <c r="S37" i="2"/>
  <c r="R37" i="2"/>
  <c r="Q37" i="2"/>
  <c r="P37" i="2"/>
  <c r="O37" i="2"/>
  <c r="N37" i="2"/>
  <c r="M37" i="2"/>
  <c r="L37" i="2"/>
  <c r="K37" i="2"/>
  <c r="J37" i="2"/>
  <c r="I37" i="2"/>
  <c r="H37" i="2"/>
  <c r="G37" i="2"/>
  <c r="F37" i="2"/>
  <c r="E37" i="2"/>
  <c r="D37" i="2"/>
  <c r="C37" i="2"/>
  <c r="FI36" i="2"/>
  <c r="FO36" i="2" s="1"/>
  <c r="FH36" i="2"/>
  <c r="FG36" i="2"/>
  <c r="FF36" i="2"/>
  <c r="FE36" i="2"/>
  <c r="FD36" i="2"/>
  <c r="FC36" i="2"/>
  <c r="FA36" i="2"/>
  <c r="FB36" i="2" s="1"/>
  <c r="EZ36" i="2"/>
  <c r="EY36" i="2"/>
  <c r="EX36" i="2"/>
  <c r="EW36" i="2"/>
  <c r="EV36" i="2"/>
  <c r="EU36" i="2"/>
  <c r="ET36" i="2"/>
  <c r="ES36" i="2"/>
  <c r="ER36" i="2"/>
  <c r="EQ36" i="2"/>
  <c r="EP36" i="2"/>
  <c r="EN36" i="2"/>
  <c r="EO36" i="2" s="1"/>
  <c r="EM36" i="2"/>
  <c r="EL36" i="2"/>
  <c r="EK36" i="2"/>
  <c r="EJ36" i="2"/>
  <c r="EI36" i="2"/>
  <c r="EH36" i="2"/>
  <c r="EG36" i="2"/>
  <c r="EF36" i="2"/>
  <c r="EE36" i="2"/>
  <c r="ED36" i="2"/>
  <c r="EC36" i="2"/>
  <c r="EA36" i="2"/>
  <c r="EB36" i="2" s="1"/>
  <c r="DZ36" i="2"/>
  <c r="DY36" i="2"/>
  <c r="DX36" i="2"/>
  <c r="DW36" i="2"/>
  <c r="DV36" i="2"/>
  <c r="DU36" i="2"/>
  <c r="DT36" i="2"/>
  <c r="DS36" i="2"/>
  <c r="DR36" i="2"/>
  <c r="DQ36" i="2"/>
  <c r="DP36" i="2"/>
  <c r="DN36" i="2"/>
  <c r="DO36" i="2" s="1"/>
  <c r="DM36" i="2"/>
  <c r="DL36" i="2"/>
  <c r="DK36" i="2"/>
  <c r="DJ36" i="2"/>
  <c r="DI36" i="2"/>
  <c r="DH36" i="2"/>
  <c r="DG36" i="2"/>
  <c r="DF36" i="2"/>
  <c r="DE36" i="2"/>
  <c r="DD36" i="2"/>
  <c r="DC36" i="2"/>
  <c r="DA36" i="2"/>
  <c r="DB36" i="2" s="1"/>
  <c r="CZ36" i="2"/>
  <c r="CY36" i="2"/>
  <c r="CX36" i="2"/>
  <c r="CW36" i="2"/>
  <c r="CV36" i="2"/>
  <c r="CU36" i="2"/>
  <c r="CT36" i="2"/>
  <c r="CS36" i="2"/>
  <c r="CR36" i="2"/>
  <c r="CQ36" i="2"/>
  <c r="CP36" i="2"/>
  <c r="CN36" i="2"/>
  <c r="CO36" i="2" s="1"/>
  <c r="CM36" i="2"/>
  <c r="CL36" i="2"/>
  <c r="CK36" i="2"/>
  <c r="CJ36" i="2"/>
  <c r="CI36" i="2"/>
  <c r="CH36" i="2"/>
  <c r="CG36" i="2"/>
  <c r="CF36" i="2"/>
  <c r="CE36" i="2"/>
  <c r="CD36" i="2"/>
  <c r="CC36" i="2"/>
  <c r="CA36" i="2"/>
  <c r="CB36" i="2" s="1"/>
  <c r="BZ36" i="2"/>
  <c r="BY36" i="2"/>
  <c r="BX36" i="2"/>
  <c r="BW36" i="2"/>
  <c r="BV36" i="2"/>
  <c r="BU36" i="2"/>
  <c r="BT36" i="2"/>
  <c r="BS36" i="2"/>
  <c r="BR36" i="2"/>
  <c r="BQ36" i="2"/>
  <c r="BP36" i="2"/>
  <c r="BO36" i="2"/>
  <c r="BN36" i="2"/>
  <c r="BM36" i="2"/>
  <c r="BL36" i="2"/>
  <c r="BK36" i="2"/>
  <c r="BJ36" i="2"/>
  <c r="BI36" i="2"/>
  <c r="BH36" i="2"/>
  <c r="BG36" i="2"/>
  <c r="BF36" i="2"/>
  <c r="BE36" i="2"/>
  <c r="BD36" i="2"/>
  <c r="BC36" i="2"/>
  <c r="BA36" i="2"/>
  <c r="BB36" i="2" s="1"/>
  <c r="AZ36" i="2"/>
  <c r="AY36" i="2"/>
  <c r="AX36" i="2"/>
  <c r="AW36" i="2"/>
  <c r="AV36" i="2"/>
  <c r="AU36" i="2"/>
  <c r="AT36" i="2"/>
  <c r="AS36" i="2"/>
  <c r="AR36" i="2"/>
  <c r="AQ36" i="2"/>
  <c r="AP36" i="2"/>
  <c r="AN36" i="2"/>
  <c r="AO36" i="2" s="1"/>
  <c r="AM36" i="2"/>
  <c r="AL36" i="2"/>
  <c r="AK36" i="2"/>
  <c r="AJ36" i="2"/>
  <c r="AI36" i="2"/>
  <c r="AH36" i="2"/>
  <c r="AG36" i="2"/>
  <c r="AF36" i="2"/>
  <c r="AE36" i="2"/>
  <c r="AD36" i="2"/>
  <c r="AC36" i="2"/>
  <c r="AA36" i="2"/>
  <c r="AB36" i="2" s="1"/>
  <c r="Z36" i="2"/>
  <c r="Y36" i="2"/>
  <c r="X36" i="2"/>
  <c r="W36" i="2"/>
  <c r="V36" i="2"/>
  <c r="U36" i="2"/>
  <c r="T36" i="2"/>
  <c r="S36" i="2"/>
  <c r="R36" i="2"/>
  <c r="Q36" i="2"/>
  <c r="P36" i="2"/>
  <c r="N36" i="2"/>
  <c r="O36" i="2" s="1"/>
  <c r="M36" i="2"/>
  <c r="L36" i="2"/>
  <c r="K36" i="2"/>
  <c r="J36" i="2"/>
  <c r="I36" i="2"/>
  <c r="H36" i="2"/>
  <c r="G36" i="2"/>
  <c r="F36" i="2"/>
  <c r="E36" i="2"/>
  <c r="D36" i="2"/>
  <c r="C36" i="2"/>
  <c r="FI35" i="2"/>
  <c r="FO35" i="2" s="1"/>
  <c r="FH35" i="2"/>
  <c r="FG35" i="2"/>
  <c r="FF35" i="2"/>
  <c r="FE35" i="2"/>
  <c r="FD35" i="2"/>
  <c r="FC35" i="2"/>
  <c r="FA35" i="2"/>
  <c r="FB35" i="2" s="1"/>
  <c r="EZ35" i="2"/>
  <c r="EY35" i="2"/>
  <c r="EX35" i="2"/>
  <c r="EW35" i="2"/>
  <c r="EV35" i="2"/>
  <c r="EU35" i="2"/>
  <c r="ET35" i="2"/>
  <c r="ES35" i="2"/>
  <c r="ER35" i="2"/>
  <c r="EQ35" i="2"/>
  <c r="EP35" i="2"/>
  <c r="EN35" i="2"/>
  <c r="EO35" i="2" s="1"/>
  <c r="EM35" i="2"/>
  <c r="EL35" i="2"/>
  <c r="EK35" i="2"/>
  <c r="EJ35" i="2"/>
  <c r="EI35" i="2"/>
  <c r="EH35" i="2"/>
  <c r="EG35" i="2"/>
  <c r="EF35" i="2"/>
  <c r="EE35" i="2"/>
  <c r="ED35" i="2"/>
  <c r="EC35" i="2"/>
  <c r="EB35" i="2"/>
  <c r="EA35" i="2"/>
  <c r="DZ35" i="2"/>
  <c r="DY35" i="2"/>
  <c r="DX35" i="2"/>
  <c r="DW35" i="2"/>
  <c r="DV35" i="2"/>
  <c r="DU35" i="2"/>
  <c r="DT35" i="2"/>
  <c r="DS35" i="2"/>
  <c r="DR35" i="2"/>
  <c r="DQ35" i="2"/>
  <c r="DP35" i="2"/>
  <c r="DN35" i="2"/>
  <c r="DO35" i="2" s="1"/>
  <c r="DM35" i="2"/>
  <c r="DL35" i="2"/>
  <c r="DK35" i="2"/>
  <c r="DJ35" i="2"/>
  <c r="DI35" i="2"/>
  <c r="DH35" i="2"/>
  <c r="DG35" i="2"/>
  <c r="DF35" i="2"/>
  <c r="DE35" i="2"/>
  <c r="DD35" i="2"/>
  <c r="DC35" i="2"/>
  <c r="DA35" i="2"/>
  <c r="DB35" i="2" s="1"/>
  <c r="CZ35" i="2"/>
  <c r="CY35" i="2"/>
  <c r="CX35" i="2"/>
  <c r="CW35" i="2"/>
  <c r="CV35" i="2"/>
  <c r="CU35" i="2"/>
  <c r="CT35" i="2"/>
  <c r="CS35" i="2"/>
  <c r="CR35" i="2"/>
  <c r="CQ35" i="2"/>
  <c r="CP35" i="2"/>
  <c r="CN35" i="2"/>
  <c r="CO35" i="2" s="1"/>
  <c r="CM35" i="2"/>
  <c r="CL35" i="2"/>
  <c r="CK35" i="2"/>
  <c r="CJ35" i="2"/>
  <c r="CI35" i="2"/>
  <c r="CH35" i="2"/>
  <c r="CG35" i="2"/>
  <c r="CF35" i="2"/>
  <c r="CE35" i="2"/>
  <c r="CD35" i="2"/>
  <c r="CC35" i="2"/>
  <c r="CA35" i="2"/>
  <c r="CB35" i="2" s="1"/>
  <c r="BZ35" i="2"/>
  <c r="BY35" i="2"/>
  <c r="BX35" i="2"/>
  <c r="BW35" i="2"/>
  <c r="BV35" i="2"/>
  <c r="BU35" i="2"/>
  <c r="BT35" i="2"/>
  <c r="BS35" i="2"/>
  <c r="BR35" i="2"/>
  <c r="BQ35" i="2"/>
  <c r="BP35" i="2"/>
  <c r="BO35" i="2"/>
  <c r="BN35" i="2"/>
  <c r="BM35" i="2"/>
  <c r="BL35" i="2"/>
  <c r="BK35" i="2"/>
  <c r="BJ35" i="2"/>
  <c r="BI35" i="2"/>
  <c r="BH35" i="2"/>
  <c r="BG35" i="2"/>
  <c r="BF35" i="2"/>
  <c r="BE35" i="2"/>
  <c r="BD35" i="2"/>
  <c r="BC35" i="2"/>
  <c r="BA35" i="2"/>
  <c r="BB35" i="2" s="1"/>
  <c r="AZ35" i="2"/>
  <c r="AY35" i="2"/>
  <c r="AX35" i="2"/>
  <c r="AW35" i="2"/>
  <c r="AV35" i="2"/>
  <c r="AU35" i="2"/>
  <c r="AT35" i="2"/>
  <c r="AS35" i="2"/>
  <c r="AR35" i="2"/>
  <c r="AQ35" i="2"/>
  <c r="AP35" i="2"/>
  <c r="AO35" i="2"/>
  <c r="AN35" i="2"/>
  <c r="AM35" i="2"/>
  <c r="AL35" i="2"/>
  <c r="AK35" i="2"/>
  <c r="AJ35" i="2"/>
  <c r="AI35" i="2"/>
  <c r="AH35" i="2"/>
  <c r="AG35" i="2"/>
  <c r="AF35" i="2"/>
  <c r="AE35" i="2"/>
  <c r="AD35" i="2"/>
  <c r="AC35" i="2"/>
  <c r="AA35" i="2"/>
  <c r="AB35" i="2" s="1"/>
  <c r="Z35" i="2"/>
  <c r="Y35" i="2"/>
  <c r="X35" i="2"/>
  <c r="W35" i="2"/>
  <c r="V35" i="2"/>
  <c r="U35" i="2"/>
  <c r="T35" i="2"/>
  <c r="S35" i="2"/>
  <c r="R35" i="2"/>
  <c r="Q35" i="2"/>
  <c r="P35" i="2"/>
  <c r="N35" i="2"/>
  <c r="O35" i="2" s="1"/>
  <c r="M35" i="2"/>
  <c r="L35" i="2"/>
  <c r="K35" i="2"/>
  <c r="J35" i="2"/>
  <c r="I35" i="2"/>
  <c r="H35" i="2"/>
  <c r="G35" i="2"/>
  <c r="F35" i="2"/>
  <c r="E35" i="2"/>
  <c r="D35" i="2"/>
  <c r="C35" i="2"/>
  <c r="FO34" i="2"/>
  <c r="FI34" i="2"/>
  <c r="FH34" i="2"/>
  <c r="FG34" i="2"/>
  <c r="FF34" i="2"/>
  <c r="FE34" i="2"/>
  <c r="FD34" i="2"/>
  <c r="FC34" i="2"/>
  <c r="FB34" i="2"/>
  <c r="FA34" i="2"/>
  <c r="EZ34" i="2"/>
  <c r="EY34" i="2"/>
  <c r="EX34" i="2"/>
  <c r="EW34" i="2"/>
  <c r="EV34" i="2"/>
  <c r="EU34" i="2"/>
  <c r="ET34" i="2"/>
  <c r="ES34" i="2"/>
  <c r="ER34" i="2"/>
  <c r="EQ34" i="2"/>
  <c r="EP34" i="2"/>
  <c r="EN34" i="2"/>
  <c r="EO34" i="2" s="1"/>
  <c r="EM34" i="2"/>
  <c r="EL34" i="2"/>
  <c r="EK34" i="2"/>
  <c r="EJ34" i="2"/>
  <c r="EI34" i="2"/>
  <c r="EH34" i="2"/>
  <c r="EG34" i="2"/>
  <c r="EF34" i="2"/>
  <c r="EE34" i="2"/>
  <c r="ED34" i="2"/>
  <c r="EC34" i="2"/>
  <c r="EA34" i="2"/>
  <c r="EB34" i="2" s="1"/>
  <c r="DZ34" i="2"/>
  <c r="DY34" i="2"/>
  <c r="DX34" i="2"/>
  <c r="DW34" i="2"/>
  <c r="DV34" i="2"/>
  <c r="DU34" i="2"/>
  <c r="DT34" i="2"/>
  <c r="DS34" i="2"/>
  <c r="DR34" i="2"/>
  <c r="DQ34" i="2"/>
  <c r="DP34" i="2"/>
  <c r="DO34" i="2"/>
  <c r="DN34" i="2"/>
  <c r="DM34" i="2"/>
  <c r="DL34" i="2"/>
  <c r="DK34" i="2"/>
  <c r="DJ34" i="2"/>
  <c r="DI34" i="2"/>
  <c r="DH34" i="2"/>
  <c r="DG34" i="2"/>
  <c r="DF34" i="2"/>
  <c r="DE34" i="2"/>
  <c r="DD34" i="2"/>
  <c r="DC34" i="2"/>
  <c r="DA34" i="2"/>
  <c r="DB34" i="2" s="1"/>
  <c r="CZ34" i="2"/>
  <c r="CY34" i="2"/>
  <c r="CX34" i="2"/>
  <c r="CW34" i="2"/>
  <c r="CV34" i="2"/>
  <c r="CU34" i="2"/>
  <c r="CT34" i="2"/>
  <c r="CS34" i="2"/>
  <c r="CR34" i="2"/>
  <c r="CQ34" i="2"/>
  <c r="CP34" i="2"/>
  <c r="CN34" i="2"/>
  <c r="CO34" i="2" s="1"/>
  <c r="CM34" i="2"/>
  <c r="CL34" i="2"/>
  <c r="CK34" i="2"/>
  <c r="CJ34" i="2"/>
  <c r="CI34" i="2"/>
  <c r="CH34" i="2"/>
  <c r="CG34" i="2"/>
  <c r="CF34" i="2"/>
  <c r="CE34" i="2"/>
  <c r="CD34" i="2"/>
  <c r="CC34" i="2"/>
  <c r="CB34" i="2"/>
  <c r="CA34" i="2"/>
  <c r="BZ34" i="2"/>
  <c r="BY34" i="2"/>
  <c r="BX34" i="2"/>
  <c r="BW34" i="2"/>
  <c r="BV34" i="2"/>
  <c r="BU34" i="2"/>
  <c r="BT34" i="2"/>
  <c r="BS34" i="2"/>
  <c r="BR34" i="2"/>
  <c r="BQ34" i="2"/>
  <c r="BP34" i="2"/>
  <c r="BN34" i="2"/>
  <c r="BO34" i="2" s="1"/>
  <c r="BM34" i="2"/>
  <c r="BL34" i="2"/>
  <c r="BK34" i="2"/>
  <c r="BJ34" i="2"/>
  <c r="BI34" i="2"/>
  <c r="BH34" i="2"/>
  <c r="BG34" i="2"/>
  <c r="BF34" i="2"/>
  <c r="BE34" i="2"/>
  <c r="BD34" i="2"/>
  <c r="BC34" i="2"/>
  <c r="BA34" i="2"/>
  <c r="BB34" i="2" s="1"/>
  <c r="AZ34" i="2"/>
  <c r="AY34" i="2"/>
  <c r="AX34" i="2"/>
  <c r="AW34" i="2"/>
  <c r="AV34" i="2"/>
  <c r="AU34" i="2"/>
  <c r="AT34" i="2"/>
  <c r="AS34" i="2"/>
  <c r="AR34" i="2"/>
  <c r="AQ34" i="2"/>
  <c r="AP34" i="2"/>
  <c r="AN34" i="2"/>
  <c r="AO34" i="2" s="1"/>
  <c r="AM34" i="2"/>
  <c r="AL34" i="2"/>
  <c r="AK34" i="2"/>
  <c r="AJ34" i="2"/>
  <c r="AI34" i="2"/>
  <c r="AH34" i="2"/>
  <c r="AG34" i="2"/>
  <c r="AF34" i="2"/>
  <c r="AE34" i="2"/>
  <c r="AD34" i="2"/>
  <c r="AC34" i="2"/>
  <c r="AA34" i="2"/>
  <c r="AB34" i="2" s="1"/>
  <c r="Z34" i="2"/>
  <c r="Y34" i="2"/>
  <c r="X34" i="2"/>
  <c r="W34" i="2"/>
  <c r="V34" i="2"/>
  <c r="U34" i="2"/>
  <c r="T34" i="2"/>
  <c r="S34" i="2"/>
  <c r="R34" i="2"/>
  <c r="Q34" i="2"/>
  <c r="P34" i="2"/>
  <c r="N34" i="2"/>
  <c r="O34" i="2" s="1"/>
  <c r="M34" i="2"/>
  <c r="L34" i="2"/>
  <c r="K34" i="2"/>
  <c r="J34" i="2"/>
  <c r="I34" i="2"/>
  <c r="H34" i="2"/>
  <c r="G34" i="2"/>
  <c r="F34" i="2"/>
  <c r="E34" i="2"/>
  <c r="D34" i="2"/>
  <c r="C34" i="2"/>
  <c r="FI33" i="2"/>
  <c r="FI39" i="2" s="1"/>
  <c r="FH33" i="2"/>
  <c r="FH39" i="2" s="1"/>
  <c r="FG33" i="2"/>
  <c r="FG39" i="2" s="1"/>
  <c r="FF33" i="2"/>
  <c r="FF39" i="2" s="1"/>
  <c r="FE33" i="2"/>
  <c r="FD33" i="2"/>
  <c r="FD39" i="2" s="1"/>
  <c r="FC33" i="2"/>
  <c r="FA33" i="2"/>
  <c r="FB33" i="2" s="1"/>
  <c r="EZ33" i="2"/>
  <c r="EZ39" i="2" s="1"/>
  <c r="EY33" i="2"/>
  <c r="EY39" i="2" s="1"/>
  <c r="EX33" i="2"/>
  <c r="EX39" i="2" s="1"/>
  <c r="EW33" i="2"/>
  <c r="EV33" i="2"/>
  <c r="EV39" i="2" s="1"/>
  <c r="EU33" i="2"/>
  <c r="EU39" i="2" s="1"/>
  <c r="ET33" i="2"/>
  <c r="ES33" i="2"/>
  <c r="ER33" i="2"/>
  <c r="ER39" i="2" s="1"/>
  <c r="EQ33" i="2"/>
  <c r="EP33" i="2"/>
  <c r="EO33" i="2"/>
  <c r="EN33" i="2"/>
  <c r="EN39" i="2" s="1"/>
  <c r="EM33" i="2"/>
  <c r="EL33" i="2"/>
  <c r="EL39" i="2" s="1"/>
  <c r="EK33" i="2"/>
  <c r="EK39" i="2" s="1"/>
  <c r="EJ33" i="2"/>
  <c r="EJ39" i="2" s="1"/>
  <c r="EI33" i="2"/>
  <c r="EI39" i="2" s="1"/>
  <c r="EH33" i="2"/>
  <c r="EG33" i="2"/>
  <c r="EF33" i="2"/>
  <c r="EF39" i="2" s="1"/>
  <c r="EE33" i="2"/>
  <c r="ED33" i="2"/>
  <c r="EC33" i="2"/>
  <c r="EA33" i="2"/>
  <c r="EA39" i="2" s="1"/>
  <c r="DZ33" i="2"/>
  <c r="DZ39" i="2" s="1"/>
  <c r="DY33" i="2"/>
  <c r="DY39" i="2" s="1"/>
  <c r="DX33" i="2"/>
  <c r="DX39" i="2" s="1"/>
  <c r="DW33" i="2"/>
  <c r="DW39" i="2" s="1"/>
  <c r="DV33" i="2"/>
  <c r="DU33" i="2"/>
  <c r="DT33" i="2"/>
  <c r="DS33" i="2"/>
  <c r="DR33" i="2"/>
  <c r="DQ33" i="2"/>
  <c r="DP33" i="2"/>
  <c r="DP39" i="2" s="1"/>
  <c r="DN33" i="2"/>
  <c r="DM33" i="2"/>
  <c r="DM39" i="2" s="1"/>
  <c r="DL33" i="2"/>
  <c r="DL39" i="2" s="1"/>
  <c r="DK33" i="2"/>
  <c r="DJ33" i="2"/>
  <c r="DI33" i="2"/>
  <c r="DH33" i="2"/>
  <c r="DG33" i="2"/>
  <c r="DF33" i="2"/>
  <c r="DE33" i="2"/>
  <c r="DD33" i="2"/>
  <c r="DD39" i="2" s="1"/>
  <c r="DC33" i="2"/>
  <c r="DC39" i="2" s="1"/>
  <c r="DA33" i="2"/>
  <c r="DA39" i="2" s="1"/>
  <c r="CZ33" i="2"/>
  <c r="CZ39" i="2" s="1"/>
  <c r="CY33" i="2"/>
  <c r="CY39" i="2" s="1"/>
  <c r="CX33" i="2"/>
  <c r="CW33" i="2"/>
  <c r="CV33" i="2"/>
  <c r="CU33" i="2"/>
  <c r="CT33" i="2"/>
  <c r="CS33" i="2"/>
  <c r="CR33" i="2"/>
  <c r="CR39" i="2" s="1"/>
  <c r="CQ33" i="2"/>
  <c r="CQ39" i="2" s="1"/>
  <c r="CP33" i="2"/>
  <c r="CP39" i="2" s="1"/>
  <c r="CN33" i="2"/>
  <c r="CO33" i="2" s="1"/>
  <c r="CM33" i="2"/>
  <c r="CM39" i="2" s="1"/>
  <c r="CL33" i="2"/>
  <c r="CK33" i="2"/>
  <c r="CK39" i="2" s="1"/>
  <c r="CJ33" i="2"/>
  <c r="CI33" i="2"/>
  <c r="CH33" i="2"/>
  <c r="CG33" i="2"/>
  <c r="CF33" i="2"/>
  <c r="CF39" i="2" s="1"/>
  <c r="CE33" i="2"/>
  <c r="CE39" i="2" s="1"/>
  <c r="CD33" i="2"/>
  <c r="CD39" i="2" s="1"/>
  <c r="CC33" i="2"/>
  <c r="CC39" i="2" s="1"/>
  <c r="CA33" i="2"/>
  <c r="BZ33" i="2"/>
  <c r="BZ39" i="2" s="1"/>
  <c r="BY33" i="2"/>
  <c r="BY39" i="2" s="1"/>
  <c r="BX33" i="2"/>
  <c r="BW33" i="2"/>
  <c r="BV33" i="2"/>
  <c r="BU33" i="2"/>
  <c r="BU39" i="2" s="1"/>
  <c r="BT33" i="2"/>
  <c r="BT39" i="2" s="1"/>
  <c r="BS33" i="2"/>
  <c r="BR33" i="2"/>
  <c r="BR39" i="2" s="1"/>
  <c r="BQ33" i="2"/>
  <c r="BP33" i="2"/>
  <c r="BP39" i="2" s="1"/>
  <c r="BO33" i="2"/>
  <c r="BN33" i="2"/>
  <c r="BN39" i="2" s="1"/>
  <c r="BM33" i="2"/>
  <c r="BM39" i="2" s="1"/>
  <c r="BL33" i="2"/>
  <c r="BL39" i="2" s="1"/>
  <c r="BK33" i="2"/>
  <c r="BJ33" i="2"/>
  <c r="BI33" i="2"/>
  <c r="BI39" i="2" s="1"/>
  <c r="BH33" i="2"/>
  <c r="BH39" i="2" s="1"/>
  <c r="BG33" i="2"/>
  <c r="BF33" i="2"/>
  <c r="BF39" i="2" s="1"/>
  <c r="BE33" i="2"/>
  <c r="BD33" i="2"/>
  <c r="BD39" i="2" s="1"/>
  <c r="BC33" i="2"/>
  <c r="BC39" i="2" s="1"/>
  <c r="BA33" i="2"/>
  <c r="BA39" i="2" s="1"/>
  <c r="AZ33" i="2"/>
  <c r="AZ39" i="2" s="1"/>
  <c r="AY33" i="2"/>
  <c r="AY39" i="2" s="1"/>
  <c r="AX33" i="2"/>
  <c r="AW33" i="2"/>
  <c r="AW39" i="2" s="1"/>
  <c r="AV33" i="2"/>
  <c r="AV39" i="2" s="1"/>
  <c r="AU33" i="2"/>
  <c r="AT33" i="2"/>
  <c r="AT39" i="2" s="1"/>
  <c r="AS33" i="2"/>
  <c r="AR33" i="2"/>
  <c r="AR39" i="2" s="1"/>
  <c r="AQ33" i="2"/>
  <c r="AQ39" i="2" s="1"/>
  <c r="AP33" i="2"/>
  <c r="AP39" i="2" s="1"/>
  <c r="AN33" i="2"/>
  <c r="AO33" i="2" s="1"/>
  <c r="AM33" i="2"/>
  <c r="AM39" i="2" s="1"/>
  <c r="AL33" i="2"/>
  <c r="AK33" i="2"/>
  <c r="AK39" i="2" s="1"/>
  <c r="AJ33" i="2"/>
  <c r="AJ39" i="2" s="1"/>
  <c r="AI33" i="2"/>
  <c r="AI39" i="2" s="1"/>
  <c r="AH33" i="2"/>
  <c r="AG33" i="2"/>
  <c r="AF33" i="2"/>
  <c r="AF39" i="2" s="1"/>
  <c r="AE33" i="2"/>
  <c r="AE39" i="2" s="1"/>
  <c r="AD33" i="2"/>
  <c r="AD39" i="2" s="1"/>
  <c r="AC33" i="2"/>
  <c r="AC39" i="2" s="1"/>
  <c r="AA33" i="2"/>
  <c r="AA39" i="2" s="1"/>
  <c r="Z33" i="2"/>
  <c r="Y33" i="2"/>
  <c r="Y39" i="2" s="1"/>
  <c r="X33" i="2"/>
  <c r="X39" i="2" s="1"/>
  <c r="W33" i="2"/>
  <c r="W39" i="2" s="1"/>
  <c r="V33" i="2"/>
  <c r="U33" i="2"/>
  <c r="T33" i="2"/>
  <c r="T39" i="2" s="1"/>
  <c r="S33" i="2"/>
  <c r="S39" i="2" s="1"/>
  <c r="R33" i="2"/>
  <c r="R39" i="2" s="1"/>
  <c r="Q33" i="2"/>
  <c r="Q39" i="2" s="1"/>
  <c r="P33" i="2"/>
  <c r="P39" i="2" s="1"/>
  <c r="N33" i="2"/>
  <c r="M33" i="2"/>
  <c r="M39" i="2" s="1"/>
  <c r="L33" i="2"/>
  <c r="L39" i="2" s="1"/>
  <c r="K33" i="2"/>
  <c r="J33" i="2"/>
  <c r="J39" i="2" s="1"/>
  <c r="I33" i="2"/>
  <c r="H33" i="2"/>
  <c r="H39" i="2" s="1"/>
  <c r="G33" i="2"/>
  <c r="F33" i="2"/>
  <c r="F39" i="2" s="1"/>
  <c r="E33" i="2"/>
  <c r="E39" i="2" s="1"/>
  <c r="D33" i="2"/>
  <c r="D39" i="2" s="1"/>
  <c r="C33" i="2"/>
  <c r="C39" i="2" s="1"/>
  <c r="FN27" i="2"/>
  <c r="FM27" i="2"/>
  <c r="FL27" i="2"/>
  <c r="FK27" i="2"/>
  <c r="FJ27" i="2"/>
  <c r="FI26" i="2"/>
  <c r="FO26" i="2" s="1"/>
  <c r="FH26" i="2"/>
  <c r="FG26" i="2"/>
  <c r="FF26" i="2"/>
  <c r="FE26" i="2"/>
  <c r="FD26" i="2"/>
  <c r="FC26" i="2"/>
  <c r="FA26" i="2"/>
  <c r="FB26" i="2" s="1"/>
  <c r="EZ26" i="2"/>
  <c r="EY26" i="2"/>
  <c r="EX26" i="2"/>
  <c r="EW26" i="2"/>
  <c r="EV26" i="2"/>
  <c r="EU26" i="2"/>
  <c r="ET26" i="2"/>
  <c r="ES26" i="2"/>
  <c r="ER26" i="2"/>
  <c r="EQ26" i="2"/>
  <c r="EP26" i="2"/>
  <c r="EN26" i="2"/>
  <c r="EO26" i="2" s="1"/>
  <c r="EM26" i="2"/>
  <c r="EL26" i="2"/>
  <c r="EK26" i="2"/>
  <c r="EJ26" i="2"/>
  <c r="EI26" i="2"/>
  <c r="EH26" i="2"/>
  <c r="EG26" i="2"/>
  <c r="EF26" i="2"/>
  <c r="EE26" i="2"/>
  <c r="ED26" i="2"/>
  <c r="EC26" i="2"/>
  <c r="EB26" i="2"/>
  <c r="EA26" i="2"/>
  <c r="DZ26" i="2"/>
  <c r="DY26" i="2"/>
  <c r="DX26" i="2"/>
  <c r="DW26" i="2"/>
  <c r="DV26" i="2"/>
  <c r="DU26" i="2"/>
  <c r="DT26" i="2"/>
  <c r="DS26" i="2"/>
  <c r="DR26" i="2"/>
  <c r="DQ26" i="2"/>
  <c r="DP26" i="2"/>
  <c r="DN26" i="2"/>
  <c r="DO26" i="2" s="1"/>
  <c r="DM26" i="2"/>
  <c r="DL26" i="2"/>
  <c r="DK26" i="2"/>
  <c r="DJ26" i="2"/>
  <c r="DI26" i="2"/>
  <c r="DH26" i="2"/>
  <c r="DG26" i="2"/>
  <c r="DF26" i="2"/>
  <c r="DE26" i="2"/>
  <c r="DD26" i="2"/>
  <c r="DC26" i="2"/>
  <c r="CZ26" i="2"/>
  <c r="CY26" i="2"/>
  <c r="CX26" i="2"/>
  <c r="CW26" i="2"/>
  <c r="CV26" i="2"/>
  <c r="CU26" i="2"/>
  <c r="CT26" i="2"/>
  <c r="CS26" i="2"/>
  <c r="CR26" i="2"/>
  <c r="CQ26" i="2"/>
  <c r="CP26" i="2"/>
  <c r="CN26" i="2"/>
  <c r="CO26" i="2" s="1"/>
  <c r="CM26" i="2"/>
  <c r="CL26" i="2"/>
  <c r="CK26" i="2"/>
  <c r="CJ26" i="2"/>
  <c r="CI26" i="2"/>
  <c r="CH26" i="2"/>
  <c r="CG26" i="2"/>
  <c r="CF26" i="2"/>
  <c r="CE26" i="2"/>
  <c r="CD26" i="2"/>
  <c r="CC26" i="2"/>
  <c r="CA26" i="2"/>
  <c r="CB26" i="2" s="1"/>
  <c r="BZ26" i="2"/>
  <c r="BY26" i="2"/>
  <c r="BX26" i="2"/>
  <c r="BW26" i="2"/>
  <c r="BV26" i="2"/>
  <c r="BU26" i="2"/>
  <c r="BT26" i="2"/>
  <c r="BS26" i="2"/>
  <c r="BR26" i="2"/>
  <c r="BQ26" i="2"/>
  <c r="BP26" i="2"/>
  <c r="BN26" i="2"/>
  <c r="BO26" i="2" s="1"/>
  <c r="BM26" i="2"/>
  <c r="BL26" i="2"/>
  <c r="BK26" i="2"/>
  <c r="BJ26" i="2"/>
  <c r="BI26" i="2"/>
  <c r="BH26" i="2"/>
  <c r="BG26" i="2"/>
  <c r="BF26" i="2"/>
  <c r="BE26" i="2"/>
  <c r="BD26" i="2"/>
  <c r="BC26" i="2"/>
  <c r="BA26" i="2"/>
  <c r="BB26" i="2" s="1"/>
  <c r="AZ26" i="2"/>
  <c r="AY26" i="2"/>
  <c r="AX26" i="2"/>
  <c r="AW26" i="2"/>
  <c r="AV26" i="2"/>
  <c r="AU26" i="2"/>
  <c r="AT26" i="2"/>
  <c r="AS26" i="2"/>
  <c r="AR26" i="2"/>
  <c r="AQ26" i="2"/>
  <c r="AP26" i="2"/>
  <c r="AO26" i="2"/>
  <c r="AN26" i="2"/>
  <c r="AM26" i="2"/>
  <c r="AL26" i="2"/>
  <c r="AK26" i="2"/>
  <c r="AJ26" i="2"/>
  <c r="AI26" i="2"/>
  <c r="AH26" i="2"/>
  <c r="AG26" i="2"/>
  <c r="AF26" i="2"/>
  <c r="AE26" i="2"/>
  <c r="AD26" i="2"/>
  <c r="AC26" i="2"/>
  <c r="AA26" i="2"/>
  <c r="AB26" i="2" s="1"/>
  <c r="Z26" i="2"/>
  <c r="Y26" i="2"/>
  <c r="X26" i="2"/>
  <c r="W26" i="2"/>
  <c r="V26" i="2"/>
  <c r="U26" i="2"/>
  <c r="T26" i="2"/>
  <c r="S26" i="2"/>
  <c r="R26" i="2"/>
  <c r="Q26" i="2"/>
  <c r="P26" i="2"/>
  <c r="O26" i="2"/>
  <c r="N26" i="2"/>
  <c r="M26" i="2"/>
  <c r="L26" i="2"/>
  <c r="K26" i="2"/>
  <c r="J26" i="2"/>
  <c r="I26" i="2"/>
  <c r="H26" i="2"/>
  <c r="G26" i="2"/>
  <c r="F26" i="2"/>
  <c r="E26" i="2"/>
  <c r="D26" i="2"/>
  <c r="C26" i="2"/>
  <c r="FI25" i="2"/>
  <c r="FO25" i="2" s="1"/>
  <c r="FH25" i="2"/>
  <c r="FG25" i="2"/>
  <c r="FF25" i="2"/>
  <c r="FE25" i="2"/>
  <c r="FD25" i="2"/>
  <c r="FC25" i="2"/>
  <c r="FA25" i="2"/>
  <c r="FB25" i="2" s="1"/>
  <c r="EZ25" i="2"/>
  <c r="EY25" i="2"/>
  <c r="EX25" i="2"/>
  <c r="EW25" i="2"/>
  <c r="EV25" i="2"/>
  <c r="EU25" i="2"/>
  <c r="ET25" i="2"/>
  <c r="ES25" i="2"/>
  <c r="ER25" i="2"/>
  <c r="EQ25" i="2"/>
  <c r="EP25" i="2"/>
  <c r="EN25" i="2"/>
  <c r="EO25" i="2" s="1"/>
  <c r="EM25" i="2"/>
  <c r="EL25" i="2"/>
  <c r="EK25" i="2"/>
  <c r="EJ25" i="2"/>
  <c r="EI25" i="2"/>
  <c r="EH25" i="2"/>
  <c r="EG25" i="2"/>
  <c r="EF25" i="2"/>
  <c r="EE25" i="2"/>
  <c r="ED25" i="2"/>
  <c r="EC25" i="2"/>
  <c r="EB25" i="2"/>
  <c r="EA25" i="2"/>
  <c r="DZ25" i="2"/>
  <c r="DY25" i="2"/>
  <c r="DX25" i="2"/>
  <c r="DW25" i="2"/>
  <c r="DV25" i="2"/>
  <c r="DU25" i="2"/>
  <c r="DT25" i="2"/>
  <c r="DS25" i="2"/>
  <c r="DR25" i="2"/>
  <c r="DQ25" i="2"/>
  <c r="DP25" i="2"/>
  <c r="DN25" i="2"/>
  <c r="DO25" i="2" s="1"/>
  <c r="DM25" i="2"/>
  <c r="DL25" i="2"/>
  <c r="DK25" i="2"/>
  <c r="DJ25" i="2"/>
  <c r="DI25" i="2"/>
  <c r="DH25" i="2"/>
  <c r="DG25" i="2"/>
  <c r="DF25" i="2"/>
  <c r="DE25" i="2"/>
  <c r="DD25" i="2"/>
  <c r="DC25" i="2"/>
  <c r="CZ25" i="2"/>
  <c r="CY25" i="2"/>
  <c r="CX25" i="2"/>
  <c r="CW25" i="2"/>
  <c r="CV25" i="2"/>
  <c r="CU25" i="2"/>
  <c r="CT25" i="2"/>
  <c r="CS25" i="2"/>
  <c r="CR25" i="2"/>
  <c r="CQ25" i="2"/>
  <c r="CP25" i="2"/>
  <c r="CN25" i="2"/>
  <c r="CO25" i="2" s="1"/>
  <c r="CM25" i="2"/>
  <c r="CL25" i="2"/>
  <c r="CK25" i="2"/>
  <c r="CJ25" i="2"/>
  <c r="CI25" i="2"/>
  <c r="CH25" i="2"/>
  <c r="CG25" i="2"/>
  <c r="CF25" i="2"/>
  <c r="CE25" i="2"/>
  <c r="CD25" i="2"/>
  <c r="CC25" i="2"/>
  <c r="CB25" i="2"/>
  <c r="CA25" i="2"/>
  <c r="BZ25" i="2"/>
  <c r="BY25" i="2"/>
  <c r="BX25" i="2"/>
  <c r="BW25" i="2"/>
  <c r="BV25" i="2"/>
  <c r="BU25" i="2"/>
  <c r="BT25" i="2"/>
  <c r="BS25" i="2"/>
  <c r="BR25" i="2"/>
  <c r="BQ25" i="2"/>
  <c r="BP25" i="2"/>
  <c r="BO25" i="2"/>
  <c r="BN25" i="2"/>
  <c r="BM25" i="2"/>
  <c r="BL25" i="2"/>
  <c r="BK25" i="2"/>
  <c r="BJ25" i="2"/>
  <c r="BI25" i="2"/>
  <c r="BH25" i="2"/>
  <c r="BG25" i="2"/>
  <c r="BF25" i="2"/>
  <c r="BE25" i="2"/>
  <c r="BD25" i="2"/>
  <c r="BC25" i="2"/>
  <c r="BA25" i="2"/>
  <c r="BB25" i="2" s="1"/>
  <c r="AZ25" i="2"/>
  <c r="AY25" i="2"/>
  <c r="AX25" i="2"/>
  <c r="AW25" i="2"/>
  <c r="AV25" i="2"/>
  <c r="AU25" i="2"/>
  <c r="AT25" i="2"/>
  <c r="AS25" i="2"/>
  <c r="AR25" i="2"/>
  <c r="AQ25" i="2"/>
  <c r="AP25" i="2"/>
  <c r="AN25" i="2"/>
  <c r="AO25" i="2" s="1"/>
  <c r="AM25" i="2"/>
  <c r="AL25" i="2"/>
  <c r="AK25" i="2"/>
  <c r="AJ25" i="2"/>
  <c r="AI25" i="2"/>
  <c r="AH25" i="2"/>
  <c r="AG25" i="2"/>
  <c r="AF25" i="2"/>
  <c r="AE25" i="2"/>
  <c r="AD25" i="2"/>
  <c r="AC25" i="2"/>
  <c r="AA25" i="2"/>
  <c r="AB25" i="2" s="1"/>
  <c r="Z25" i="2"/>
  <c r="Y25" i="2"/>
  <c r="X25" i="2"/>
  <c r="W25" i="2"/>
  <c r="V25" i="2"/>
  <c r="U25" i="2"/>
  <c r="T25" i="2"/>
  <c r="S25" i="2"/>
  <c r="R25" i="2"/>
  <c r="Q25" i="2"/>
  <c r="P25" i="2"/>
  <c r="N25" i="2"/>
  <c r="O25" i="2" s="1"/>
  <c r="M25" i="2"/>
  <c r="L25" i="2"/>
  <c r="K25" i="2"/>
  <c r="J25" i="2"/>
  <c r="I25" i="2"/>
  <c r="H25" i="2"/>
  <c r="G25" i="2"/>
  <c r="F25" i="2"/>
  <c r="E25" i="2"/>
  <c r="D25" i="2"/>
  <c r="C25" i="2"/>
  <c r="FI24" i="2"/>
  <c r="FO24" i="2" s="1"/>
  <c r="FH24" i="2"/>
  <c r="FG24" i="2"/>
  <c r="FF24" i="2"/>
  <c r="FE24" i="2"/>
  <c r="FD24" i="2"/>
  <c r="FC24" i="2"/>
  <c r="FA24" i="2"/>
  <c r="FB24" i="2" s="1"/>
  <c r="EZ24" i="2"/>
  <c r="EY24" i="2"/>
  <c r="EX24" i="2"/>
  <c r="EW24" i="2"/>
  <c r="EV24" i="2"/>
  <c r="EU24" i="2"/>
  <c r="ET24" i="2"/>
  <c r="ES24" i="2"/>
  <c r="ER24" i="2"/>
  <c r="EQ24" i="2"/>
  <c r="EP24" i="2"/>
  <c r="EN24" i="2"/>
  <c r="EO24" i="2" s="1"/>
  <c r="EM24" i="2"/>
  <c r="EL24" i="2"/>
  <c r="EK24" i="2"/>
  <c r="EJ24" i="2"/>
  <c r="EI24" i="2"/>
  <c r="EH24" i="2"/>
  <c r="EG24" i="2"/>
  <c r="EF24" i="2"/>
  <c r="EE24" i="2"/>
  <c r="ED24" i="2"/>
  <c r="EC24" i="2"/>
  <c r="EB24" i="2"/>
  <c r="EA24" i="2"/>
  <c r="DZ24" i="2"/>
  <c r="DY24" i="2"/>
  <c r="DX24" i="2"/>
  <c r="DW24" i="2"/>
  <c r="DV24" i="2"/>
  <c r="DU24" i="2"/>
  <c r="DT24" i="2"/>
  <c r="DS24" i="2"/>
  <c r="DR24" i="2"/>
  <c r="DQ24" i="2"/>
  <c r="DP24" i="2"/>
  <c r="DN24" i="2"/>
  <c r="DO24" i="2" s="1"/>
  <c r="DM24" i="2"/>
  <c r="DL24" i="2"/>
  <c r="DK24" i="2"/>
  <c r="DJ24" i="2"/>
  <c r="DI24" i="2"/>
  <c r="DH24" i="2"/>
  <c r="DG24" i="2"/>
  <c r="DF24" i="2"/>
  <c r="DE24" i="2"/>
  <c r="DD24" i="2"/>
  <c r="DC24" i="2"/>
  <c r="CZ24" i="2"/>
  <c r="CY24" i="2"/>
  <c r="CX24" i="2"/>
  <c r="CW24" i="2"/>
  <c r="CV24" i="2"/>
  <c r="CU24" i="2"/>
  <c r="CT24" i="2"/>
  <c r="CS24" i="2"/>
  <c r="CR24" i="2"/>
  <c r="CQ24" i="2"/>
  <c r="CP24" i="2"/>
  <c r="CO24" i="2"/>
  <c r="CN24" i="2"/>
  <c r="CM24" i="2"/>
  <c r="CL24" i="2"/>
  <c r="CK24" i="2"/>
  <c r="CJ24" i="2"/>
  <c r="CI24" i="2"/>
  <c r="CH24" i="2"/>
  <c r="CG24" i="2"/>
  <c r="CF24" i="2"/>
  <c r="CE24" i="2"/>
  <c r="CD24" i="2"/>
  <c r="CC24" i="2"/>
  <c r="CA24" i="2"/>
  <c r="CB24" i="2" s="1"/>
  <c r="BZ24" i="2"/>
  <c r="BY24" i="2"/>
  <c r="BX24" i="2"/>
  <c r="BW24" i="2"/>
  <c r="BV24" i="2"/>
  <c r="BU24" i="2"/>
  <c r="BT24" i="2"/>
  <c r="BS24" i="2"/>
  <c r="BR24" i="2"/>
  <c r="BQ24" i="2"/>
  <c r="BP24" i="2"/>
  <c r="BO24" i="2"/>
  <c r="BN24" i="2"/>
  <c r="BM24" i="2"/>
  <c r="BL24" i="2"/>
  <c r="BK24" i="2"/>
  <c r="BJ24" i="2"/>
  <c r="BI24" i="2"/>
  <c r="BH24" i="2"/>
  <c r="BG24" i="2"/>
  <c r="BF24" i="2"/>
  <c r="BE24" i="2"/>
  <c r="BD24" i="2"/>
  <c r="BC24" i="2"/>
  <c r="BB24" i="2"/>
  <c r="BA24" i="2"/>
  <c r="AZ24" i="2"/>
  <c r="AY24" i="2"/>
  <c r="AX24" i="2"/>
  <c r="AW24" i="2"/>
  <c r="AV24" i="2"/>
  <c r="AU24" i="2"/>
  <c r="AT24" i="2"/>
  <c r="AS24" i="2"/>
  <c r="AR24" i="2"/>
  <c r="AQ24" i="2"/>
  <c r="AP24" i="2"/>
  <c r="AN24" i="2"/>
  <c r="AO24" i="2" s="1"/>
  <c r="AM24" i="2"/>
  <c r="AL24" i="2"/>
  <c r="AK24" i="2"/>
  <c r="AJ24" i="2"/>
  <c r="AI24" i="2"/>
  <c r="AH24" i="2"/>
  <c r="AG24" i="2"/>
  <c r="AF24" i="2"/>
  <c r="AE24" i="2"/>
  <c r="AD24" i="2"/>
  <c r="AC24" i="2"/>
  <c r="AA24" i="2"/>
  <c r="AB24" i="2" s="1"/>
  <c r="Z24" i="2"/>
  <c r="Y24" i="2"/>
  <c r="X24" i="2"/>
  <c r="W24" i="2"/>
  <c r="V24" i="2"/>
  <c r="U24" i="2"/>
  <c r="T24" i="2"/>
  <c r="S24" i="2"/>
  <c r="R24" i="2"/>
  <c r="Q24" i="2"/>
  <c r="P24" i="2"/>
  <c r="N24" i="2"/>
  <c r="O24" i="2" s="1"/>
  <c r="M24" i="2"/>
  <c r="L24" i="2"/>
  <c r="K24" i="2"/>
  <c r="J24" i="2"/>
  <c r="I24" i="2"/>
  <c r="H24" i="2"/>
  <c r="G24" i="2"/>
  <c r="F24" i="2"/>
  <c r="E24" i="2"/>
  <c r="D24" i="2"/>
  <c r="C24" i="2"/>
  <c r="FI23" i="2"/>
  <c r="FO23" i="2" s="1"/>
  <c r="FH23" i="2"/>
  <c r="FG23" i="2"/>
  <c r="FF23" i="2"/>
  <c r="FE23" i="2"/>
  <c r="FD23" i="2"/>
  <c r="FC23" i="2"/>
  <c r="FA23" i="2"/>
  <c r="FB23" i="2" s="1"/>
  <c r="EZ23" i="2"/>
  <c r="EY23" i="2"/>
  <c r="EX23" i="2"/>
  <c r="EW23" i="2"/>
  <c r="EV23" i="2"/>
  <c r="EU23" i="2"/>
  <c r="ET23" i="2"/>
  <c r="ES23" i="2"/>
  <c r="ER23" i="2"/>
  <c r="EQ23" i="2"/>
  <c r="EP23" i="2"/>
  <c r="EN23" i="2"/>
  <c r="EO23" i="2" s="1"/>
  <c r="EM23" i="2"/>
  <c r="EL23" i="2"/>
  <c r="EK23" i="2"/>
  <c r="EJ23" i="2"/>
  <c r="EI23" i="2"/>
  <c r="EH23" i="2"/>
  <c r="EG23" i="2"/>
  <c r="EF23" i="2"/>
  <c r="EE23" i="2"/>
  <c r="ED23" i="2"/>
  <c r="EC23" i="2"/>
  <c r="EB23" i="2"/>
  <c r="EA23" i="2"/>
  <c r="DZ23" i="2"/>
  <c r="DY23" i="2"/>
  <c r="DX23" i="2"/>
  <c r="DW23" i="2"/>
  <c r="DV23" i="2"/>
  <c r="DU23" i="2"/>
  <c r="DT23" i="2"/>
  <c r="DS23" i="2"/>
  <c r="DR23" i="2"/>
  <c r="DQ23" i="2"/>
  <c r="DP23" i="2"/>
  <c r="DO23" i="2"/>
  <c r="DN23" i="2"/>
  <c r="DM23" i="2"/>
  <c r="DL23" i="2"/>
  <c r="DK23" i="2"/>
  <c r="DJ23" i="2"/>
  <c r="DI23" i="2"/>
  <c r="DH23" i="2"/>
  <c r="DG23" i="2"/>
  <c r="DF23" i="2"/>
  <c r="DE23" i="2"/>
  <c r="DD23" i="2"/>
  <c r="DC23" i="2"/>
  <c r="CZ23" i="2"/>
  <c r="CY23" i="2"/>
  <c r="CX23" i="2"/>
  <c r="CW23" i="2"/>
  <c r="CV23" i="2"/>
  <c r="CU23" i="2"/>
  <c r="CT23" i="2"/>
  <c r="CS23" i="2"/>
  <c r="CR23" i="2"/>
  <c r="CQ23" i="2"/>
  <c r="CP23" i="2"/>
  <c r="CN23" i="2"/>
  <c r="CO23" i="2" s="1"/>
  <c r="CM23" i="2"/>
  <c r="CL23" i="2"/>
  <c r="CK23" i="2"/>
  <c r="CJ23" i="2"/>
  <c r="CI23" i="2"/>
  <c r="CH23" i="2"/>
  <c r="CG23" i="2"/>
  <c r="CF23" i="2"/>
  <c r="CE23" i="2"/>
  <c r="CD23" i="2"/>
  <c r="CC23" i="2"/>
  <c r="CA23" i="2"/>
  <c r="CB23" i="2" s="1"/>
  <c r="BZ23" i="2"/>
  <c r="BY23" i="2"/>
  <c r="BX23" i="2"/>
  <c r="BW23" i="2"/>
  <c r="BV23" i="2"/>
  <c r="BU23" i="2"/>
  <c r="BT23" i="2"/>
  <c r="BS23" i="2"/>
  <c r="BR23" i="2"/>
  <c r="BQ23" i="2"/>
  <c r="BP23" i="2"/>
  <c r="BO23" i="2"/>
  <c r="BN23" i="2"/>
  <c r="BM23" i="2"/>
  <c r="BL23" i="2"/>
  <c r="BK23" i="2"/>
  <c r="BJ23" i="2"/>
  <c r="BI23" i="2"/>
  <c r="BH23" i="2"/>
  <c r="BG23" i="2"/>
  <c r="BF23" i="2"/>
  <c r="BE23" i="2"/>
  <c r="BD23" i="2"/>
  <c r="BC23" i="2"/>
  <c r="BA23" i="2"/>
  <c r="BB23" i="2" s="1"/>
  <c r="AZ23" i="2"/>
  <c r="AY23" i="2"/>
  <c r="AX23" i="2"/>
  <c r="AW23" i="2"/>
  <c r="AV23" i="2"/>
  <c r="AU23" i="2"/>
  <c r="AT23" i="2"/>
  <c r="AS23" i="2"/>
  <c r="AR23" i="2"/>
  <c r="AQ23" i="2"/>
  <c r="AP23" i="2"/>
  <c r="AN23" i="2"/>
  <c r="AO23" i="2" s="1"/>
  <c r="AM23" i="2"/>
  <c r="AL23" i="2"/>
  <c r="AK23" i="2"/>
  <c r="AJ23" i="2"/>
  <c r="AI23" i="2"/>
  <c r="AH23" i="2"/>
  <c r="AG23" i="2"/>
  <c r="AF23" i="2"/>
  <c r="AE23" i="2"/>
  <c r="AD23" i="2"/>
  <c r="AC23" i="2"/>
  <c r="AA23" i="2"/>
  <c r="AB23" i="2" s="1"/>
  <c r="Z23" i="2"/>
  <c r="Y23" i="2"/>
  <c r="X23" i="2"/>
  <c r="W23" i="2"/>
  <c r="V23" i="2"/>
  <c r="U23" i="2"/>
  <c r="T23" i="2"/>
  <c r="S23" i="2"/>
  <c r="R23" i="2"/>
  <c r="Q23" i="2"/>
  <c r="P23" i="2"/>
  <c r="O23" i="2"/>
  <c r="N23" i="2"/>
  <c r="M23" i="2"/>
  <c r="L23" i="2"/>
  <c r="K23" i="2"/>
  <c r="J23" i="2"/>
  <c r="I23" i="2"/>
  <c r="H23" i="2"/>
  <c r="G23" i="2"/>
  <c r="F23" i="2"/>
  <c r="E23" i="2"/>
  <c r="D23" i="2"/>
  <c r="C23" i="2"/>
  <c r="FO22" i="2"/>
  <c r="FI22" i="2"/>
  <c r="FH22" i="2"/>
  <c r="FG22" i="2"/>
  <c r="FF22" i="2"/>
  <c r="FE22" i="2"/>
  <c r="FD22" i="2"/>
  <c r="FC22" i="2"/>
  <c r="FA22" i="2"/>
  <c r="EZ22" i="2"/>
  <c r="EY22" i="2"/>
  <c r="EX22" i="2"/>
  <c r="EW22" i="2"/>
  <c r="EV22" i="2"/>
  <c r="EU22" i="2"/>
  <c r="ET22" i="2"/>
  <c r="ES22" i="2"/>
  <c r="ER22" i="2"/>
  <c r="EQ22" i="2"/>
  <c r="EP22" i="2"/>
  <c r="EO22" i="2"/>
  <c r="EN22" i="2"/>
  <c r="EM22" i="2"/>
  <c r="EL22" i="2"/>
  <c r="EK22" i="2"/>
  <c r="EJ22" i="2"/>
  <c r="EI22" i="2"/>
  <c r="EH22" i="2"/>
  <c r="EG22" i="2"/>
  <c r="EF22" i="2"/>
  <c r="EE22" i="2"/>
  <c r="ED22" i="2"/>
  <c r="EC22" i="2"/>
  <c r="EA22" i="2"/>
  <c r="EB22" i="2" s="1"/>
  <c r="DZ22" i="2"/>
  <c r="DY22" i="2"/>
  <c r="DX22" i="2"/>
  <c r="DW22" i="2"/>
  <c r="DV22" i="2"/>
  <c r="DU22" i="2"/>
  <c r="DT22" i="2"/>
  <c r="DS22" i="2"/>
  <c r="DR22" i="2"/>
  <c r="DQ22" i="2"/>
  <c r="DP22" i="2"/>
  <c r="DN22" i="2"/>
  <c r="DO22" i="2" s="1"/>
  <c r="DM22" i="2"/>
  <c r="DL22" i="2"/>
  <c r="DK22" i="2"/>
  <c r="DJ22" i="2"/>
  <c r="DI22" i="2"/>
  <c r="DH22" i="2"/>
  <c r="DG22" i="2"/>
  <c r="DF22" i="2"/>
  <c r="DE22" i="2"/>
  <c r="DD22" i="2"/>
  <c r="DC22" i="2"/>
  <c r="CZ22" i="2"/>
  <c r="CY22" i="2"/>
  <c r="CX22" i="2"/>
  <c r="CW22" i="2"/>
  <c r="CV22" i="2"/>
  <c r="CU22" i="2"/>
  <c r="CT22" i="2"/>
  <c r="CS22" i="2"/>
  <c r="CR22" i="2"/>
  <c r="CQ22" i="2"/>
  <c r="CP22" i="2"/>
  <c r="CN22" i="2"/>
  <c r="CO22" i="2" s="1"/>
  <c r="CM22" i="2"/>
  <c r="CL22" i="2"/>
  <c r="CK22" i="2"/>
  <c r="CJ22" i="2"/>
  <c r="CI22" i="2"/>
  <c r="CH22" i="2"/>
  <c r="CG22" i="2"/>
  <c r="CF22" i="2"/>
  <c r="CE22" i="2"/>
  <c r="CD22" i="2"/>
  <c r="CC22" i="2"/>
  <c r="CB22" i="2"/>
  <c r="CA22" i="2"/>
  <c r="BZ22" i="2"/>
  <c r="BY22" i="2"/>
  <c r="BX22" i="2"/>
  <c r="BW22" i="2"/>
  <c r="BW27" i="2" s="1"/>
  <c r="BV22" i="2"/>
  <c r="BU22" i="2"/>
  <c r="BT22" i="2"/>
  <c r="BS22" i="2"/>
  <c r="BR22" i="2"/>
  <c r="BQ22" i="2"/>
  <c r="BP22" i="2"/>
  <c r="BO22" i="2"/>
  <c r="BN22" i="2"/>
  <c r="BM22" i="2"/>
  <c r="BL22" i="2"/>
  <c r="BK22" i="2"/>
  <c r="BJ22" i="2"/>
  <c r="BI22" i="2"/>
  <c r="BH22" i="2"/>
  <c r="BG22" i="2"/>
  <c r="BF22" i="2"/>
  <c r="BE22" i="2"/>
  <c r="BD22" i="2"/>
  <c r="BC22" i="2"/>
  <c r="BA22" i="2"/>
  <c r="BB22" i="2" s="1"/>
  <c r="AZ22" i="2"/>
  <c r="AY22" i="2"/>
  <c r="AX22" i="2"/>
  <c r="AW22" i="2"/>
  <c r="AV22" i="2"/>
  <c r="AU22" i="2"/>
  <c r="AT22" i="2"/>
  <c r="AS22" i="2"/>
  <c r="AR22" i="2"/>
  <c r="AQ22" i="2"/>
  <c r="AP22" i="2"/>
  <c r="AN22" i="2"/>
  <c r="AO22" i="2" s="1"/>
  <c r="AM22" i="2"/>
  <c r="AL22" i="2"/>
  <c r="AK22" i="2"/>
  <c r="AJ22" i="2"/>
  <c r="AI22" i="2"/>
  <c r="AH22" i="2"/>
  <c r="AG22" i="2"/>
  <c r="AF22" i="2"/>
  <c r="AE22" i="2"/>
  <c r="AD22" i="2"/>
  <c r="AC22" i="2"/>
  <c r="AA22" i="2"/>
  <c r="AB22" i="2" s="1"/>
  <c r="Z22" i="2"/>
  <c r="Y22" i="2"/>
  <c r="X22" i="2"/>
  <c r="W22" i="2"/>
  <c r="V22" i="2"/>
  <c r="U22" i="2"/>
  <c r="T22" i="2"/>
  <c r="S22" i="2"/>
  <c r="R22" i="2"/>
  <c r="Q22" i="2"/>
  <c r="P22" i="2"/>
  <c r="O22" i="2"/>
  <c r="N22" i="2"/>
  <c r="M22" i="2"/>
  <c r="L22" i="2"/>
  <c r="K22" i="2"/>
  <c r="J22" i="2"/>
  <c r="I22" i="2"/>
  <c r="H22" i="2"/>
  <c r="G22" i="2"/>
  <c r="F22" i="2"/>
  <c r="E22" i="2"/>
  <c r="D22" i="2"/>
  <c r="C22" i="2"/>
  <c r="FI21" i="2"/>
  <c r="FH21" i="2"/>
  <c r="FG21" i="2"/>
  <c r="FF21" i="2"/>
  <c r="FE21" i="2"/>
  <c r="FD21" i="2"/>
  <c r="FC21" i="2"/>
  <c r="FC27" i="2" s="1"/>
  <c r="FA21" i="2"/>
  <c r="FB21" i="2" s="1"/>
  <c r="EZ21" i="2"/>
  <c r="EZ27" i="2" s="1"/>
  <c r="EY21" i="2"/>
  <c r="EX21" i="2"/>
  <c r="EX27" i="2" s="1"/>
  <c r="EW21" i="2"/>
  <c r="EW27" i="2" s="1"/>
  <c r="EV21" i="2"/>
  <c r="EU21" i="2"/>
  <c r="ET21" i="2"/>
  <c r="ES21" i="2"/>
  <c r="ES27" i="2" s="1"/>
  <c r="ER21" i="2"/>
  <c r="EQ21" i="2"/>
  <c r="EQ27" i="2" s="1"/>
  <c r="EP21" i="2"/>
  <c r="EP27" i="2" s="1"/>
  <c r="EN21" i="2"/>
  <c r="EM21" i="2"/>
  <c r="EL21" i="2"/>
  <c r="EK21" i="2"/>
  <c r="EK27" i="2" s="1"/>
  <c r="EJ21" i="2"/>
  <c r="EI21" i="2"/>
  <c r="EH21" i="2"/>
  <c r="EG21" i="2"/>
  <c r="EF21" i="2"/>
  <c r="EE21" i="2"/>
  <c r="ED21" i="2"/>
  <c r="EC21" i="2"/>
  <c r="EB21" i="2"/>
  <c r="EA21" i="2"/>
  <c r="DZ21" i="2"/>
  <c r="DY21" i="2"/>
  <c r="DY27" i="2" s="1"/>
  <c r="DX21" i="2"/>
  <c r="DW21" i="2"/>
  <c r="DV21" i="2"/>
  <c r="DU21" i="2"/>
  <c r="DT21" i="2"/>
  <c r="DS21" i="2"/>
  <c r="DS27" i="2" s="1"/>
  <c r="DR21" i="2"/>
  <c r="DR27" i="2" s="1"/>
  <c r="DQ21" i="2"/>
  <c r="DQ27" i="2" s="1"/>
  <c r="DP21" i="2"/>
  <c r="DP27" i="2" s="1"/>
  <c r="DN21" i="2"/>
  <c r="DO21" i="2" s="1"/>
  <c r="DM21" i="2"/>
  <c r="DM27" i="2" s="1"/>
  <c r="DL21" i="2"/>
  <c r="DL27" i="2" s="1"/>
  <c r="DK21" i="2"/>
  <c r="DJ21" i="2"/>
  <c r="DI21" i="2"/>
  <c r="DH21" i="2"/>
  <c r="DG21" i="2"/>
  <c r="DF21" i="2"/>
  <c r="DF27" i="2" s="1"/>
  <c r="DE21" i="2"/>
  <c r="DE27" i="2" s="1"/>
  <c r="DD21" i="2"/>
  <c r="DD27" i="2" s="1"/>
  <c r="DC21" i="2"/>
  <c r="CZ21" i="2"/>
  <c r="CY21" i="2"/>
  <c r="CX21" i="2"/>
  <c r="CW21" i="2"/>
  <c r="CV21" i="2"/>
  <c r="CU21" i="2"/>
  <c r="CU27" i="2" s="1"/>
  <c r="CT21" i="2"/>
  <c r="CT27" i="2" s="1"/>
  <c r="CS21" i="2"/>
  <c r="CR21" i="2"/>
  <c r="CR27" i="2" s="1"/>
  <c r="CQ21" i="2"/>
  <c r="CQ27" i="2" s="1"/>
  <c r="CP21" i="2"/>
  <c r="CN21" i="2"/>
  <c r="CO21" i="2" s="1"/>
  <c r="CM21" i="2"/>
  <c r="CL21" i="2"/>
  <c r="CK21" i="2"/>
  <c r="CJ21" i="2"/>
  <c r="CI21" i="2"/>
  <c r="CI27" i="2" s="1"/>
  <c r="CH21" i="2"/>
  <c r="CH27" i="2" s="1"/>
  <c r="CG21" i="2"/>
  <c r="CG27" i="2" s="1"/>
  <c r="CF21" i="2"/>
  <c r="CF27" i="2" s="1"/>
  <c r="CE21" i="2"/>
  <c r="CE27" i="2" s="1"/>
  <c r="CD21" i="2"/>
  <c r="CC21" i="2"/>
  <c r="CC27" i="2" s="1"/>
  <c r="CA21" i="2"/>
  <c r="BZ21" i="2"/>
  <c r="BY21" i="2"/>
  <c r="BX21" i="2"/>
  <c r="BW21" i="2"/>
  <c r="BV21" i="2"/>
  <c r="BU21" i="2"/>
  <c r="BU27" i="2" s="1"/>
  <c r="BT21" i="2"/>
  <c r="BT27" i="2" s="1"/>
  <c r="BS21" i="2"/>
  <c r="BS27" i="2" s="1"/>
  <c r="BR21" i="2"/>
  <c r="BR27" i="2" s="1"/>
  <c r="BQ21" i="2"/>
  <c r="BQ27" i="2" s="1"/>
  <c r="BP21" i="2"/>
  <c r="BN21" i="2"/>
  <c r="BO21" i="2" s="1"/>
  <c r="BM21" i="2"/>
  <c r="BL21" i="2"/>
  <c r="BK21" i="2"/>
  <c r="BJ21" i="2"/>
  <c r="BJ27" i="2" s="1"/>
  <c r="BI21" i="2"/>
  <c r="BI27" i="2" s="1"/>
  <c r="BH21" i="2"/>
  <c r="BG21" i="2"/>
  <c r="BG27" i="2" s="1"/>
  <c r="BF21" i="2"/>
  <c r="BF27" i="2" s="1"/>
  <c r="BE21" i="2"/>
  <c r="BE27" i="2" s="1"/>
  <c r="BD21" i="2"/>
  <c r="BD27" i="2" s="1"/>
  <c r="BC21" i="2"/>
  <c r="BB21" i="2"/>
  <c r="BA21" i="2"/>
  <c r="BA27" i="2" s="1"/>
  <c r="AZ21" i="2"/>
  <c r="AY21" i="2"/>
  <c r="AX21" i="2"/>
  <c r="AW21" i="2"/>
  <c r="AW27" i="2" s="1"/>
  <c r="AV21" i="2"/>
  <c r="AU21" i="2"/>
  <c r="AU27" i="2" s="1"/>
  <c r="AT21" i="2"/>
  <c r="AT27" i="2" s="1"/>
  <c r="AS21" i="2"/>
  <c r="AS27" i="2" s="1"/>
  <c r="AR21" i="2"/>
  <c r="AR27" i="2" s="1"/>
  <c r="AQ21" i="2"/>
  <c r="AP21" i="2"/>
  <c r="AN21" i="2"/>
  <c r="AM21" i="2"/>
  <c r="AM27" i="2" s="1"/>
  <c r="AL21" i="2"/>
  <c r="AL27" i="2" s="1"/>
  <c r="AK21" i="2"/>
  <c r="AK27" i="2" s="1"/>
  <c r="AJ21" i="2"/>
  <c r="AJ27" i="2" s="1"/>
  <c r="AI21" i="2"/>
  <c r="AI27" i="2" s="1"/>
  <c r="AH21" i="2"/>
  <c r="AH27" i="2" s="1"/>
  <c r="AG21" i="2"/>
  <c r="AG27" i="2" s="1"/>
  <c r="AF21" i="2"/>
  <c r="AE21" i="2"/>
  <c r="AD21" i="2"/>
  <c r="AC21" i="2"/>
  <c r="AB21" i="2"/>
  <c r="AA21" i="2"/>
  <c r="AA27" i="2" s="1"/>
  <c r="Z21" i="2"/>
  <c r="Z27" i="2" s="1"/>
  <c r="Y21" i="2"/>
  <c r="Y27" i="2" s="1"/>
  <c r="X21" i="2"/>
  <c r="W21" i="2"/>
  <c r="V21" i="2"/>
  <c r="V27" i="2" s="1"/>
  <c r="U21" i="2"/>
  <c r="U27" i="2" s="1"/>
  <c r="T21" i="2"/>
  <c r="S21" i="2"/>
  <c r="R21" i="2"/>
  <c r="Q21" i="2"/>
  <c r="P21" i="2"/>
  <c r="O21" i="2"/>
  <c r="N21" i="2"/>
  <c r="N27" i="2" s="1"/>
  <c r="M21" i="2"/>
  <c r="M27" i="2" s="1"/>
  <c r="L21" i="2"/>
  <c r="K21" i="2"/>
  <c r="J21" i="2"/>
  <c r="J27" i="2" s="1"/>
  <c r="I21" i="2"/>
  <c r="I27" i="2" s="1"/>
  <c r="H21" i="2"/>
  <c r="G21" i="2"/>
  <c r="F21" i="2"/>
  <c r="E21" i="2"/>
  <c r="D21" i="2"/>
  <c r="C21" i="2"/>
  <c r="C27" i="2" s="1"/>
  <c r="FN15" i="2"/>
  <c r="FM15" i="2"/>
  <c r="FL15" i="2"/>
  <c r="FK15" i="2"/>
  <c r="FJ15" i="2"/>
  <c r="FI14" i="2"/>
  <c r="FH14" i="2"/>
  <c r="FH162" i="2" s="1"/>
  <c r="FG14" i="2"/>
  <c r="FG162" i="2" s="1"/>
  <c r="FF14" i="2"/>
  <c r="FF162" i="2" s="1"/>
  <c r="FE14" i="2"/>
  <c r="FE162" i="2" s="1"/>
  <c r="FD14" i="2"/>
  <c r="FD162" i="2" s="1"/>
  <c r="FC14" i="2"/>
  <c r="FC162" i="2" s="1"/>
  <c r="FA14" i="2"/>
  <c r="FA162" i="2" s="1"/>
  <c r="EZ14" i="2"/>
  <c r="EZ162" i="2" s="1"/>
  <c r="EY14" i="2"/>
  <c r="EY162" i="2" s="1"/>
  <c r="EX14" i="2"/>
  <c r="EX162" i="2" s="1"/>
  <c r="EW14" i="2"/>
  <c r="EW162" i="2" s="1"/>
  <c r="EV14" i="2"/>
  <c r="EV162" i="2" s="1"/>
  <c r="EU14" i="2"/>
  <c r="EU162" i="2" s="1"/>
  <c r="ET14" i="2"/>
  <c r="ET162" i="2" s="1"/>
  <c r="ES14" i="2"/>
  <c r="ES162" i="2" s="1"/>
  <c r="ER14" i="2"/>
  <c r="ER162" i="2" s="1"/>
  <c r="EQ14" i="2"/>
  <c r="EQ162" i="2" s="1"/>
  <c r="EP14" i="2"/>
  <c r="EP162" i="2" s="1"/>
  <c r="EO14" i="2"/>
  <c r="EN14" i="2"/>
  <c r="EN162" i="2" s="1"/>
  <c r="EM14" i="2"/>
  <c r="EM162" i="2" s="1"/>
  <c r="EL14" i="2"/>
  <c r="EL162" i="2" s="1"/>
  <c r="EK14" i="2"/>
  <c r="EK162" i="2" s="1"/>
  <c r="EJ14" i="2"/>
  <c r="EJ162" i="2" s="1"/>
  <c r="EI14" i="2"/>
  <c r="EI162" i="2" s="1"/>
  <c r="EH14" i="2"/>
  <c r="EH162" i="2" s="1"/>
  <c r="EG14" i="2"/>
  <c r="EG162" i="2" s="1"/>
  <c r="EF14" i="2"/>
  <c r="EF162" i="2" s="1"/>
  <c r="EE14" i="2"/>
  <c r="EE162" i="2" s="1"/>
  <c r="ED14" i="2"/>
  <c r="ED162" i="2" s="1"/>
  <c r="EC14" i="2"/>
  <c r="EC162" i="2" s="1"/>
  <c r="EB14" i="2"/>
  <c r="EA14" i="2"/>
  <c r="EA162" i="2" s="1"/>
  <c r="DZ14" i="2"/>
  <c r="DZ162" i="2" s="1"/>
  <c r="DY14" i="2"/>
  <c r="DY162" i="2" s="1"/>
  <c r="DX14" i="2"/>
  <c r="DX162" i="2" s="1"/>
  <c r="DW14" i="2"/>
  <c r="DW162" i="2" s="1"/>
  <c r="DV14" i="2"/>
  <c r="DV162" i="2" s="1"/>
  <c r="DU14" i="2"/>
  <c r="DU162" i="2" s="1"/>
  <c r="DT14" i="2"/>
  <c r="DT162" i="2" s="1"/>
  <c r="DS14" i="2"/>
  <c r="DS162" i="2" s="1"/>
  <c r="DR14" i="2"/>
  <c r="DR162" i="2" s="1"/>
  <c r="DQ14" i="2"/>
  <c r="DQ162" i="2" s="1"/>
  <c r="DP14" i="2"/>
  <c r="DP162" i="2" s="1"/>
  <c r="CN14" i="2"/>
  <c r="CN162" i="2" s="1"/>
  <c r="CM14" i="2"/>
  <c r="CM162" i="2" s="1"/>
  <c r="CL14" i="2"/>
  <c r="CL162" i="2" s="1"/>
  <c r="CK14" i="2"/>
  <c r="CK162" i="2" s="1"/>
  <c r="CJ14" i="2"/>
  <c r="CJ162" i="2" s="1"/>
  <c r="CI14" i="2"/>
  <c r="CI162" i="2" s="1"/>
  <c r="CH14" i="2"/>
  <c r="CH162" i="2" s="1"/>
  <c r="CG14" i="2"/>
  <c r="CG162" i="2" s="1"/>
  <c r="CF14" i="2"/>
  <c r="CF162" i="2" s="1"/>
  <c r="CE14" i="2"/>
  <c r="CE162" i="2" s="1"/>
  <c r="CD14" i="2"/>
  <c r="CD162" i="2" s="1"/>
  <c r="CC14" i="2"/>
  <c r="CC162" i="2" s="1"/>
  <c r="CA14" i="2"/>
  <c r="CA162" i="2" s="1"/>
  <c r="BZ14" i="2"/>
  <c r="BZ162" i="2" s="1"/>
  <c r="BY14" i="2"/>
  <c r="BY162" i="2" s="1"/>
  <c r="BX14" i="2"/>
  <c r="BX162" i="2" s="1"/>
  <c r="BW14" i="2"/>
  <c r="BW162" i="2" s="1"/>
  <c r="BV14" i="2"/>
  <c r="BV162" i="2" s="1"/>
  <c r="BU14" i="2"/>
  <c r="BU162" i="2" s="1"/>
  <c r="BT14" i="2"/>
  <c r="BT162" i="2" s="1"/>
  <c r="BS14" i="2"/>
  <c r="BS162" i="2" s="1"/>
  <c r="BR14" i="2"/>
  <c r="BR162" i="2" s="1"/>
  <c r="BQ14" i="2"/>
  <c r="BQ162" i="2" s="1"/>
  <c r="BP14" i="2"/>
  <c r="BP162" i="2" s="1"/>
  <c r="BN14" i="2"/>
  <c r="BN162" i="2" s="1"/>
  <c r="BM14" i="2"/>
  <c r="BM162" i="2" s="1"/>
  <c r="BL14" i="2"/>
  <c r="BL162" i="2" s="1"/>
  <c r="BK14" i="2"/>
  <c r="BK162" i="2" s="1"/>
  <c r="BJ14" i="2"/>
  <c r="BJ162" i="2" s="1"/>
  <c r="BI14" i="2"/>
  <c r="BI162" i="2" s="1"/>
  <c r="BH14" i="2"/>
  <c r="BH162" i="2" s="1"/>
  <c r="BG14" i="2"/>
  <c r="BG162" i="2" s="1"/>
  <c r="BF14" i="2"/>
  <c r="BF162" i="2" s="1"/>
  <c r="BE14" i="2"/>
  <c r="BE162" i="2" s="1"/>
  <c r="BD14" i="2"/>
  <c r="BD162" i="2" s="1"/>
  <c r="BC14" i="2"/>
  <c r="BC162" i="2" s="1"/>
  <c r="BA14" i="2"/>
  <c r="BA162" i="2" s="1"/>
  <c r="AZ14" i="2"/>
  <c r="AZ162" i="2" s="1"/>
  <c r="AY14" i="2"/>
  <c r="AY162" i="2" s="1"/>
  <c r="AX14" i="2"/>
  <c r="AX162" i="2" s="1"/>
  <c r="AW14" i="2"/>
  <c r="AW162" i="2" s="1"/>
  <c r="AV14" i="2"/>
  <c r="AV162" i="2" s="1"/>
  <c r="AU14" i="2"/>
  <c r="AU162" i="2" s="1"/>
  <c r="AT14" i="2"/>
  <c r="AT162" i="2" s="1"/>
  <c r="AS14" i="2"/>
  <c r="AS162" i="2" s="1"/>
  <c r="AR14" i="2"/>
  <c r="AR162" i="2" s="1"/>
  <c r="AQ14" i="2"/>
  <c r="AQ162" i="2" s="1"/>
  <c r="AP14" i="2"/>
  <c r="AP162" i="2" s="1"/>
  <c r="AN14" i="2"/>
  <c r="AN162" i="2" s="1"/>
  <c r="AM14" i="2"/>
  <c r="AM162" i="2" s="1"/>
  <c r="AL14" i="2"/>
  <c r="AL162" i="2" s="1"/>
  <c r="AK14" i="2"/>
  <c r="AK162" i="2" s="1"/>
  <c r="AJ14" i="2"/>
  <c r="AJ162" i="2" s="1"/>
  <c r="AI14" i="2"/>
  <c r="AI162" i="2" s="1"/>
  <c r="AH14" i="2"/>
  <c r="AH162" i="2" s="1"/>
  <c r="AG14" i="2"/>
  <c r="AG162" i="2" s="1"/>
  <c r="AF14" i="2"/>
  <c r="AF162" i="2" s="1"/>
  <c r="AE14" i="2"/>
  <c r="AE162" i="2" s="1"/>
  <c r="AD14" i="2"/>
  <c r="AD162" i="2" s="1"/>
  <c r="AC14" i="2"/>
  <c r="AC162" i="2" s="1"/>
  <c r="AB14" i="2"/>
  <c r="AB162" i="2" s="1"/>
  <c r="AA14" i="2"/>
  <c r="AA162" i="2" s="1"/>
  <c r="Z14" i="2"/>
  <c r="Z162" i="2" s="1"/>
  <c r="Y14" i="2"/>
  <c r="Y162" i="2" s="1"/>
  <c r="X14" i="2"/>
  <c r="X162" i="2" s="1"/>
  <c r="W14" i="2"/>
  <c r="W162" i="2" s="1"/>
  <c r="V14" i="2"/>
  <c r="V162" i="2" s="1"/>
  <c r="U14" i="2"/>
  <c r="U162" i="2" s="1"/>
  <c r="T14" i="2"/>
  <c r="T162" i="2" s="1"/>
  <c r="S14" i="2"/>
  <c r="S162" i="2" s="1"/>
  <c r="R14" i="2"/>
  <c r="R162" i="2" s="1"/>
  <c r="Q14" i="2"/>
  <c r="Q162" i="2" s="1"/>
  <c r="P14" i="2"/>
  <c r="P162" i="2" s="1"/>
  <c r="O14" i="2"/>
  <c r="N14" i="2"/>
  <c r="M14" i="2"/>
  <c r="M162" i="2" s="1"/>
  <c r="L14" i="2"/>
  <c r="L162" i="2" s="1"/>
  <c r="K14" i="2"/>
  <c r="K162" i="2" s="1"/>
  <c r="J14" i="2"/>
  <c r="J162" i="2" s="1"/>
  <c r="I14" i="2"/>
  <c r="I162" i="2" s="1"/>
  <c r="H14" i="2"/>
  <c r="H162" i="2" s="1"/>
  <c r="G14" i="2"/>
  <c r="G162" i="2" s="1"/>
  <c r="F14" i="2"/>
  <c r="F162" i="2" s="1"/>
  <c r="E14" i="2"/>
  <c r="E162" i="2" s="1"/>
  <c r="D14" i="2"/>
  <c r="D162" i="2" s="1"/>
  <c r="C14" i="2"/>
  <c r="C162" i="2" s="1"/>
  <c r="FI13" i="2"/>
  <c r="FI161" i="2" s="1"/>
  <c r="FH13" i="2"/>
  <c r="FH161" i="2" s="1"/>
  <c r="FG13" i="2"/>
  <c r="FG161" i="2" s="1"/>
  <c r="FF13" i="2"/>
  <c r="FF161" i="2" s="1"/>
  <c r="FE13" i="2"/>
  <c r="FE161" i="2" s="1"/>
  <c r="FD13" i="2"/>
  <c r="FD161" i="2" s="1"/>
  <c r="FC13" i="2"/>
  <c r="FC161" i="2" s="1"/>
  <c r="FB13" i="2"/>
  <c r="FB161" i="2" s="1"/>
  <c r="FA13" i="2"/>
  <c r="FA161" i="2" s="1"/>
  <c r="EZ13" i="2"/>
  <c r="EZ161" i="2" s="1"/>
  <c r="EY13" i="2"/>
  <c r="EY161" i="2" s="1"/>
  <c r="EX13" i="2"/>
  <c r="EX161" i="2" s="1"/>
  <c r="EW13" i="2"/>
  <c r="EW161" i="2" s="1"/>
  <c r="EV13" i="2"/>
  <c r="EV161" i="2" s="1"/>
  <c r="EU13" i="2"/>
  <c r="EU161" i="2" s="1"/>
  <c r="ET13" i="2"/>
  <c r="ET161" i="2" s="1"/>
  <c r="ES13" i="2"/>
  <c r="ES161" i="2" s="1"/>
  <c r="ER13" i="2"/>
  <c r="ER161" i="2" s="1"/>
  <c r="EQ13" i="2"/>
  <c r="EQ161" i="2" s="1"/>
  <c r="EP13" i="2"/>
  <c r="EP161" i="2" s="1"/>
  <c r="EN13" i="2"/>
  <c r="EN161" i="2" s="1"/>
  <c r="EM13" i="2"/>
  <c r="EM161" i="2" s="1"/>
  <c r="EL13" i="2"/>
  <c r="EL161" i="2" s="1"/>
  <c r="EK13" i="2"/>
  <c r="EK161" i="2" s="1"/>
  <c r="EJ13" i="2"/>
  <c r="EJ161" i="2" s="1"/>
  <c r="EI13" i="2"/>
  <c r="EI161" i="2" s="1"/>
  <c r="EH13" i="2"/>
  <c r="EH161" i="2" s="1"/>
  <c r="EG13" i="2"/>
  <c r="EG161" i="2" s="1"/>
  <c r="EF13" i="2"/>
  <c r="EF161" i="2" s="1"/>
  <c r="EE13" i="2"/>
  <c r="EE161" i="2" s="1"/>
  <c r="ED13" i="2"/>
  <c r="ED161" i="2" s="1"/>
  <c r="EC13" i="2"/>
  <c r="EC161" i="2" s="1"/>
  <c r="EA13" i="2"/>
  <c r="EA161" i="2" s="1"/>
  <c r="DZ13" i="2"/>
  <c r="DZ161" i="2" s="1"/>
  <c r="DY13" i="2"/>
  <c r="DY161" i="2" s="1"/>
  <c r="DX13" i="2"/>
  <c r="DX161" i="2" s="1"/>
  <c r="DW13" i="2"/>
  <c r="DW161" i="2" s="1"/>
  <c r="DV13" i="2"/>
  <c r="DV161" i="2" s="1"/>
  <c r="DU13" i="2"/>
  <c r="DU161" i="2" s="1"/>
  <c r="DT13" i="2"/>
  <c r="DT161" i="2" s="1"/>
  <c r="DS13" i="2"/>
  <c r="DS161" i="2" s="1"/>
  <c r="DR13" i="2"/>
  <c r="DR161" i="2" s="1"/>
  <c r="DQ13" i="2"/>
  <c r="DQ161" i="2" s="1"/>
  <c r="DP13" i="2"/>
  <c r="DP161" i="2" s="1"/>
  <c r="CN13" i="2"/>
  <c r="CN161" i="2" s="1"/>
  <c r="CM13" i="2"/>
  <c r="CM161" i="2" s="1"/>
  <c r="CL13" i="2"/>
  <c r="CL161" i="2" s="1"/>
  <c r="CK13" i="2"/>
  <c r="CK161" i="2" s="1"/>
  <c r="CJ13" i="2"/>
  <c r="CJ161" i="2" s="1"/>
  <c r="CI13" i="2"/>
  <c r="CI161" i="2" s="1"/>
  <c r="CH13" i="2"/>
  <c r="CH161" i="2" s="1"/>
  <c r="CG13" i="2"/>
  <c r="CF13" i="2"/>
  <c r="CF161" i="2" s="1"/>
  <c r="CE13" i="2"/>
  <c r="CE161" i="2" s="1"/>
  <c r="CD13" i="2"/>
  <c r="CD161" i="2" s="1"/>
  <c r="CC13" i="2"/>
  <c r="CC161" i="2" s="1"/>
  <c r="CA13" i="2"/>
  <c r="CA161" i="2" s="1"/>
  <c r="BZ13" i="2"/>
  <c r="BZ161" i="2" s="1"/>
  <c r="BY13" i="2"/>
  <c r="BY161" i="2" s="1"/>
  <c r="BX13" i="2"/>
  <c r="BX161" i="2" s="1"/>
  <c r="BW13" i="2"/>
  <c r="BW161" i="2" s="1"/>
  <c r="BV13" i="2"/>
  <c r="BV161" i="2" s="1"/>
  <c r="BU13" i="2"/>
  <c r="BT13" i="2"/>
  <c r="BT161" i="2" s="1"/>
  <c r="BS13" i="2"/>
  <c r="BS161" i="2" s="1"/>
  <c r="BR13" i="2"/>
  <c r="BR161" i="2" s="1"/>
  <c r="BQ13" i="2"/>
  <c r="BQ161" i="2" s="1"/>
  <c r="BP13" i="2"/>
  <c r="BP161" i="2" s="1"/>
  <c r="BN13" i="2"/>
  <c r="BN161" i="2" s="1"/>
  <c r="BM13" i="2"/>
  <c r="BM161" i="2" s="1"/>
  <c r="BL13" i="2"/>
  <c r="BL161" i="2" s="1"/>
  <c r="BK13" i="2"/>
  <c r="BK161" i="2" s="1"/>
  <c r="BJ13" i="2"/>
  <c r="BJ161" i="2" s="1"/>
  <c r="BI13" i="2"/>
  <c r="BH13" i="2"/>
  <c r="BH161" i="2" s="1"/>
  <c r="BG13" i="2"/>
  <c r="BG161" i="2" s="1"/>
  <c r="BF13" i="2"/>
  <c r="BF161" i="2" s="1"/>
  <c r="BE13" i="2"/>
  <c r="BE161" i="2" s="1"/>
  <c r="BD13" i="2"/>
  <c r="BD161" i="2" s="1"/>
  <c r="BC13" i="2"/>
  <c r="BC161" i="2" s="1"/>
  <c r="BA13" i="2"/>
  <c r="AZ13" i="2"/>
  <c r="AZ161" i="2" s="1"/>
  <c r="AY13" i="2"/>
  <c r="AY161" i="2" s="1"/>
  <c r="AX13" i="2"/>
  <c r="AX161" i="2" s="1"/>
  <c r="AW13" i="2"/>
  <c r="AV13" i="2"/>
  <c r="AV161" i="2" s="1"/>
  <c r="AU13" i="2"/>
  <c r="AU161" i="2" s="1"/>
  <c r="AT13" i="2"/>
  <c r="AT161" i="2" s="1"/>
  <c r="AS13" i="2"/>
  <c r="AS161" i="2" s="1"/>
  <c r="AR13" i="2"/>
  <c r="AR161" i="2" s="1"/>
  <c r="AQ13" i="2"/>
  <c r="AQ161" i="2" s="1"/>
  <c r="AP13" i="2"/>
  <c r="AP161" i="2" s="1"/>
  <c r="AN13" i="2"/>
  <c r="AN161" i="2" s="1"/>
  <c r="AM13" i="2"/>
  <c r="AM161" i="2" s="1"/>
  <c r="AL13" i="2"/>
  <c r="AL161" i="2" s="1"/>
  <c r="AK13" i="2"/>
  <c r="AJ13" i="2"/>
  <c r="AJ161" i="2" s="1"/>
  <c r="AI13" i="2"/>
  <c r="AI161" i="2" s="1"/>
  <c r="AH13" i="2"/>
  <c r="AH161" i="2" s="1"/>
  <c r="AG13" i="2"/>
  <c r="AG161" i="2" s="1"/>
  <c r="AF13" i="2"/>
  <c r="AF161" i="2" s="1"/>
  <c r="AE13" i="2"/>
  <c r="AE161" i="2" s="1"/>
  <c r="AD13" i="2"/>
  <c r="AD161" i="2" s="1"/>
  <c r="AC13" i="2"/>
  <c r="AC161" i="2" s="1"/>
  <c r="AA13" i="2"/>
  <c r="AA161" i="2" s="1"/>
  <c r="Z13" i="2"/>
  <c r="Z161" i="2" s="1"/>
  <c r="Y13" i="2"/>
  <c r="X13" i="2"/>
  <c r="X161" i="2" s="1"/>
  <c r="W13" i="2"/>
  <c r="W161" i="2" s="1"/>
  <c r="V13" i="2"/>
  <c r="V161" i="2" s="1"/>
  <c r="U13" i="2"/>
  <c r="U161" i="2" s="1"/>
  <c r="T13" i="2"/>
  <c r="T161" i="2" s="1"/>
  <c r="S13" i="2"/>
  <c r="S161" i="2" s="1"/>
  <c r="R13" i="2"/>
  <c r="R161" i="2" s="1"/>
  <c r="Q13" i="2"/>
  <c r="Q161" i="2" s="1"/>
  <c r="P13" i="2"/>
  <c r="P161" i="2" s="1"/>
  <c r="O13" i="2"/>
  <c r="O161" i="2" s="1"/>
  <c r="N13" i="2"/>
  <c r="N161" i="2" s="1"/>
  <c r="M13" i="2"/>
  <c r="M161" i="2" s="1"/>
  <c r="L13" i="2"/>
  <c r="L161" i="2" s="1"/>
  <c r="K13" i="2"/>
  <c r="K161" i="2" s="1"/>
  <c r="J13" i="2"/>
  <c r="J161" i="2" s="1"/>
  <c r="I13" i="2"/>
  <c r="I161" i="2" s="1"/>
  <c r="H13" i="2"/>
  <c r="H161" i="2" s="1"/>
  <c r="G13" i="2"/>
  <c r="G161" i="2" s="1"/>
  <c r="F13" i="2"/>
  <c r="F161" i="2" s="1"/>
  <c r="E13" i="2"/>
  <c r="E161" i="2" s="1"/>
  <c r="D13" i="2"/>
  <c r="D161" i="2" s="1"/>
  <c r="C13" i="2"/>
  <c r="C161" i="2" s="1"/>
  <c r="FO12" i="2"/>
  <c r="FO160" i="2" s="1"/>
  <c r="FI12" i="2"/>
  <c r="FI160" i="2" s="1"/>
  <c r="FH12" i="2"/>
  <c r="FH160" i="2" s="1"/>
  <c r="FG12" i="2"/>
  <c r="FG160" i="2" s="1"/>
  <c r="FF12" i="2"/>
  <c r="FF160" i="2" s="1"/>
  <c r="FE12" i="2"/>
  <c r="FE160" i="2" s="1"/>
  <c r="FD12" i="2"/>
  <c r="FD160" i="2" s="1"/>
  <c r="FC12" i="2"/>
  <c r="FC160" i="2" s="1"/>
  <c r="FA12" i="2"/>
  <c r="EZ12" i="2"/>
  <c r="EZ160" i="2" s="1"/>
  <c r="EY12" i="2"/>
  <c r="EY160" i="2" s="1"/>
  <c r="EX12" i="2"/>
  <c r="EX160" i="2" s="1"/>
  <c r="EW12" i="2"/>
  <c r="EW160" i="2" s="1"/>
  <c r="EV12" i="2"/>
  <c r="EV160" i="2" s="1"/>
  <c r="EU12" i="2"/>
  <c r="EU160" i="2" s="1"/>
  <c r="ET12" i="2"/>
  <c r="ET160" i="2" s="1"/>
  <c r="ES12" i="2"/>
  <c r="ES160" i="2" s="1"/>
  <c r="ER12" i="2"/>
  <c r="ER160" i="2" s="1"/>
  <c r="EQ12" i="2"/>
  <c r="EQ160" i="2" s="1"/>
  <c r="EP12" i="2"/>
  <c r="EP160" i="2" s="1"/>
  <c r="EN12" i="2"/>
  <c r="EN160" i="2" s="1"/>
  <c r="EM12" i="2"/>
  <c r="EM160" i="2" s="1"/>
  <c r="EL12" i="2"/>
  <c r="EL160" i="2" s="1"/>
  <c r="EK12" i="2"/>
  <c r="EK160" i="2" s="1"/>
  <c r="EJ12" i="2"/>
  <c r="EJ160" i="2" s="1"/>
  <c r="EI12" i="2"/>
  <c r="EI160" i="2" s="1"/>
  <c r="EH12" i="2"/>
  <c r="EH160" i="2" s="1"/>
  <c r="EG12" i="2"/>
  <c r="EG160" i="2" s="1"/>
  <c r="EF12" i="2"/>
  <c r="EF160" i="2" s="1"/>
  <c r="EE12" i="2"/>
  <c r="EE160" i="2" s="1"/>
  <c r="ED12" i="2"/>
  <c r="ED160" i="2" s="1"/>
  <c r="EC12" i="2"/>
  <c r="EC160" i="2" s="1"/>
  <c r="EA12" i="2"/>
  <c r="EA160" i="2" s="1"/>
  <c r="DZ12" i="2"/>
  <c r="DZ160" i="2" s="1"/>
  <c r="DY12" i="2"/>
  <c r="DY160" i="2" s="1"/>
  <c r="DX12" i="2"/>
  <c r="DX160" i="2" s="1"/>
  <c r="DW12" i="2"/>
  <c r="DW160" i="2" s="1"/>
  <c r="DV12" i="2"/>
  <c r="DV160" i="2" s="1"/>
  <c r="DU12" i="2"/>
  <c r="DU160" i="2" s="1"/>
  <c r="DT12" i="2"/>
  <c r="DT160" i="2" s="1"/>
  <c r="DS12" i="2"/>
  <c r="DS160" i="2" s="1"/>
  <c r="DR12" i="2"/>
  <c r="DR160" i="2" s="1"/>
  <c r="DQ12" i="2"/>
  <c r="DQ160" i="2" s="1"/>
  <c r="DP12" i="2"/>
  <c r="DP160" i="2" s="1"/>
  <c r="CN12" i="2"/>
  <c r="CN160" i="2" s="1"/>
  <c r="CM12" i="2"/>
  <c r="CM160" i="2" s="1"/>
  <c r="CL12" i="2"/>
  <c r="CK12" i="2"/>
  <c r="CK160" i="2" s="1"/>
  <c r="CJ12" i="2"/>
  <c r="CJ160" i="2" s="1"/>
  <c r="CI12" i="2"/>
  <c r="CI160" i="2" s="1"/>
  <c r="CH12" i="2"/>
  <c r="CH160" i="2" s="1"/>
  <c r="CG12" i="2"/>
  <c r="CG160" i="2" s="1"/>
  <c r="CF12" i="2"/>
  <c r="CF160" i="2" s="1"/>
  <c r="CE12" i="2"/>
  <c r="CE160" i="2" s="1"/>
  <c r="CD12" i="2"/>
  <c r="CD160" i="2" s="1"/>
  <c r="CC12" i="2"/>
  <c r="CC160" i="2" s="1"/>
  <c r="CA12" i="2"/>
  <c r="CA160" i="2" s="1"/>
  <c r="BZ12" i="2"/>
  <c r="BZ160" i="2" s="1"/>
  <c r="BY12" i="2"/>
  <c r="BY160" i="2" s="1"/>
  <c r="BX12" i="2"/>
  <c r="BX160" i="2" s="1"/>
  <c r="BW12" i="2"/>
  <c r="BW160" i="2" s="1"/>
  <c r="BV12" i="2"/>
  <c r="BV160" i="2" s="1"/>
  <c r="BU12" i="2"/>
  <c r="BU160" i="2" s="1"/>
  <c r="BT12" i="2"/>
  <c r="BT160" i="2" s="1"/>
  <c r="BS12" i="2"/>
  <c r="BS160" i="2" s="1"/>
  <c r="BR12" i="2"/>
  <c r="BR160" i="2" s="1"/>
  <c r="BQ12" i="2"/>
  <c r="BQ160" i="2" s="1"/>
  <c r="BP12" i="2"/>
  <c r="BP160" i="2" s="1"/>
  <c r="BO12" i="2"/>
  <c r="BN12" i="2"/>
  <c r="BN160" i="2" s="1"/>
  <c r="BM12" i="2"/>
  <c r="BM160" i="2" s="1"/>
  <c r="BL12" i="2"/>
  <c r="BL160" i="2" s="1"/>
  <c r="BK12" i="2"/>
  <c r="BK160" i="2" s="1"/>
  <c r="BJ12" i="2"/>
  <c r="BJ160" i="2" s="1"/>
  <c r="BI12" i="2"/>
  <c r="BI160" i="2" s="1"/>
  <c r="BH12" i="2"/>
  <c r="BH160" i="2" s="1"/>
  <c r="BG12" i="2"/>
  <c r="BG160" i="2" s="1"/>
  <c r="BF12" i="2"/>
  <c r="BF160" i="2" s="1"/>
  <c r="BE12" i="2"/>
  <c r="BE160" i="2" s="1"/>
  <c r="BD12" i="2"/>
  <c r="BD160" i="2" s="1"/>
  <c r="BC12" i="2"/>
  <c r="BC160" i="2" s="1"/>
  <c r="BA12" i="2"/>
  <c r="BA160" i="2" s="1"/>
  <c r="AZ12" i="2"/>
  <c r="AZ160" i="2" s="1"/>
  <c r="AY12" i="2"/>
  <c r="AY160" i="2" s="1"/>
  <c r="AX12" i="2"/>
  <c r="AX160" i="2" s="1"/>
  <c r="AW12" i="2"/>
  <c r="AW160" i="2" s="1"/>
  <c r="AV12" i="2"/>
  <c r="AV160" i="2" s="1"/>
  <c r="AU12" i="2"/>
  <c r="AU160" i="2" s="1"/>
  <c r="AT12" i="2"/>
  <c r="AT160" i="2" s="1"/>
  <c r="AS12" i="2"/>
  <c r="AS160" i="2" s="1"/>
  <c r="AR12" i="2"/>
  <c r="AR160" i="2" s="1"/>
  <c r="AQ12" i="2"/>
  <c r="AQ160" i="2" s="1"/>
  <c r="AP12" i="2"/>
  <c r="AP160" i="2" s="1"/>
  <c r="AN12" i="2"/>
  <c r="AN160" i="2" s="1"/>
  <c r="AM12" i="2"/>
  <c r="AM160" i="2" s="1"/>
  <c r="AL12" i="2"/>
  <c r="AK12" i="2"/>
  <c r="AK160" i="2" s="1"/>
  <c r="AJ12" i="2"/>
  <c r="AJ160" i="2" s="1"/>
  <c r="AI12" i="2"/>
  <c r="AI160" i="2" s="1"/>
  <c r="AH12" i="2"/>
  <c r="AH160" i="2" s="1"/>
  <c r="AG12" i="2"/>
  <c r="AG160" i="2" s="1"/>
  <c r="AF12" i="2"/>
  <c r="AF160" i="2" s="1"/>
  <c r="AE12" i="2"/>
  <c r="AE160" i="2" s="1"/>
  <c r="AD12" i="2"/>
  <c r="AD160" i="2" s="1"/>
  <c r="AC12" i="2"/>
  <c r="AC160" i="2" s="1"/>
  <c r="AB12" i="2"/>
  <c r="AB160" i="2" s="1"/>
  <c r="AA12" i="2"/>
  <c r="AA160" i="2" s="1"/>
  <c r="Z12" i="2"/>
  <c r="Y12" i="2"/>
  <c r="Y160" i="2" s="1"/>
  <c r="X12" i="2"/>
  <c r="X160" i="2" s="1"/>
  <c r="W12" i="2"/>
  <c r="W160" i="2" s="1"/>
  <c r="V12" i="2"/>
  <c r="V160" i="2" s="1"/>
  <c r="U12" i="2"/>
  <c r="U160" i="2" s="1"/>
  <c r="T12" i="2"/>
  <c r="T160" i="2" s="1"/>
  <c r="S12" i="2"/>
  <c r="S160" i="2" s="1"/>
  <c r="R12" i="2"/>
  <c r="R160" i="2" s="1"/>
  <c r="Q12" i="2"/>
  <c r="Q160" i="2" s="1"/>
  <c r="P12" i="2"/>
  <c r="P160" i="2" s="1"/>
  <c r="O12" i="2"/>
  <c r="O160" i="2" s="1"/>
  <c r="N12" i="2"/>
  <c r="N160" i="2" s="1"/>
  <c r="M12" i="2"/>
  <c r="M160" i="2" s="1"/>
  <c r="L12" i="2"/>
  <c r="L160" i="2" s="1"/>
  <c r="K12" i="2"/>
  <c r="K160" i="2" s="1"/>
  <c r="J12" i="2"/>
  <c r="J160" i="2" s="1"/>
  <c r="I12" i="2"/>
  <c r="I160" i="2" s="1"/>
  <c r="H12" i="2"/>
  <c r="H160" i="2" s="1"/>
  <c r="G12" i="2"/>
  <c r="G160" i="2" s="1"/>
  <c r="F12" i="2"/>
  <c r="F160" i="2" s="1"/>
  <c r="E12" i="2"/>
  <c r="E160" i="2" s="1"/>
  <c r="D12" i="2"/>
  <c r="D160" i="2" s="1"/>
  <c r="C12" i="2"/>
  <c r="C160" i="2" s="1"/>
  <c r="FI11" i="2"/>
  <c r="FH11" i="2"/>
  <c r="FH159" i="2" s="1"/>
  <c r="FG11" i="2"/>
  <c r="FG159" i="2" s="1"/>
  <c r="FF11" i="2"/>
  <c r="FF159" i="2" s="1"/>
  <c r="FE11" i="2"/>
  <c r="FE159" i="2" s="1"/>
  <c r="FD11" i="2"/>
  <c r="FD159" i="2" s="1"/>
  <c r="FC11" i="2"/>
  <c r="FC159" i="2" s="1"/>
  <c r="FA11" i="2"/>
  <c r="FA159" i="2" s="1"/>
  <c r="EZ11" i="2"/>
  <c r="EZ159" i="2" s="1"/>
  <c r="EY11" i="2"/>
  <c r="EY159" i="2" s="1"/>
  <c r="EX11" i="2"/>
  <c r="EX159" i="2" s="1"/>
  <c r="EW11" i="2"/>
  <c r="EW159" i="2" s="1"/>
  <c r="EV11" i="2"/>
  <c r="EV159" i="2" s="1"/>
  <c r="EU11" i="2"/>
  <c r="EU159" i="2" s="1"/>
  <c r="ET11" i="2"/>
  <c r="ET159" i="2" s="1"/>
  <c r="ES11" i="2"/>
  <c r="ES159" i="2" s="1"/>
  <c r="ER11" i="2"/>
  <c r="ER159" i="2" s="1"/>
  <c r="EQ11" i="2"/>
  <c r="EQ159" i="2" s="1"/>
  <c r="EP11" i="2"/>
  <c r="EP159" i="2" s="1"/>
  <c r="EN11" i="2"/>
  <c r="EN159" i="2" s="1"/>
  <c r="EM11" i="2"/>
  <c r="EM159" i="2" s="1"/>
  <c r="EL11" i="2"/>
  <c r="EK11" i="2"/>
  <c r="EK159" i="2" s="1"/>
  <c r="EJ11" i="2"/>
  <c r="EJ159" i="2" s="1"/>
  <c r="EI11" i="2"/>
  <c r="EI159" i="2" s="1"/>
  <c r="EH11" i="2"/>
  <c r="EH159" i="2" s="1"/>
  <c r="EG11" i="2"/>
  <c r="EF11" i="2"/>
  <c r="EF159" i="2" s="1"/>
  <c r="EE11" i="2"/>
  <c r="EE159" i="2" s="1"/>
  <c r="ED11" i="2"/>
  <c r="ED159" i="2" s="1"/>
  <c r="EC11" i="2"/>
  <c r="EC159" i="2" s="1"/>
  <c r="EA11" i="2"/>
  <c r="EA159" i="2" s="1"/>
  <c r="DZ11" i="2"/>
  <c r="DY11" i="2"/>
  <c r="DY159" i="2" s="1"/>
  <c r="DX11" i="2"/>
  <c r="DX159" i="2" s="1"/>
  <c r="DW11" i="2"/>
  <c r="DW159" i="2" s="1"/>
  <c r="DV11" i="2"/>
  <c r="DV159" i="2" s="1"/>
  <c r="DU11" i="2"/>
  <c r="DT11" i="2"/>
  <c r="DT159" i="2" s="1"/>
  <c r="DS11" i="2"/>
  <c r="DS159" i="2" s="1"/>
  <c r="DR11" i="2"/>
  <c r="DR159" i="2" s="1"/>
  <c r="DQ11" i="2"/>
  <c r="DQ159" i="2" s="1"/>
  <c r="DP11" i="2"/>
  <c r="DP159" i="2" s="1"/>
  <c r="CN11" i="2"/>
  <c r="CN159" i="2" s="1"/>
  <c r="CM11" i="2"/>
  <c r="CM159" i="2" s="1"/>
  <c r="CL11" i="2"/>
  <c r="CL159" i="2" s="1"/>
  <c r="CK11" i="2"/>
  <c r="CJ11" i="2"/>
  <c r="CJ159" i="2" s="1"/>
  <c r="CI11" i="2"/>
  <c r="CI159" i="2" s="1"/>
  <c r="CH11" i="2"/>
  <c r="CH159" i="2" s="1"/>
  <c r="CG11" i="2"/>
  <c r="CG159" i="2" s="1"/>
  <c r="CF11" i="2"/>
  <c r="CF159" i="2" s="1"/>
  <c r="CE11" i="2"/>
  <c r="CE159" i="2" s="1"/>
  <c r="CD11" i="2"/>
  <c r="CD159" i="2" s="1"/>
  <c r="CC11" i="2"/>
  <c r="CC159" i="2" s="1"/>
  <c r="CA11" i="2"/>
  <c r="CA159" i="2" s="1"/>
  <c r="BZ11" i="2"/>
  <c r="BZ159" i="2" s="1"/>
  <c r="BY11" i="2"/>
  <c r="BX11" i="2"/>
  <c r="BX159" i="2" s="1"/>
  <c r="BW11" i="2"/>
  <c r="BW159" i="2" s="1"/>
  <c r="BV11" i="2"/>
  <c r="BV159" i="2" s="1"/>
  <c r="BU11" i="2"/>
  <c r="BU159" i="2" s="1"/>
  <c r="BT11" i="2"/>
  <c r="BT159" i="2" s="1"/>
  <c r="BS11" i="2"/>
  <c r="BS159" i="2" s="1"/>
  <c r="BR11" i="2"/>
  <c r="BR159" i="2" s="1"/>
  <c r="BQ11" i="2"/>
  <c r="BQ159" i="2" s="1"/>
  <c r="BP11" i="2"/>
  <c r="BP159" i="2" s="1"/>
  <c r="BO11" i="2"/>
  <c r="BO159" i="2" s="1"/>
  <c r="BN11" i="2"/>
  <c r="BN159" i="2" s="1"/>
  <c r="BM11" i="2"/>
  <c r="BM159" i="2" s="1"/>
  <c r="BL11" i="2"/>
  <c r="BL159" i="2" s="1"/>
  <c r="BK11" i="2"/>
  <c r="BK159" i="2" s="1"/>
  <c r="BJ11" i="2"/>
  <c r="BJ159" i="2" s="1"/>
  <c r="BI11" i="2"/>
  <c r="BI159" i="2" s="1"/>
  <c r="BH11" i="2"/>
  <c r="BH159" i="2" s="1"/>
  <c r="BG11" i="2"/>
  <c r="BG159" i="2" s="1"/>
  <c r="BF11" i="2"/>
  <c r="BF159" i="2" s="1"/>
  <c r="BE11" i="2"/>
  <c r="BE159" i="2" s="1"/>
  <c r="BD11" i="2"/>
  <c r="BD159" i="2" s="1"/>
  <c r="BC11" i="2"/>
  <c r="BC159" i="2" s="1"/>
  <c r="BB11" i="2"/>
  <c r="BA11" i="2"/>
  <c r="BA159" i="2" s="1"/>
  <c r="AZ11" i="2"/>
  <c r="AZ159" i="2" s="1"/>
  <c r="AY11" i="2"/>
  <c r="AY159" i="2" s="1"/>
  <c r="AX11" i="2"/>
  <c r="AX159" i="2" s="1"/>
  <c r="AW11" i="2"/>
  <c r="AW159" i="2" s="1"/>
  <c r="AV11" i="2"/>
  <c r="AV159" i="2" s="1"/>
  <c r="AU11" i="2"/>
  <c r="AU159" i="2" s="1"/>
  <c r="AT11" i="2"/>
  <c r="AT159" i="2" s="1"/>
  <c r="AS11" i="2"/>
  <c r="AS159" i="2" s="1"/>
  <c r="AR11" i="2"/>
  <c r="AR159" i="2" s="1"/>
  <c r="AQ11" i="2"/>
  <c r="AQ159" i="2" s="1"/>
  <c r="AP11" i="2"/>
  <c r="AP159" i="2" s="1"/>
  <c r="AN11" i="2"/>
  <c r="AN159" i="2" s="1"/>
  <c r="AM11" i="2"/>
  <c r="AM159" i="2" s="1"/>
  <c r="AL11" i="2"/>
  <c r="AL159" i="2" s="1"/>
  <c r="AK11" i="2"/>
  <c r="AK159" i="2" s="1"/>
  <c r="AJ11" i="2"/>
  <c r="AJ159" i="2" s="1"/>
  <c r="AI11" i="2"/>
  <c r="AI159" i="2" s="1"/>
  <c r="AH11" i="2"/>
  <c r="AH159" i="2" s="1"/>
  <c r="AG11" i="2"/>
  <c r="AG159" i="2" s="1"/>
  <c r="AF11" i="2"/>
  <c r="AF159" i="2" s="1"/>
  <c r="AE11" i="2"/>
  <c r="AE159" i="2" s="1"/>
  <c r="AD11" i="2"/>
  <c r="AD159" i="2" s="1"/>
  <c r="AC11" i="2"/>
  <c r="AC159" i="2" s="1"/>
  <c r="AA11" i="2"/>
  <c r="AB11" i="2" s="1"/>
  <c r="Z11" i="2"/>
  <c r="Z159" i="2" s="1"/>
  <c r="Y11" i="2"/>
  <c r="Y159" i="2" s="1"/>
  <c r="X11" i="2"/>
  <c r="X159" i="2" s="1"/>
  <c r="W11" i="2"/>
  <c r="W159" i="2" s="1"/>
  <c r="V11" i="2"/>
  <c r="V159" i="2" s="1"/>
  <c r="U11" i="2"/>
  <c r="U159" i="2" s="1"/>
  <c r="T11" i="2"/>
  <c r="T159" i="2" s="1"/>
  <c r="S11" i="2"/>
  <c r="S159" i="2" s="1"/>
  <c r="R11" i="2"/>
  <c r="R159" i="2" s="1"/>
  <c r="Q11" i="2"/>
  <c r="Q159" i="2" s="1"/>
  <c r="P11" i="2"/>
  <c r="P159" i="2" s="1"/>
  <c r="N11" i="2"/>
  <c r="N159" i="2" s="1"/>
  <c r="M11" i="2"/>
  <c r="M159" i="2" s="1"/>
  <c r="L11" i="2"/>
  <c r="L159" i="2" s="1"/>
  <c r="K11" i="2"/>
  <c r="K159" i="2" s="1"/>
  <c r="J11" i="2"/>
  <c r="J159" i="2" s="1"/>
  <c r="I11" i="2"/>
  <c r="I159" i="2" s="1"/>
  <c r="H11" i="2"/>
  <c r="H159" i="2" s="1"/>
  <c r="G11" i="2"/>
  <c r="G159" i="2" s="1"/>
  <c r="F11" i="2"/>
  <c r="F159" i="2" s="1"/>
  <c r="E11" i="2"/>
  <c r="E159" i="2" s="1"/>
  <c r="D11" i="2"/>
  <c r="D159" i="2" s="1"/>
  <c r="C11" i="2"/>
  <c r="FI10" i="2"/>
  <c r="FI158" i="2" s="1"/>
  <c r="FH10" i="2"/>
  <c r="FH158" i="2" s="1"/>
  <c r="FG10" i="2"/>
  <c r="FG158" i="2" s="1"/>
  <c r="FF10" i="2"/>
  <c r="FF158" i="2" s="1"/>
  <c r="FE10" i="2"/>
  <c r="FE158" i="2" s="1"/>
  <c r="FD10" i="2"/>
  <c r="FD158" i="2" s="1"/>
  <c r="FC10" i="2"/>
  <c r="FC158" i="2" s="1"/>
  <c r="FB10" i="2"/>
  <c r="FB158" i="2" s="1"/>
  <c r="FA10" i="2"/>
  <c r="FA158" i="2" s="1"/>
  <c r="EZ10" i="2"/>
  <c r="EZ158" i="2" s="1"/>
  <c r="EY10" i="2"/>
  <c r="EY158" i="2" s="1"/>
  <c r="EX10" i="2"/>
  <c r="EW10" i="2"/>
  <c r="EW158" i="2" s="1"/>
  <c r="EV10" i="2"/>
  <c r="EV158" i="2" s="1"/>
  <c r="EU10" i="2"/>
  <c r="EU158" i="2" s="1"/>
  <c r="ET10" i="2"/>
  <c r="ET158" i="2" s="1"/>
  <c r="ES10" i="2"/>
  <c r="ES158" i="2" s="1"/>
  <c r="ER10" i="2"/>
  <c r="ER158" i="2" s="1"/>
  <c r="EQ10" i="2"/>
  <c r="EQ158" i="2" s="1"/>
  <c r="EP10" i="2"/>
  <c r="EP158" i="2" s="1"/>
  <c r="EN10" i="2"/>
  <c r="EN158" i="2" s="1"/>
  <c r="EM10" i="2"/>
  <c r="EL10" i="2"/>
  <c r="EL158" i="2" s="1"/>
  <c r="EK10" i="2"/>
  <c r="EK158" i="2" s="1"/>
  <c r="EJ10" i="2"/>
  <c r="EJ158" i="2" s="1"/>
  <c r="EI10" i="2"/>
  <c r="EI158" i="2" s="1"/>
  <c r="EH10" i="2"/>
  <c r="EH158" i="2" s="1"/>
  <c r="EG10" i="2"/>
  <c r="EG158" i="2" s="1"/>
  <c r="EF10" i="2"/>
  <c r="EF158" i="2" s="1"/>
  <c r="EE10" i="2"/>
  <c r="EE158" i="2" s="1"/>
  <c r="ED10" i="2"/>
  <c r="ED158" i="2" s="1"/>
  <c r="EC10" i="2"/>
  <c r="EC158" i="2" s="1"/>
  <c r="EB10" i="2"/>
  <c r="EB158" i="2" s="1"/>
  <c r="EA10" i="2"/>
  <c r="EA158" i="2" s="1"/>
  <c r="DZ10" i="2"/>
  <c r="DY10" i="2"/>
  <c r="DY158" i="2" s="1"/>
  <c r="DX10" i="2"/>
  <c r="DX158" i="2" s="1"/>
  <c r="DW10" i="2"/>
  <c r="DW158" i="2" s="1"/>
  <c r="DV10" i="2"/>
  <c r="DV158" i="2" s="1"/>
  <c r="DU10" i="2"/>
  <c r="DU158" i="2" s="1"/>
  <c r="DT10" i="2"/>
  <c r="DT158" i="2" s="1"/>
  <c r="DS10" i="2"/>
  <c r="DS158" i="2" s="1"/>
  <c r="DR10" i="2"/>
  <c r="DR158" i="2" s="1"/>
  <c r="DQ10" i="2"/>
  <c r="DQ158" i="2" s="1"/>
  <c r="DP10" i="2"/>
  <c r="DP158" i="2" s="1"/>
  <c r="CN10" i="2"/>
  <c r="CN158" i="2" s="1"/>
  <c r="CM10" i="2"/>
  <c r="CM158" i="2" s="1"/>
  <c r="CL10" i="2"/>
  <c r="CK10" i="2"/>
  <c r="CK158" i="2" s="1"/>
  <c r="CJ10" i="2"/>
  <c r="CJ158" i="2" s="1"/>
  <c r="CI10" i="2"/>
  <c r="CI158" i="2" s="1"/>
  <c r="CH10" i="2"/>
  <c r="CH158" i="2" s="1"/>
  <c r="CG10" i="2"/>
  <c r="CG158" i="2" s="1"/>
  <c r="CF10" i="2"/>
  <c r="CF158" i="2" s="1"/>
  <c r="CE10" i="2"/>
  <c r="CE158" i="2" s="1"/>
  <c r="CD10" i="2"/>
  <c r="CD158" i="2" s="1"/>
  <c r="CC10" i="2"/>
  <c r="CC158" i="2" s="1"/>
  <c r="CA10" i="2"/>
  <c r="CA158" i="2" s="1"/>
  <c r="BZ10" i="2"/>
  <c r="BY10" i="2"/>
  <c r="BY158" i="2" s="1"/>
  <c r="BX10" i="2"/>
  <c r="BX158" i="2" s="1"/>
  <c r="BW10" i="2"/>
  <c r="BW158" i="2" s="1"/>
  <c r="BV10" i="2"/>
  <c r="BV158" i="2" s="1"/>
  <c r="BU10" i="2"/>
  <c r="BU158" i="2" s="1"/>
  <c r="BT10" i="2"/>
  <c r="BT158" i="2" s="1"/>
  <c r="BS10" i="2"/>
  <c r="BS158" i="2" s="1"/>
  <c r="BR10" i="2"/>
  <c r="BR158" i="2" s="1"/>
  <c r="BQ10" i="2"/>
  <c r="BQ158" i="2" s="1"/>
  <c r="BP10" i="2"/>
  <c r="BP158" i="2" s="1"/>
  <c r="BO10" i="2"/>
  <c r="BN10" i="2"/>
  <c r="BM10" i="2"/>
  <c r="BM158" i="2" s="1"/>
  <c r="BL10" i="2"/>
  <c r="BL158" i="2" s="1"/>
  <c r="BK10" i="2"/>
  <c r="BK158" i="2" s="1"/>
  <c r="BJ10" i="2"/>
  <c r="BJ158" i="2" s="1"/>
  <c r="BI10" i="2"/>
  <c r="BI158" i="2" s="1"/>
  <c r="BH10" i="2"/>
  <c r="BH158" i="2" s="1"/>
  <c r="BG10" i="2"/>
  <c r="BG158" i="2" s="1"/>
  <c r="BF10" i="2"/>
  <c r="BF158" i="2" s="1"/>
  <c r="BE10" i="2"/>
  <c r="BE158" i="2" s="1"/>
  <c r="BD10" i="2"/>
  <c r="BD158" i="2" s="1"/>
  <c r="BC10" i="2"/>
  <c r="BC158" i="2" s="1"/>
  <c r="BA10" i="2"/>
  <c r="AZ10" i="2"/>
  <c r="AZ158" i="2" s="1"/>
  <c r="AY10" i="2"/>
  <c r="AY158" i="2" s="1"/>
  <c r="AX10" i="2"/>
  <c r="AX158" i="2" s="1"/>
  <c r="AW10" i="2"/>
  <c r="AW158" i="2" s="1"/>
  <c r="AV10" i="2"/>
  <c r="AV158" i="2" s="1"/>
  <c r="AU10" i="2"/>
  <c r="AU158" i="2" s="1"/>
  <c r="AT10" i="2"/>
  <c r="AT158" i="2" s="1"/>
  <c r="AS10" i="2"/>
  <c r="AS158" i="2" s="1"/>
  <c r="AR10" i="2"/>
  <c r="AR158" i="2" s="1"/>
  <c r="AQ10" i="2"/>
  <c r="AQ158" i="2" s="1"/>
  <c r="AP10" i="2"/>
  <c r="AN10" i="2"/>
  <c r="AN158" i="2" s="1"/>
  <c r="AM10" i="2"/>
  <c r="AM158" i="2" s="1"/>
  <c r="AL10" i="2"/>
  <c r="AL158" i="2" s="1"/>
  <c r="AK10" i="2"/>
  <c r="AK158" i="2" s="1"/>
  <c r="AJ10" i="2"/>
  <c r="AJ158" i="2" s="1"/>
  <c r="AI10" i="2"/>
  <c r="AI158" i="2" s="1"/>
  <c r="AH10" i="2"/>
  <c r="AH158" i="2" s="1"/>
  <c r="AG10" i="2"/>
  <c r="AG158" i="2" s="1"/>
  <c r="AF10" i="2"/>
  <c r="AF158" i="2" s="1"/>
  <c r="AE10" i="2"/>
  <c r="AE158" i="2" s="1"/>
  <c r="AD10" i="2"/>
  <c r="AD158" i="2" s="1"/>
  <c r="AC10" i="2"/>
  <c r="AC158" i="2" s="1"/>
  <c r="AA10" i="2"/>
  <c r="AA158" i="2" s="1"/>
  <c r="Z10" i="2"/>
  <c r="Z158" i="2" s="1"/>
  <c r="Y10" i="2"/>
  <c r="Y158" i="2" s="1"/>
  <c r="X10" i="2"/>
  <c r="X158" i="2" s="1"/>
  <c r="W10" i="2"/>
  <c r="W158" i="2" s="1"/>
  <c r="V10" i="2"/>
  <c r="V158" i="2" s="1"/>
  <c r="U10" i="2"/>
  <c r="U158" i="2" s="1"/>
  <c r="T10" i="2"/>
  <c r="T158" i="2" s="1"/>
  <c r="S10" i="2"/>
  <c r="S158" i="2" s="1"/>
  <c r="R10" i="2"/>
  <c r="R158" i="2" s="1"/>
  <c r="Q10" i="2"/>
  <c r="Q158" i="2" s="1"/>
  <c r="P10" i="2"/>
  <c r="P158" i="2" s="1"/>
  <c r="O10" i="2"/>
  <c r="O158" i="2" s="1"/>
  <c r="N10" i="2"/>
  <c r="N158" i="2" s="1"/>
  <c r="M10" i="2"/>
  <c r="M158" i="2" s="1"/>
  <c r="L10" i="2"/>
  <c r="L158" i="2" s="1"/>
  <c r="K10" i="2"/>
  <c r="K158" i="2" s="1"/>
  <c r="J10" i="2"/>
  <c r="J158" i="2" s="1"/>
  <c r="I10" i="2"/>
  <c r="I158" i="2" s="1"/>
  <c r="H10" i="2"/>
  <c r="H158" i="2" s="1"/>
  <c r="G10" i="2"/>
  <c r="G158" i="2" s="1"/>
  <c r="F10" i="2"/>
  <c r="F158" i="2" s="1"/>
  <c r="E10" i="2"/>
  <c r="E158" i="2" s="1"/>
  <c r="D10" i="2"/>
  <c r="D158" i="2" s="1"/>
  <c r="C10" i="2"/>
  <c r="C158" i="2" s="1"/>
  <c r="FI9" i="2"/>
  <c r="FI157" i="2" s="1"/>
  <c r="FH9" i="2"/>
  <c r="FH157" i="2" s="1"/>
  <c r="FG9" i="2"/>
  <c r="FG157" i="2" s="1"/>
  <c r="FF9" i="2"/>
  <c r="FF157" i="2" s="1"/>
  <c r="FE9" i="2"/>
  <c r="FE157" i="2" s="1"/>
  <c r="FD9" i="2"/>
  <c r="FD157" i="2" s="1"/>
  <c r="FC9" i="2"/>
  <c r="FC157" i="2" s="1"/>
  <c r="FA9" i="2"/>
  <c r="FA15" i="2" s="1"/>
  <c r="EZ9" i="2"/>
  <c r="EZ157" i="2" s="1"/>
  <c r="EY9" i="2"/>
  <c r="EY157" i="2" s="1"/>
  <c r="EX9" i="2"/>
  <c r="EX157" i="2" s="1"/>
  <c r="EW9" i="2"/>
  <c r="EV9" i="2"/>
  <c r="EV157" i="2" s="1"/>
  <c r="EU9" i="2"/>
  <c r="EU157" i="2" s="1"/>
  <c r="ET9" i="2"/>
  <c r="ET157" i="2" s="1"/>
  <c r="ES9" i="2"/>
  <c r="ES157" i="2" s="1"/>
  <c r="ER9" i="2"/>
  <c r="ER157" i="2" s="1"/>
  <c r="EQ9" i="2"/>
  <c r="EQ157" i="2" s="1"/>
  <c r="EP9" i="2"/>
  <c r="EN9" i="2"/>
  <c r="EN157" i="2" s="1"/>
  <c r="EM9" i="2"/>
  <c r="EM157" i="2" s="1"/>
  <c r="EL9" i="2"/>
  <c r="EL157" i="2" s="1"/>
  <c r="EK9" i="2"/>
  <c r="EJ9" i="2"/>
  <c r="EJ157" i="2" s="1"/>
  <c r="EI9" i="2"/>
  <c r="EI157" i="2" s="1"/>
  <c r="EH9" i="2"/>
  <c r="EH157" i="2" s="1"/>
  <c r="EG9" i="2"/>
  <c r="EG157" i="2" s="1"/>
  <c r="EF9" i="2"/>
  <c r="EF157" i="2" s="1"/>
  <c r="EE9" i="2"/>
  <c r="EE157" i="2" s="1"/>
  <c r="ED9" i="2"/>
  <c r="ED157" i="2" s="1"/>
  <c r="EC9" i="2"/>
  <c r="EC157" i="2" s="1"/>
  <c r="EA9" i="2"/>
  <c r="EA157" i="2" s="1"/>
  <c r="DZ9" i="2"/>
  <c r="DZ157" i="2" s="1"/>
  <c r="DY9" i="2"/>
  <c r="DX9" i="2"/>
  <c r="DX157" i="2" s="1"/>
  <c r="DW9" i="2"/>
  <c r="DW157" i="2" s="1"/>
  <c r="DV9" i="2"/>
  <c r="DV157" i="2" s="1"/>
  <c r="DU9" i="2"/>
  <c r="DU157" i="2" s="1"/>
  <c r="DT9" i="2"/>
  <c r="DT157" i="2" s="1"/>
  <c r="DS9" i="2"/>
  <c r="DS157" i="2" s="1"/>
  <c r="DR9" i="2"/>
  <c r="DR157" i="2" s="1"/>
  <c r="DQ9" i="2"/>
  <c r="DQ157" i="2" s="1"/>
  <c r="DP9" i="2"/>
  <c r="DP157" i="2" s="1"/>
  <c r="CN9" i="2"/>
  <c r="CN157" i="2" s="1"/>
  <c r="CM9" i="2"/>
  <c r="CM157" i="2" s="1"/>
  <c r="CL9" i="2"/>
  <c r="CL157" i="2" s="1"/>
  <c r="CK9" i="2"/>
  <c r="CK157" i="2" s="1"/>
  <c r="CJ9" i="2"/>
  <c r="CJ157" i="2" s="1"/>
  <c r="CI9" i="2"/>
  <c r="CI157" i="2" s="1"/>
  <c r="CH9" i="2"/>
  <c r="CH157" i="2" s="1"/>
  <c r="CG9" i="2"/>
  <c r="CG157" i="2" s="1"/>
  <c r="CF9" i="2"/>
  <c r="CF157" i="2" s="1"/>
  <c r="CE9" i="2"/>
  <c r="CE157" i="2" s="1"/>
  <c r="CD9" i="2"/>
  <c r="CD157" i="2" s="1"/>
  <c r="CC9" i="2"/>
  <c r="CA9" i="2"/>
  <c r="BZ9" i="2"/>
  <c r="BZ157" i="2" s="1"/>
  <c r="BY9" i="2"/>
  <c r="BY157" i="2" s="1"/>
  <c r="BX9" i="2"/>
  <c r="BX157" i="2" s="1"/>
  <c r="BW9" i="2"/>
  <c r="BW157" i="2" s="1"/>
  <c r="BV9" i="2"/>
  <c r="BV157" i="2" s="1"/>
  <c r="BU9" i="2"/>
  <c r="BU157" i="2" s="1"/>
  <c r="BT9" i="2"/>
  <c r="BT157" i="2" s="1"/>
  <c r="BS9" i="2"/>
  <c r="BS157" i="2" s="1"/>
  <c r="BR9" i="2"/>
  <c r="BR157" i="2" s="1"/>
  <c r="BQ9" i="2"/>
  <c r="BP9" i="2"/>
  <c r="BP157" i="2" s="1"/>
  <c r="BO9" i="2"/>
  <c r="BN9" i="2"/>
  <c r="BN157" i="2" s="1"/>
  <c r="BM9" i="2"/>
  <c r="BM157" i="2" s="1"/>
  <c r="BL9" i="2"/>
  <c r="BL157" i="2" s="1"/>
  <c r="BK9" i="2"/>
  <c r="BK157" i="2" s="1"/>
  <c r="BJ9" i="2"/>
  <c r="BJ157" i="2" s="1"/>
  <c r="BI9" i="2"/>
  <c r="BI157" i="2" s="1"/>
  <c r="BH9" i="2"/>
  <c r="BH157" i="2" s="1"/>
  <c r="BG9" i="2"/>
  <c r="BG157" i="2" s="1"/>
  <c r="BF9" i="2"/>
  <c r="BF157" i="2" s="1"/>
  <c r="BE9" i="2"/>
  <c r="BD9" i="2"/>
  <c r="BD157" i="2" s="1"/>
  <c r="BC9" i="2"/>
  <c r="BA9" i="2"/>
  <c r="BA157" i="2" s="1"/>
  <c r="AZ9" i="2"/>
  <c r="AZ157" i="2" s="1"/>
  <c r="AY9" i="2"/>
  <c r="AY157" i="2" s="1"/>
  <c r="AX9" i="2"/>
  <c r="AX157" i="2" s="1"/>
  <c r="AW9" i="2"/>
  <c r="AW157" i="2" s="1"/>
  <c r="AV9" i="2"/>
  <c r="AV157" i="2" s="1"/>
  <c r="AU9" i="2"/>
  <c r="AU157" i="2" s="1"/>
  <c r="AT9" i="2"/>
  <c r="AT157" i="2" s="1"/>
  <c r="AS9" i="2"/>
  <c r="AR9" i="2"/>
  <c r="AR157" i="2" s="1"/>
  <c r="AQ9" i="2"/>
  <c r="AP9" i="2"/>
  <c r="AP157" i="2" s="1"/>
  <c r="AN9" i="2"/>
  <c r="AN157" i="2" s="1"/>
  <c r="AM9" i="2"/>
  <c r="AM157" i="2" s="1"/>
  <c r="AL9" i="2"/>
  <c r="AL157" i="2" s="1"/>
  <c r="AK9" i="2"/>
  <c r="AK157" i="2" s="1"/>
  <c r="AJ9" i="2"/>
  <c r="AJ157" i="2" s="1"/>
  <c r="AI9" i="2"/>
  <c r="AI157" i="2" s="1"/>
  <c r="AH9" i="2"/>
  <c r="AH157" i="2" s="1"/>
  <c r="AG9" i="2"/>
  <c r="AG157" i="2" s="1"/>
  <c r="AF9" i="2"/>
  <c r="AF157" i="2" s="1"/>
  <c r="AE9" i="2"/>
  <c r="AD9" i="2"/>
  <c r="AC9" i="2"/>
  <c r="AC157" i="2" s="1"/>
  <c r="AA9" i="2"/>
  <c r="AA157" i="2" s="1"/>
  <c r="Z9" i="2"/>
  <c r="Z157" i="2" s="1"/>
  <c r="Y9" i="2"/>
  <c r="Y157" i="2" s="1"/>
  <c r="X9" i="2"/>
  <c r="X157" i="2" s="1"/>
  <c r="W9" i="2"/>
  <c r="W157" i="2" s="1"/>
  <c r="V9" i="2"/>
  <c r="V157" i="2" s="1"/>
  <c r="U9" i="2"/>
  <c r="U157" i="2" s="1"/>
  <c r="T9" i="2"/>
  <c r="T157" i="2" s="1"/>
  <c r="S9" i="2"/>
  <c r="R9" i="2"/>
  <c r="Q9" i="2"/>
  <c r="Q157" i="2" s="1"/>
  <c r="P9" i="2"/>
  <c r="P157" i="2" s="1"/>
  <c r="O9" i="2"/>
  <c r="N9" i="2"/>
  <c r="N157" i="2" s="1"/>
  <c r="M9" i="2"/>
  <c r="M157" i="2" s="1"/>
  <c r="L9" i="2"/>
  <c r="L157" i="2" s="1"/>
  <c r="K9" i="2"/>
  <c r="K157" i="2" s="1"/>
  <c r="J9" i="2"/>
  <c r="J157" i="2" s="1"/>
  <c r="I9" i="2"/>
  <c r="I157" i="2" s="1"/>
  <c r="H9" i="2"/>
  <c r="H157" i="2" s="1"/>
  <c r="G9" i="2"/>
  <c r="G157" i="2" s="1"/>
  <c r="F9" i="2"/>
  <c r="E9" i="2"/>
  <c r="E157" i="2" s="1"/>
  <c r="D9" i="2"/>
  <c r="D157" i="2" s="1"/>
  <c r="C9" i="2"/>
  <c r="C157" i="2" s="1"/>
  <c r="FN163" i="1"/>
  <c r="FM163" i="1"/>
  <c r="FL163" i="1"/>
  <c r="FK163" i="1"/>
  <c r="FJ163" i="1"/>
  <c r="FI163" i="1"/>
  <c r="FH163" i="1"/>
  <c r="FG163" i="1"/>
  <c r="FF163" i="1"/>
  <c r="FE163" i="1"/>
  <c r="FD163" i="1"/>
  <c r="FC163" i="1"/>
  <c r="FA163" i="1"/>
  <c r="EZ163" i="1"/>
  <c r="EY163" i="1"/>
  <c r="EX163" i="1"/>
  <c r="EW163" i="1"/>
  <c r="EV163" i="1"/>
  <c r="EU163" i="1"/>
  <c r="ET163" i="1"/>
  <c r="ES163" i="1"/>
  <c r="ER163" i="1"/>
  <c r="EQ163" i="1"/>
  <c r="EP163" i="1"/>
  <c r="EN163" i="1"/>
  <c r="EM163" i="1"/>
  <c r="EL163" i="1"/>
  <c r="EK163" i="1"/>
  <c r="EJ163" i="1"/>
  <c r="EI163" i="1"/>
  <c r="EH163" i="1"/>
  <c r="EG163" i="1"/>
  <c r="EF163" i="1"/>
  <c r="EE163" i="1"/>
  <c r="ED163" i="1"/>
  <c r="EC163" i="1"/>
  <c r="EA163" i="1"/>
  <c r="DZ163" i="1"/>
  <c r="DY163" i="1"/>
  <c r="DX163" i="1"/>
  <c r="DW163" i="1"/>
  <c r="DV163" i="1"/>
  <c r="DU163" i="1"/>
  <c r="DT163" i="1"/>
  <c r="DS163" i="1"/>
  <c r="DR163" i="1"/>
  <c r="DQ163" i="1"/>
  <c r="DP163" i="1"/>
  <c r="CN163" i="1"/>
  <c r="CM163" i="1"/>
  <c r="CL163" i="1"/>
  <c r="CK163" i="1"/>
  <c r="CJ163" i="1"/>
  <c r="CI163" i="1"/>
  <c r="CH163" i="1"/>
  <c r="CG163" i="1"/>
  <c r="CF163" i="1"/>
  <c r="CE163" i="1"/>
  <c r="CD163" i="1"/>
  <c r="CC163" i="1"/>
  <c r="CA163" i="1"/>
  <c r="BZ163" i="1"/>
  <c r="BY163" i="1"/>
  <c r="BX163" i="1"/>
  <c r="BW163" i="1"/>
  <c r="BV163" i="1"/>
  <c r="BU163" i="1"/>
  <c r="BT163" i="1"/>
  <c r="BS163" i="1"/>
  <c r="BR163" i="1"/>
  <c r="BQ163" i="1"/>
  <c r="BP163" i="1"/>
  <c r="BN163" i="1"/>
  <c r="BM163" i="1"/>
  <c r="BL163" i="1"/>
  <c r="BK163" i="1"/>
  <c r="BJ163" i="1"/>
  <c r="BI163" i="1"/>
  <c r="BH163" i="1"/>
  <c r="BG163" i="1"/>
  <c r="BF163" i="1"/>
  <c r="BE163" i="1"/>
  <c r="BD163" i="1"/>
  <c r="BC163" i="1"/>
  <c r="BA163" i="1"/>
  <c r="AZ163" i="1"/>
  <c r="AY163" i="1"/>
  <c r="AX163" i="1"/>
  <c r="AW163" i="1"/>
  <c r="AV163" i="1"/>
  <c r="AU163" i="1"/>
  <c r="AT163" i="1"/>
  <c r="AS163" i="1"/>
  <c r="AR163" i="1"/>
  <c r="AQ163" i="1"/>
  <c r="AP163" i="1"/>
  <c r="AN163" i="1"/>
  <c r="AM163" i="1"/>
  <c r="AL163" i="1"/>
  <c r="AK163" i="1"/>
  <c r="AJ163" i="1"/>
  <c r="AI163" i="1"/>
  <c r="AH163" i="1"/>
  <c r="AG163" i="1"/>
  <c r="AF163" i="1"/>
  <c r="AE163" i="1"/>
  <c r="AD163" i="1"/>
  <c r="AC163" i="1"/>
  <c r="AA163" i="1"/>
  <c r="Z163" i="1"/>
  <c r="Y163" i="1"/>
  <c r="X163" i="1"/>
  <c r="W163" i="1"/>
  <c r="V163" i="1"/>
  <c r="U163" i="1"/>
  <c r="T163" i="1"/>
  <c r="S163" i="1"/>
  <c r="R163" i="1"/>
  <c r="Q163" i="1"/>
  <c r="P163" i="1"/>
  <c r="N163" i="1"/>
  <c r="M163" i="1"/>
  <c r="L163" i="1"/>
  <c r="K163" i="1"/>
  <c r="J163" i="1"/>
  <c r="I163" i="1"/>
  <c r="H163" i="1"/>
  <c r="G163" i="1"/>
  <c r="F163" i="1"/>
  <c r="E163" i="1"/>
  <c r="D163" i="1"/>
  <c r="C163" i="1"/>
  <c r="B163" i="1"/>
  <c r="FN162" i="1"/>
  <c r="FM162" i="1"/>
  <c r="FL162" i="1"/>
  <c r="FK162" i="1"/>
  <c r="FJ162" i="1"/>
  <c r="FI162" i="1"/>
  <c r="FH162" i="1"/>
  <c r="FG162" i="1"/>
  <c r="FF162" i="1"/>
  <c r="FE162" i="1"/>
  <c r="FD162" i="1"/>
  <c r="FC162" i="1"/>
  <c r="FA162" i="1"/>
  <c r="EZ162" i="1"/>
  <c r="EY162" i="1"/>
  <c r="EX162" i="1"/>
  <c r="EW162" i="1"/>
  <c r="EV162" i="1"/>
  <c r="EU162" i="1"/>
  <c r="ET162" i="1"/>
  <c r="ES162" i="1"/>
  <c r="ER162" i="1"/>
  <c r="EQ162" i="1"/>
  <c r="EP162" i="1"/>
  <c r="EN162" i="1"/>
  <c r="EM162" i="1"/>
  <c r="EL162" i="1"/>
  <c r="EK162" i="1"/>
  <c r="EJ162" i="1"/>
  <c r="EI162" i="1"/>
  <c r="EH162" i="1"/>
  <c r="EG162" i="1"/>
  <c r="EF162" i="1"/>
  <c r="EE162" i="1"/>
  <c r="ED162" i="1"/>
  <c r="EC162" i="1"/>
  <c r="EA162" i="1"/>
  <c r="DZ162" i="1"/>
  <c r="DY162" i="1"/>
  <c r="DX162" i="1"/>
  <c r="DW162" i="1"/>
  <c r="DV162" i="1"/>
  <c r="DU162" i="1"/>
  <c r="DT162" i="1"/>
  <c r="DS162" i="1"/>
  <c r="DR162" i="1"/>
  <c r="DQ162" i="1"/>
  <c r="DP162" i="1"/>
  <c r="CN162" i="1"/>
  <c r="CM162" i="1"/>
  <c r="CL162" i="1"/>
  <c r="CK162" i="1"/>
  <c r="CJ162" i="1"/>
  <c r="CI162" i="1"/>
  <c r="CH162" i="1"/>
  <c r="CG162" i="1"/>
  <c r="CF162" i="1"/>
  <c r="CE162" i="1"/>
  <c r="CD162" i="1"/>
  <c r="CC162" i="1"/>
  <c r="CA162" i="1"/>
  <c r="BZ162" i="1"/>
  <c r="BY162" i="1"/>
  <c r="BX162" i="1"/>
  <c r="BW162" i="1"/>
  <c r="BV162" i="1"/>
  <c r="BU162" i="1"/>
  <c r="BT162" i="1"/>
  <c r="BS162" i="1"/>
  <c r="BR162" i="1"/>
  <c r="BQ162" i="1"/>
  <c r="BP162" i="1"/>
  <c r="BN162" i="1"/>
  <c r="BM162" i="1"/>
  <c r="BL162" i="1"/>
  <c r="BK162" i="1"/>
  <c r="BJ162" i="1"/>
  <c r="BI162" i="1"/>
  <c r="BH162" i="1"/>
  <c r="BG162" i="1"/>
  <c r="BF162" i="1"/>
  <c r="BE162" i="1"/>
  <c r="BD162" i="1"/>
  <c r="BC162" i="1"/>
  <c r="BA162" i="1"/>
  <c r="AZ162" i="1"/>
  <c r="AY162" i="1"/>
  <c r="AX162" i="1"/>
  <c r="AW162" i="1"/>
  <c r="AV162" i="1"/>
  <c r="AU162" i="1"/>
  <c r="AT162" i="1"/>
  <c r="AS162" i="1"/>
  <c r="AR162" i="1"/>
  <c r="AQ162" i="1"/>
  <c r="AP162" i="1"/>
  <c r="AN162" i="1"/>
  <c r="AM162" i="1"/>
  <c r="AL162" i="1"/>
  <c r="AK162" i="1"/>
  <c r="AJ162" i="1"/>
  <c r="AI162" i="1"/>
  <c r="AH162" i="1"/>
  <c r="AG162" i="1"/>
  <c r="AF162" i="1"/>
  <c r="AE162" i="1"/>
  <c r="AD162" i="1"/>
  <c r="AC162" i="1"/>
  <c r="AA162" i="1"/>
  <c r="Z162" i="1"/>
  <c r="Y162" i="1"/>
  <c r="X162" i="1"/>
  <c r="W162" i="1"/>
  <c r="V162" i="1"/>
  <c r="U162" i="1"/>
  <c r="T162" i="1"/>
  <c r="S162" i="1"/>
  <c r="R162" i="1"/>
  <c r="Q162" i="1"/>
  <c r="P162" i="1"/>
  <c r="N162" i="1"/>
  <c r="M162" i="1"/>
  <c r="L162" i="1"/>
  <c r="K162" i="1"/>
  <c r="J162" i="1"/>
  <c r="I162" i="1"/>
  <c r="H162" i="1"/>
  <c r="G162" i="1"/>
  <c r="F162" i="1"/>
  <c r="E162" i="1"/>
  <c r="D162" i="1"/>
  <c r="C162" i="1"/>
  <c r="B162" i="1"/>
  <c r="FN161" i="1"/>
  <c r="FM161" i="1"/>
  <c r="FL161" i="1"/>
  <c r="FK161" i="1"/>
  <c r="FJ161" i="1"/>
  <c r="FI161" i="1"/>
  <c r="FH161" i="1"/>
  <c r="FG161" i="1"/>
  <c r="FF161" i="1"/>
  <c r="FE161" i="1"/>
  <c r="FD161" i="1"/>
  <c r="FC161" i="1"/>
  <c r="FA161" i="1"/>
  <c r="EZ161" i="1"/>
  <c r="EY161" i="1"/>
  <c r="EX161" i="1"/>
  <c r="EW161" i="1"/>
  <c r="EV161" i="1"/>
  <c r="EU161" i="1"/>
  <c r="ET161" i="1"/>
  <c r="ES161" i="1"/>
  <c r="ER161" i="1"/>
  <c r="EQ161" i="1"/>
  <c r="EP161" i="1"/>
  <c r="EN161" i="1"/>
  <c r="EM161" i="1"/>
  <c r="EL161" i="1"/>
  <c r="EK161" i="1"/>
  <c r="EJ161" i="1"/>
  <c r="EI161" i="1"/>
  <c r="EH161" i="1"/>
  <c r="EG161" i="1"/>
  <c r="EF161" i="1"/>
  <c r="EE161" i="1"/>
  <c r="ED161" i="1"/>
  <c r="EC161" i="1"/>
  <c r="EA161" i="1"/>
  <c r="DZ161" i="1"/>
  <c r="DY161" i="1"/>
  <c r="DX161" i="1"/>
  <c r="DW161" i="1"/>
  <c r="DV161" i="1"/>
  <c r="DU161" i="1"/>
  <c r="DT161" i="1"/>
  <c r="DS161" i="1"/>
  <c r="DR161" i="1"/>
  <c r="DQ161" i="1"/>
  <c r="DP161" i="1"/>
  <c r="CN161" i="1"/>
  <c r="CM161" i="1"/>
  <c r="CL161" i="1"/>
  <c r="CK161" i="1"/>
  <c r="CJ161" i="1"/>
  <c r="CI161" i="1"/>
  <c r="CH161" i="1"/>
  <c r="CG161" i="1"/>
  <c r="CF161" i="1"/>
  <c r="CE161" i="1"/>
  <c r="CD161" i="1"/>
  <c r="CC161" i="1"/>
  <c r="CA161" i="1"/>
  <c r="BZ161" i="1"/>
  <c r="BY161" i="1"/>
  <c r="BX161" i="1"/>
  <c r="BW161" i="1"/>
  <c r="BV161" i="1"/>
  <c r="BU161" i="1"/>
  <c r="BT161" i="1"/>
  <c r="BS161" i="1"/>
  <c r="BR161" i="1"/>
  <c r="BQ161" i="1"/>
  <c r="BP161" i="1"/>
  <c r="BN161" i="1"/>
  <c r="BM161" i="1"/>
  <c r="BL161" i="1"/>
  <c r="BK161" i="1"/>
  <c r="BJ161" i="1"/>
  <c r="BI161" i="1"/>
  <c r="BH161" i="1"/>
  <c r="BG161" i="1"/>
  <c r="BF161" i="1"/>
  <c r="BE161" i="1"/>
  <c r="BD161" i="1"/>
  <c r="BC161" i="1"/>
  <c r="BA161" i="1"/>
  <c r="AZ161" i="1"/>
  <c r="AY161" i="1"/>
  <c r="AX161" i="1"/>
  <c r="AW161" i="1"/>
  <c r="AV161" i="1"/>
  <c r="AU161" i="1"/>
  <c r="AT161" i="1"/>
  <c r="AS161" i="1"/>
  <c r="AR161" i="1"/>
  <c r="AQ161" i="1"/>
  <c r="AP161" i="1"/>
  <c r="AN161" i="1"/>
  <c r="AM161" i="1"/>
  <c r="AL161" i="1"/>
  <c r="AK161" i="1"/>
  <c r="AJ161" i="1"/>
  <c r="AI161" i="1"/>
  <c r="AH161" i="1"/>
  <c r="AG161" i="1"/>
  <c r="AF161" i="1"/>
  <c r="AE161" i="1"/>
  <c r="AD161" i="1"/>
  <c r="AC161" i="1"/>
  <c r="AA161" i="1"/>
  <c r="Z161" i="1"/>
  <c r="Y161" i="1"/>
  <c r="X161" i="1"/>
  <c r="W161" i="1"/>
  <c r="V161" i="1"/>
  <c r="U161" i="1"/>
  <c r="T161" i="1"/>
  <c r="S161" i="1"/>
  <c r="R161" i="1"/>
  <c r="Q161" i="1"/>
  <c r="P161" i="1"/>
  <c r="N161" i="1"/>
  <c r="M161" i="1"/>
  <c r="L161" i="1"/>
  <c r="K161" i="1"/>
  <c r="J161" i="1"/>
  <c r="I161" i="1"/>
  <c r="H161" i="1"/>
  <c r="G161" i="1"/>
  <c r="F161" i="1"/>
  <c r="E161" i="1"/>
  <c r="D161" i="1"/>
  <c r="C161" i="1"/>
  <c r="B161" i="1"/>
  <c r="FN160" i="1"/>
  <c r="FM160" i="1"/>
  <c r="FL160" i="1"/>
  <c r="FK160" i="1"/>
  <c r="FJ160" i="1"/>
  <c r="FI160" i="1"/>
  <c r="FH160" i="1"/>
  <c r="FG160" i="1"/>
  <c r="FF160" i="1"/>
  <c r="FE160" i="1"/>
  <c r="FD160" i="1"/>
  <c r="FC160" i="1"/>
  <c r="FA160" i="1"/>
  <c r="EZ160" i="1"/>
  <c r="EY160" i="1"/>
  <c r="EX160" i="1"/>
  <c r="EW160" i="1"/>
  <c r="EV160" i="1"/>
  <c r="EU160" i="1"/>
  <c r="ET160" i="1"/>
  <c r="ES160" i="1"/>
  <c r="ER160" i="1"/>
  <c r="EQ160" i="1"/>
  <c r="EP160" i="1"/>
  <c r="EN160" i="1"/>
  <c r="EM160" i="1"/>
  <c r="EL160" i="1"/>
  <c r="EK160" i="1"/>
  <c r="EJ160" i="1"/>
  <c r="EI160" i="1"/>
  <c r="EH160" i="1"/>
  <c r="EG160" i="1"/>
  <c r="EF160" i="1"/>
  <c r="EE160" i="1"/>
  <c r="ED160" i="1"/>
  <c r="EC160" i="1"/>
  <c r="EA160" i="1"/>
  <c r="DZ160" i="1"/>
  <c r="DY160" i="1"/>
  <c r="DX160" i="1"/>
  <c r="DW160" i="1"/>
  <c r="DV160" i="1"/>
  <c r="DU160" i="1"/>
  <c r="DT160" i="1"/>
  <c r="DS160" i="1"/>
  <c r="DR160" i="1"/>
  <c r="DQ160" i="1"/>
  <c r="DP160" i="1"/>
  <c r="CN160" i="1"/>
  <c r="CM160" i="1"/>
  <c r="CL160" i="1"/>
  <c r="CK160" i="1"/>
  <c r="CJ160" i="1"/>
  <c r="CI160" i="1"/>
  <c r="CH160" i="1"/>
  <c r="CG160" i="1"/>
  <c r="CF160" i="1"/>
  <c r="CE160" i="1"/>
  <c r="CD160" i="1"/>
  <c r="CC160" i="1"/>
  <c r="CA160" i="1"/>
  <c r="BZ160" i="1"/>
  <c r="BY160" i="1"/>
  <c r="BX160" i="1"/>
  <c r="BW160" i="1"/>
  <c r="BV160" i="1"/>
  <c r="BU160" i="1"/>
  <c r="BT160" i="1"/>
  <c r="BS160" i="1"/>
  <c r="BR160" i="1"/>
  <c r="BQ160" i="1"/>
  <c r="BP160" i="1"/>
  <c r="BN160" i="1"/>
  <c r="BM160" i="1"/>
  <c r="BL160" i="1"/>
  <c r="BK160" i="1"/>
  <c r="BJ160" i="1"/>
  <c r="BI160" i="1"/>
  <c r="BH160" i="1"/>
  <c r="BG160" i="1"/>
  <c r="BF160" i="1"/>
  <c r="BE160" i="1"/>
  <c r="BD160" i="1"/>
  <c r="BC160" i="1"/>
  <c r="BA160" i="1"/>
  <c r="AZ160" i="1"/>
  <c r="AY160" i="1"/>
  <c r="AX160" i="1"/>
  <c r="AW160" i="1"/>
  <c r="AV160" i="1"/>
  <c r="AU160" i="1"/>
  <c r="AT160" i="1"/>
  <c r="AS160" i="1"/>
  <c r="AR160" i="1"/>
  <c r="AQ160" i="1"/>
  <c r="AP160" i="1"/>
  <c r="AN160" i="1"/>
  <c r="AM160" i="1"/>
  <c r="AL160" i="1"/>
  <c r="AK160" i="1"/>
  <c r="AJ160" i="1"/>
  <c r="AI160" i="1"/>
  <c r="AH160" i="1"/>
  <c r="AG160" i="1"/>
  <c r="AF160" i="1"/>
  <c r="AE160" i="1"/>
  <c r="AD160" i="1"/>
  <c r="AC160" i="1"/>
  <c r="AA160" i="1"/>
  <c r="Z160" i="1"/>
  <c r="Y160" i="1"/>
  <c r="X160" i="1"/>
  <c r="W160" i="1"/>
  <c r="V160" i="1"/>
  <c r="U160" i="1"/>
  <c r="T160" i="1"/>
  <c r="S160" i="1"/>
  <c r="R160" i="1"/>
  <c r="Q160" i="1"/>
  <c r="P160" i="1"/>
  <c r="N160" i="1"/>
  <c r="M160" i="1"/>
  <c r="L160" i="1"/>
  <c r="K160" i="1"/>
  <c r="J160" i="1"/>
  <c r="I160" i="1"/>
  <c r="H160" i="1"/>
  <c r="G160" i="1"/>
  <c r="F160" i="1"/>
  <c r="E160" i="1"/>
  <c r="D160" i="1"/>
  <c r="C160" i="1"/>
  <c r="B160" i="1"/>
  <c r="FN159" i="1"/>
  <c r="FM159" i="1"/>
  <c r="FL159" i="1"/>
  <c r="FK159" i="1"/>
  <c r="FJ159" i="1"/>
  <c r="FI159" i="1"/>
  <c r="FH159" i="1"/>
  <c r="FG159" i="1"/>
  <c r="FF159" i="1"/>
  <c r="FE159" i="1"/>
  <c r="FD159" i="1"/>
  <c r="FC159" i="1"/>
  <c r="FA159" i="1"/>
  <c r="EZ159" i="1"/>
  <c r="EY159" i="1"/>
  <c r="EX159" i="1"/>
  <c r="EW159" i="1"/>
  <c r="EV159" i="1"/>
  <c r="EU159" i="1"/>
  <c r="ET159" i="1"/>
  <c r="ES159" i="1"/>
  <c r="ER159" i="1"/>
  <c r="EQ159" i="1"/>
  <c r="EP159" i="1"/>
  <c r="EN159" i="1"/>
  <c r="EM159" i="1"/>
  <c r="EL159" i="1"/>
  <c r="EK159" i="1"/>
  <c r="EJ159" i="1"/>
  <c r="EI159" i="1"/>
  <c r="EH159" i="1"/>
  <c r="EG159" i="1"/>
  <c r="EF159" i="1"/>
  <c r="EE159" i="1"/>
  <c r="ED159" i="1"/>
  <c r="EC159" i="1"/>
  <c r="EA159" i="1"/>
  <c r="DZ159" i="1"/>
  <c r="DY159" i="1"/>
  <c r="DX159" i="1"/>
  <c r="DW159" i="1"/>
  <c r="DV159" i="1"/>
  <c r="DU159" i="1"/>
  <c r="DT159" i="1"/>
  <c r="DS159" i="1"/>
  <c r="DR159" i="1"/>
  <c r="DQ159" i="1"/>
  <c r="DP159" i="1"/>
  <c r="CN159" i="1"/>
  <c r="CM159" i="1"/>
  <c r="CL159" i="1"/>
  <c r="CK159" i="1"/>
  <c r="CJ159" i="1"/>
  <c r="CI159" i="1"/>
  <c r="CH159" i="1"/>
  <c r="CG159" i="1"/>
  <c r="CF159" i="1"/>
  <c r="CE159" i="1"/>
  <c r="CD159" i="1"/>
  <c r="CC159" i="1"/>
  <c r="CA159" i="1"/>
  <c r="BZ159" i="1"/>
  <c r="BY159" i="1"/>
  <c r="BX159" i="1"/>
  <c r="BW159" i="1"/>
  <c r="BV159" i="1"/>
  <c r="BU159" i="1"/>
  <c r="BT159" i="1"/>
  <c r="BS159" i="1"/>
  <c r="BR159" i="1"/>
  <c r="BQ159" i="1"/>
  <c r="BP159" i="1"/>
  <c r="BN159" i="1"/>
  <c r="BM159" i="1"/>
  <c r="BL159" i="1"/>
  <c r="BK159" i="1"/>
  <c r="BJ159" i="1"/>
  <c r="BI159" i="1"/>
  <c r="BH159" i="1"/>
  <c r="BG159" i="1"/>
  <c r="BF159" i="1"/>
  <c r="BE159" i="1"/>
  <c r="BD159" i="1"/>
  <c r="BC159" i="1"/>
  <c r="BA159" i="1"/>
  <c r="AZ159" i="1"/>
  <c r="AY159" i="1"/>
  <c r="AX159" i="1"/>
  <c r="AW159" i="1"/>
  <c r="AV159" i="1"/>
  <c r="AU159" i="1"/>
  <c r="AT159" i="1"/>
  <c r="AS159" i="1"/>
  <c r="AR159" i="1"/>
  <c r="AQ159" i="1"/>
  <c r="AP159" i="1"/>
  <c r="AN159" i="1"/>
  <c r="AM159" i="1"/>
  <c r="AL159" i="1"/>
  <c r="AK159" i="1"/>
  <c r="AJ159" i="1"/>
  <c r="AI159" i="1"/>
  <c r="AH159" i="1"/>
  <c r="AG159" i="1"/>
  <c r="AF159" i="1"/>
  <c r="AE159" i="1"/>
  <c r="AD159" i="1"/>
  <c r="AC159" i="1"/>
  <c r="AA159" i="1"/>
  <c r="Z159" i="1"/>
  <c r="Y159" i="1"/>
  <c r="X159" i="1"/>
  <c r="W159" i="1"/>
  <c r="V159" i="1"/>
  <c r="U159" i="1"/>
  <c r="T159" i="1"/>
  <c r="S159" i="1"/>
  <c r="R159" i="1"/>
  <c r="Q159" i="1"/>
  <c r="P159" i="1"/>
  <c r="N159" i="1"/>
  <c r="M159" i="1"/>
  <c r="L159" i="1"/>
  <c r="K159" i="1"/>
  <c r="J159" i="1"/>
  <c r="I159" i="1"/>
  <c r="H159" i="1"/>
  <c r="G159" i="1"/>
  <c r="F159" i="1"/>
  <c r="E159" i="1"/>
  <c r="D159" i="1"/>
  <c r="C159" i="1"/>
  <c r="B159" i="1"/>
  <c r="FN158" i="1"/>
  <c r="FM158" i="1"/>
  <c r="FL158" i="1"/>
  <c r="FK158" i="1"/>
  <c r="FJ158" i="1"/>
  <c r="FI158" i="1"/>
  <c r="FH158" i="1"/>
  <c r="FG158" i="1"/>
  <c r="FF158" i="1"/>
  <c r="FE158" i="1"/>
  <c r="FD158" i="1"/>
  <c r="FC158" i="1"/>
  <c r="FA158" i="1"/>
  <c r="EZ158" i="1"/>
  <c r="EY158" i="1"/>
  <c r="EX158" i="1"/>
  <c r="EW158" i="1"/>
  <c r="EV158" i="1"/>
  <c r="EU158" i="1"/>
  <c r="ET158" i="1"/>
  <c r="ES158" i="1"/>
  <c r="ER158" i="1"/>
  <c r="EQ158" i="1"/>
  <c r="EP158" i="1"/>
  <c r="EN158" i="1"/>
  <c r="EM158" i="1"/>
  <c r="EL158" i="1"/>
  <c r="EK158" i="1"/>
  <c r="EJ158" i="1"/>
  <c r="EI158" i="1"/>
  <c r="EH158" i="1"/>
  <c r="EG158" i="1"/>
  <c r="EF158" i="1"/>
  <c r="EE158" i="1"/>
  <c r="ED158" i="1"/>
  <c r="EC158" i="1"/>
  <c r="EA158" i="1"/>
  <c r="DZ158" i="1"/>
  <c r="DY158" i="1"/>
  <c r="DX158" i="1"/>
  <c r="DW158" i="1"/>
  <c r="DV158" i="1"/>
  <c r="DU158" i="1"/>
  <c r="DT158" i="1"/>
  <c r="DS158" i="1"/>
  <c r="DR158" i="1"/>
  <c r="DQ158" i="1"/>
  <c r="DP158" i="1"/>
  <c r="CN158" i="1"/>
  <c r="CM158" i="1"/>
  <c r="CL158" i="1"/>
  <c r="CK158" i="1"/>
  <c r="CJ158" i="1"/>
  <c r="CI158" i="1"/>
  <c r="CH158" i="1"/>
  <c r="CG158" i="1"/>
  <c r="CF158" i="1"/>
  <c r="CE158" i="1"/>
  <c r="CD158" i="1"/>
  <c r="CC158" i="1"/>
  <c r="CA158" i="1"/>
  <c r="BZ158" i="1"/>
  <c r="BY158" i="1"/>
  <c r="BX158" i="1"/>
  <c r="BW158" i="1"/>
  <c r="BV158" i="1"/>
  <c r="BU158" i="1"/>
  <c r="BT158" i="1"/>
  <c r="BS158" i="1"/>
  <c r="BR158" i="1"/>
  <c r="BQ158" i="1"/>
  <c r="BP158" i="1"/>
  <c r="BN158" i="1"/>
  <c r="BM158" i="1"/>
  <c r="BL158" i="1"/>
  <c r="BK158" i="1"/>
  <c r="BJ158" i="1"/>
  <c r="BI158" i="1"/>
  <c r="BH158" i="1"/>
  <c r="BG158" i="1"/>
  <c r="BF158" i="1"/>
  <c r="BE158" i="1"/>
  <c r="BD158" i="1"/>
  <c r="BC158" i="1"/>
  <c r="BA158" i="1"/>
  <c r="AZ158" i="1"/>
  <c r="AY158" i="1"/>
  <c r="AX158" i="1"/>
  <c r="AW158" i="1"/>
  <c r="AV158" i="1"/>
  <c r="AU158" i="1"/>
  <c r="AT158" i="1"/>
  <c r="AS158" i="1"/>
  <c r="AR158" i="1"/>
  <c r="AQ158" i="1"/>
  <c r="AP158" i="1"/>
  <c r="AN158" i="1"/>
  <c r="AM158" i="1"/>
  <c r="AL158" i="1"/>
  <c r="AK158" i="1"/>
  <c r="AJ158" i="1"/>
  <c r="AI158" i="1"/>
  <c r="AH158" i="1"/>
  <c r="AG158" i="1"/>
  <c r="AF158" i="1"/>
  <c r="AE158" i="1"/>
  <c r="AD158" i="1"/>
  <c r="AC158" i="1"/>
  <c r="AA158" i="1"/>
  <c r="Z158" i="1"/>
  <c r="Y158" i="1"/>
  <c r="X158" i="1"/>
  <c r="W158" i="1"/>
  <c r="V158" i="1"/>
  <c r="U158" i="1"/>
  <c r="T158" i="1"/>
  <c r="S158" i="1"/>
  <c r="R158" i="1"/>
  <c r="Q158" i="1"/>
  <c r="P158" i="1"/>
  <c r="N158" i="1"/>
  <c r="M158" i="1"/>
  <c r="L158" i="1"/>
  <c r="K158" i="1"/>
  <c r="J158" i="1"/>
  <c r="I158" i="1"/>
  <c r="H158" i="1"/>
  <c r="G158" i="1"/>
  <c r="F158" i="1"/>
  <c r="E158" i="1"/>
  <c r="D158" i="1"/>
  <c r="C158" i="1"/>
  <c r="B158" i="1"/>
  <c r="FN118" i="1"/>
  <c r="FM118" i="1"/>
  <c r="FL118" i="1"/>
  <c r="FK118" i="1"/>
  <c r="FJ118" i="1"/>
  <c r="FI118" i="1"/>
  <c r="FH118" i="1"/>
  <c r="FG118" i="1"/>
  <c r="FF118" i="1"/>
  <c r="FE118" i="1"/>
  <c r="FD118" i="1"/>
  <c r="FC118" i="1"/>
  <c r="FA118" i="1"/>
  <c r="EZ118" i="1"/>
  <c r="EY118" i="1"/>
  <c r="EX118" i="1"/>
  <c r="EW118" i="1"/>
  <c r="EV118" i="1"/>
  <c r="EU118" i="1"/>
  <c r="ET118" i="1"/>
  <c r="ES118" i="1"/>
  <c r="ER118" i="1"/>
  <c r="EQ118" i="1"/>
  <c r="EP118" i="1"/>
  <c r="EN118" i="1"/>
  <c r="EM118" i="1"/>
  <c r="EL118" i="1"/>
  <c r="EK118" i="1"/>
  <c r="EJ118" i="1"/>
  <c r="EI118" i="1"/>
  <c r="EH118" i="1"/>
  <c r="EG118" i="1"/>
  <c r="EF118" i="1"/>
  <c r="EE118" i="1"/>
  <c r="ED118" i="1"/>
  <c r="EC118" i="1"/>
  <c r="EA118" i="1"/>
  <c r="DZ118" i="1"/>
  <c r="DY118" i="1"/>
  <c r="DX118" i="1"/>
  <c r="DW118" i="1"/>
  <c r="DV118" i="1"/>
  <c r="DU118" i="1"/>
  <c r="DT118" i="1"/>
  <c r="DS118" i="1"/>
  <c r="DR118" i="1"/>
  <c r="DQ118" i="1"/>
  <c r="DP118" i="1"/>
  <c r="DN118" i="1"/>
  <c r="DM118" i="1"/>
  <c r="DL118" i="1"/>
  <c r="DK118" i="1"/>
  <c r="DJ118" i="1"/>
  <c r="DI118" i="1"/>
  <c r="DH118" i="1"/>
  <c r="DG118" i="1"/>
  <c r="DF118" i="1"/>
  <c r="DE118" i="1"/>
  <c r="DD118" i="1"/>
  <c r="DC118" i="1"/>
  <c r="DA118" i="1"/>
  <c r="CZ118" i="1"/>
  <c r="CY118" i="1"/>
  <c r="CX118" i="1"/>
  <c r="CW118" i="1"/>
  <c r="CV118" i="1"/>
  <c r="CU118" i="1"/>
  <c r="CT118" i="1"/>
  <c r="CS118" i="1"/>
  <c r="CR118" i="1"/>
  <c r="CQ118" i="1"/>
  <c r="CP118" i="1"/>
  <c r="CN118" i="1"/>
  <c r="CM118" i="1"/>
  <c r="CL118" i="1"/>
  <c r="CK118" i="1"/>
  <c r="CJ118" i="1"/>
  <c r="CI118" i="1"/>
  <c r="CH118" i="1"/>
  <c r="CG118" i="1"/>
  <c r="CF118" i="1"/>
  <c r="CE118" i="1"/>
  <c r="CD118" i="1"/>
  <c r="CC118" i="1"/>
  <c r="CA118" i="1"/>
  <c r="BZ118" i="1"/>
  <c r="BY118" i="1"/>
  <c r="BX118" i="1"/>
  <c r="BW118" i="1"/>
  <c r="BV118" i="1"/>
  <c r="BU118" i="1"/>
  <c r="BT118" i="1"/>
  <c r="BS118" i="1"/>
  <c r="BR118" i="1"/>
  <c r="BQ118" i="1"/>
  <c r="BP118" i="1"/>
  <c r="BN118" i="1"/>
  <c r="BM118" i="1"/>
  <c r="BL118" i="1"/>
  <c r="BK118" i="1"/>
  <c r="BJ118" i="1"/>
  <c r="BI118" i="1"/>
  <c r="BH118" i="1"/>
  <c r="BG118" i="1"/>
  <c r="BF118" i="1"/>
  <c r="BE118" i="1"/>
  <c r="BD118" i="1"/>
  <c r="BC118" i="1"/>
  <c r="BA118" i="1"/>
  <c r="AZ118" i="1"/>
  <c r="AY118" i="1"/>
  <c r="AX118" i="1"/>
  <c r="AW118" i="1"/>
  <c r="AV118" i="1"/>
  <c r="AU118" i="1"/>
  <c r="AT118" i="1"/>
  <c r="AS118" i="1"/>
  <c r="AR118" i="1"/>
  <c r="AQ118" i="1"/>
  <c r="AP118" i="1"/>
  <c r="AN118" i="1"/>
  <c r="AM118" i="1"/>
  <c r="AL118" i="1"/>
  <c r="AK118" i="1"/>
  <c r="AJ118" i="1"/>
  <c r="AI118" i="1"/>
  <c r="AH118" i="1"/>
  <c r="AG118" i="1"/>
  <c r="AF118" i="1"/>
  <c r="AE118" i="1"/>
  <c r="AD118" i="1"/>
  <c r="AC118" i="1"/>
  <c r="AA118" i="1"/>
  <c r="Z118" i="1"/>
  <c r="Y118" i="1"/>
  <c r="X118" i="1"/>
  <c r="W118" i="1"/>
  <c r="V118" i="1"/>
  <c r="U118" i="1"/>
  <c r="T118" i="1"/>
  <c r="S118" i="1"/>
  <c r="R118" i="1"/>
  <c r="Q118" i="1"/>
  <c r="P118" i="1"/>
  <c r="N118" i="1"/>
  <c r="M118" i="1"/>
  <c r="L118" i="1"/>
  <c r="K118" i="1"/>
  <c r="J118" i="1"/>
  <c r="I118" i="1"/>
  <c r="H118" i="1"/>
  <c r="G118" i="1"/>
  <c r="F118" i="1"/>
  <c r="E118" i="1"/>
  <c r="D118" i="1"/>
  <c r="C118" i="1"/>
  <c r="FO117" i="1"/>
  <c r="H27" i="3" s="1" a="1"/>
  <c r="H27" i="3" s="1"/>
  <c r="FB117" i="1"/>
  <c r="EO117" i="1"/>
  <c r="EB117" i="1"/>
  <c r="DO117" i="1"/>
  <c r="DB117" i="1"/>
  <c r="CO117" i="1"/>
  <c r="CB117" i="1"/>
  <c r="BO117" i="1"/>
  <c r="BB117" i="1"/>
  <c r="AO117" i="1"/>
  <c r="AB117" i="1"/>
  <c r="O117" i="1"/>
  <c r="FO116" i="1"/>
  <c r="H26" i="3" s="1" a="1"/>
  <c r="H26" i="3" s="1"/>
  <c r="FB116" i="1"/>
  <c r="EO116" i="1"/>
  <c r="EB116" i="1"/>
  <c r="DO116" i="1"/>
  <c r="DB116" i="1"/>
  <c r="CO116" i="1"/>
  <c r="CB116" i="1"/>
  <c r="BO116" i="1"/>
  <c r="BB116" i="1"/>
  <c r="AO116" i="1"/>
  <c r="AB116" i="1"/>
  <c r="O116" i="1"/>
  <c r="O118" i="1" s="1"/>
  <c r="FO115" i="1"/>
  <c r="H25" i="3" s="1" a="1"/>
  <c r="H25" i="3" s="1"/>
  <c r="FB115" i="1"/>
  <c r="EO115" i="1"/>
  <c r="EB115" i="1"/>
  <c r="DO115" i="1"/>
  <c r="DB115" i="1"/>
  <c r="CO115" i="1"/>
  <c r="CB115" i="1"/>
  <c r="BO115" i="1"/>
  <c r="BB115" i="1"/>
  <c r="AO115" i="1"/>
  <c r="AB115" i="1"/>
  <c r="AB118" i="1" s="1"/>
  <c r="O115" i="1"/>
  <c r="FO114" i="1"/>
  <c r="H24" i="3" s="1" a="1"/>
  <c r="H24" i="3" s="1"/>
  <c r="FB114" i="1"/>
  <c r="EO114" i="1"/>
  <c r="EB114" i="1"/>
  <c r="DO114" i="1"/>
  <c r="DB114" i="1"/>
  <c r="CO114" i="1"/>
  <c r="CB114" i="1"/>
  <c r="BO114" i="1"/>
  <c r="BB114" i="1"/>
  <c r="AO114" i="1"/>
  <c r="AB114" i="1"/>
  <c r="O114" i="1"/>
  <c r="FO113" i="1"/>
  <c r="H23" i="3" s="1" a="1"/>
  <c r="H23" i="3" s="1"/>
  <c r="FB113" i="1"/>
  <c r="EO113" i="1"/>
  <c r="EB113" i="1"/>
  <c r="DO113" i="1"/>
  <c r="DB113" i="1"/>
  <c r="CO113" i="1"/>
  <c r="CB113" i="1"/>
  <c r="BO113" i="1"/>
  <c r="BB113" i="1"/>
  <c r="AO113" i="1"/>
  <c r="AB113" i="1"/>
  <c r="O113" i="1"/>
  <c r="FO112" i="1"/>
  <c r="H22" i="3" s="1" a="1"/>
  <c r="H22" i="3" s="1"/>
  <c r="FB112" i="1"/>
  <c r="FB118" i="1" s="1"/>
  <c r="EO112" i="1"/>
  <c r="EO118" i="1" s="1"/>
  <c r="EB112" i="1"/>
  <c r="EB118" i="1" s="1"/>
  <c r="DO112" i="1"/>
  <c r="DO118" i="1" s="1"/>
  <c r="DB112" i="1"/>
  <c r="CO112" i="1"/>
  <c r="CB112" i="1"/>
  <c r="CB118" i="1" s="1"/>
  <c r="BO112" i="1"/>
  <c r="BO118" i="1" s="1"/>
  <c r="BB112" i="1"/>
  <c r="AO112" i="1"/>
  <c r="AB112" i="1"/>
  <c r="O112" i="1"/>
  <c r="FN106" i="1"/>
  <c r="FM106" i="1"/>
  <c r="FL106" i="1"/>
  <c r="FK106" i="1"/>
  <c r="FJ106" i="1"/>
  <c r="FI106" i="1"/>
  <c r="FH106" i="1"/>
  <c r="FG106" i="1"/>
  <c r="FF106" i="1"/>
  <c r="FE106" i="1"/>
  <c r="FD106" i="1"/>
  <c r="FC106" i="1"/>
  <c r="FA106" i="1"/>
  <c r="EZ106" i="1"/>
  <c r="EY106" i="1"/>
  <c r="EX106" i="1"/>
  <c r="EW106" i="1"/>
  <c r="EV106" i="1"/>
  <c r="EU106" i="1"/>
  <c r="ET106" i="1"/>
  <c r="ES106" i="1"/>
  <c r="ER106" i="1"/>
  <c r="EQ106" i="1"/>
  <c r="EP106" i="1"/>
  <c r="EN106" i="1"/>
  <c r="EM106" i="1"/>
  <c r="EL106" i="1"/>
  <c r="EK106" i="1"/>
  <c r="EJ106" i="1"/>
  <c r="EI106" i="1"/>
  <c r="EH106" i="1"/>
  <c r="EG106" i="1"/>
  <c r="EF106" i="1"/>
  <c r="EE106" i="1"/>
  <c r="ED106" i="1"/>
  <c r="EC106" i="1"/>
  <c r="EA106" i="1"/>
  <c r="DZ106" i="1"/>
  <c r="DY106" i="1"/>
  <c r="DX106" i="1"/>
  <c r="DW106" i="1"/>
  <c r="DV106" i="1"/>
  <c r="DU106" i="1"/>
  <c r="DT106" i="1"/>
  <c r="DS106" i="1"/>
  <c r="DR106" i="1"/>
  <c r="DQ106" i="1"/>
  <c r="DP106" i="1"/>
  <c r="DN106" i="1"/>
  <c r="DM106" i="1"/>
  <c r="DL106" i="1"/>
  <c r="DK106" i="1"/>
  <c r="DJ106" i="1"/>
  <c r="DI106" i="1"/>
  <c r="DH106" i="1"/>
  <c r="DG106" i="1"/>
  <c r="DF106" i="1"/>
  <c r="DE106" i="1"/>
  <c r="DD106" i="1"/>
  <c r="DC106" i="1"/>
  <c r="DA106" i="1"/>
  <c r="CZ106" i="1"/>
  <c r="CY106" i="1"/>
  <c r="CX106" i="1"/>
  <c r="CW106" i="1"/>
  <c r="CV106" i="1"/>
  <c r="CU106" i="1"/>
  <c r="CT106" i="1"/>
  <c r="CS106" i="1"/>
  <c r="CR106" i="1"/>
  <c r="CQ106" i="1"/>
  <c r="CP106" i="1"/>
  <c r="CN106" i="1"/>
  <c r="CM106" i="1"/>
  <c r="CL106" i="1"/>
  <c r="CK106" i="1"/>
  <c r="CJ106" i="1"/>
  <c r="CI106" i="1"/>
  <c r="CH106" i="1"/>
  <c r="CG106" i="1"/>
  <c r="CF106" i="1"/>
  <c r="CE106" i="1"/>
  <c r="CD106" i="1"/>
  <c r="CC106" i="1"/>
  <c r="CA106" i="1"/>
  <c r="BZ106" i="1"/>
  <c r="BY106" i="1"/>
  <c r="BX106" i="1"/>
  <c r="BW106" i="1"/>
  <c r="BV106" i="1"/>
  <c r="BU106" i="1"/>
  <c r="BT106" i="1"/>
  <c r="BS106" i="1"/>
  <c r="BR106" i="1"/>
  <c r="BQ106" i="1"/>
  <c r="BP106" i="1"/>
  <c r="BN106" i="1"/>
  <c r="BM106" i="1"/>
  <c r="BL106" i="1"/>
  <c r="BK106" i="1"/>
  <c r="BJ106" i="1"/>
  <c r="BI106" i="1"/>
  <c r="BH106" i="1"/>
  <c r="BG106" i="1"/>
  <c r="BF106" i="1"/>
  <c r="BE106" i="1"/>
  <c r="BD106" i="1"/>
  <c r="BC106" i="1"/>
  <c r="BA106" i="1"/>
  <c r="AZ106" i="1"/>
  <c r="AY106" i="1"/>
  <c r="AX106" i="1"/>
  <c r="AW106" i="1"/>
  <c r="AV106" i="1"/>
  <c r="AU106" i="1"/>
  <c r="AT106" i="1"/>
  <c r="AS106" i="1"/>
  <c r="AR106" i="1"/>
  <c r="AQ106" i="1"/>
  <c r="AP106" i="1"/>
  <c r="AN106" i="1"/>
  <c r="AM106" i="1"/>
  <c r="AL106" i="1"/>
  <c r="AK106" i="1"/>
  <c r="AJ106" i="1"/>
  <c r="AI106" i="1"/>
  <c r="AH106" i="1"/>
  <c r="AG106" i="1"/>
  <c r="AF106" i="1"/>
  <c r="AE106" i="1"/>
  <c r="AD106" i="1"/>
  <c r="AC106" i="1"/>
  <c r="AA106" i="1"/>
  <c r="Z106" i="1"/>
  <c r="Y106" i="1"/>
  <c r="X106" i="1"/>
  <c r="W106" i="1"/>
  <c r="V106" i="1"/>
  <c r="U106" i="1"/>
  <c r="T106" i="1"/>
  <c r="S106" i="1"/>
  <c r="R106" i="1"/>
  <c r="Q106" i="1"/>
  <c r="P106" i="1"/>
  <c r="N106" i="1"/>
  <c r="M106" i="1"/>
  <c r="L106" i="1"/>
  <c r="K106" i="1"/>
  <c r="J106" i="1"/>
  <c r="I106" i="1"/>
  <c r="H106" i="1"/>
  <c r="G106" i="1"/>
  <c r="F106" i="1"/>
  <c r="E106" i="1"/>
  <c r="D106" i="1"/>
  <c r="C106" i="1"/>
  <c r="FO105" i="1"/>
  <c r="G27" i="3" s="1" a="1"/>
  <c r="G27" i="3" s="1"/>
  <c r="FB105" i="1"/>
  <c r="EO105" i="1"/>
  <c r="EB105" i="1"/>
  <c r="DO105" i="1"/>
  <c r="DB105" i="1"/>
  <c r="CO105" i="1"/>
  <c r="CB105" i="1"/>
  <c r="BO105" i="1"/>
  <c r="BB105" i="1"/>
  <c r="AO105" i="1"/>
  <c r="AB105" i="1"/>
  <c r="O105" i="1"/>
  <c r="FO104" i="1"/>
  <c r="G26" i="3" s="1" a="1"/>
  <c r="G26" i="3" s="1"/>
  <c r="FB104" i="1"/>
  <c r="EO104" i="1"/>
  <c r="EB104" i="1"/>
  <c r="DO104" i="1"/>
  <c r="DB104" i="1"/>
  <c r="CO104" i="1"/>
  <c r="CB104" i="1"/>
  <c r="BO104" i="1"/>
  <c r="BB104" i="1"/>
  <c r="AO104" i="1"/>
  <c r="AB104" i="1"/>
  <c r="O104" i="1"/>
  <c r="FO103" i="1"/>
  <c r="G25" i="3" s="1" a="1"/>
  <c r="G25" i="3" s="1"/>
  <c r="FB103" i="1"/>
  <c r="EO103" i="1"/>
  <c r="EB103" i="1"/>
  <c r="DO103" i="1"/>
  <c r="DB103" i="1"/>
  <c r="CO103" i="1"/>
  <c r="CB103" i="1"/>
  <c r="BO103" i="1"/>
  <c r="BB103" i="1"/>
  <c r="AO103" i="1"/>
  <c r="AB103" i="1"/>
  <c r="O103" i="1"/>
  <c r="FO102" i="1"/>
  <c r="G24" i="3" s="1" a="1"/>
  <c r="G24" i="3" s="1"/>
  <c r="FB102" i="1"/>
  <c r="EO102" i="1"/>
  <c r="EB102" i="1"/>
  <c r="DO102" i="1"/>
  <c r="DB102" i="1"/>
  <c r="CO102" i="1"/>
  <c r="CB102" i="1"/>
  <c r="BO102" i="1"/>
  <c r="BB102" i="1"/>
  <c r="AO102" i="1"/>
  <c r="AB102" i="1"/>
  <c r="O102" i="1"/>
  <c r="FO101" i="1"/>
  <c r="G23" i="3" s="1" a="1"/>
  <c r="G23" i="3" s="1"/>
  <c r="FB101" i="1"/>
  <c r="EO101" i="1"/>
  <c r="EB101" i="1"/>
  <c r="DO101" i="1"/>
  <c r="DB101" i="1"/>
  <c r="CO101" i="1"/>
  <c r="CB101" i="1"/>
  <c r="BO101" i="1"/>
  <c r="BB101" i="1"/>
  <c r="AO101" i="1"/>
  <c r="AB101" i="1"/>
  <c r="O101" i="1"/>
  <c r="FO100" i="1"/>
  <c r="G22" i="3" s="1" a="1"/>
  <c r="G22" i="3" s="1"/>
  <c r="G28" i="3" s="1"/>
  <c r="FB100" i="1"/>
  <c r="EO100" i="1"/>
  <c r="EB100" i="1"/>
  <c r="DO100" i="1"/>
  <c r="DB100" i="1"/>
  <c r="CO100" i="1"/>
  <c r="CO106" i="1" s="1"/>
  <c r="CB100" i="1"/>
  <c r="CB106" i="1" s="1"/>
  <c r="BO100" i="1"/>
  <c r="BO106" i="1" s="1"/>
  <c r="BB100" i="1"/>
  <c r="AO100" i="1"/>
  <c r="AB100" i="1"/>
  <c r="AB106" i="1" s="1"/>
  <c r="O100" i="1"/>
  <c r="O106" i="1" s="1"/>
  <c r="FN94" i="1"/>
  <c r="FM94" i="1"/>
  <c r="FL94" i="1"/>
  <c r="FK94" i="1"/>
  <c r="FJ94" i="1"/>
  <c r="FI94" i="1"/>
  <c r="FH94" i="1"/>
  <c r="FG94" i="1"/>
  <c r="FF94" i="1"/>
  <c r="FE94" i="1"/>
  <c r="FD94" i="1"/>
  <c r="FC94" i="1"/>
  <c r="FA94" i="1"/>
  <c r="EZ94" i="1"/>
  <c r="EY94" i="1"/>
  <c r="EX94" i="1"/>
  <c r="EW94" i="1"/>
  <c r="EV94" i="1"/>
  <c r="EU94" i="1"/>
  <c r="ET94" i="1"/>
  <c r="ES94" i="1"/>
  <c r="ER94" i="1"/>
  <c r="EQ94" i="1"/>
  <c r="EP94" i="1"/>
  <c r="EN94" i="1"/>
  <c r="EM94" i="1"/>
  <c r="EL94" i="1"/>
  <c r="EK94" i="1"/>
  <c r="EJ94" i="1"/>
  <c r="EI94" i="1"/>
  <c r="EH94" i="1"/>
  <c r="EG94" i="1"/>
  <c r="EF94" i="1"/>
  <c r="EE94" i="1"/>
  <c r="ED94" i="1"/>
  <c r="EC94" i="1"/>
  <c r="EA94" i="1"/>
  <c r="DZ94" i="1"/>
  <c r="DY94" i="1"/>
  <c r="DX94" i="1"/>
  <c r="DW94" i="1"/>
  <c r="DV94" i="1"/>
  <c r="DU94" i="1"/>
  <c r="DT94" i="1"/>
  <c r="DS94" i="1"/>
  <c r="DR94" i="1"/>
  <c r="DQ94" i="1"/>
  <c r="DP94" i="1"/>
  <c r="DN94" i="1"/>
  <c r="DM94" i="1"/>
  <c r="DL94" i="1"/>
  <c r="DK94" i="1"/>
  <c r="DJ94" i="1"/>
  <c r="DI94" i="1"/>
  <c r="DH94" i="1"/>
  <c r="DG94" i="1"/>
  <c r="DF94" i="1"/>
  <c r="DE94" i="1"/>
  <c r="DD94" i="1"/>
  <c r="DC94" i="1"/>
  <c r="DA94" i="1"/>
  <c r="CZ94" i="1"/>
  <c r="CY94" i="1"/>
  <c r="CX94" i="1"/>
  <c r="CW94" i="1"/>
  <c r="CV94" i="1"/>
  <c r="CU94" i="1"/>
  <c r="CT94" i="1"/>
  <c r="CS94" i="1"/>
  <c r="CR94" i="1"/>
  <c r="CQ94" i="1"/>
  <c r="CP94" i="1"/>
  <c r="CN94" i="1"/>
  <c r="CM94" i="1"/>
  <c r="CL94" i="1"/>
  <c r="CK94" i="1"/>
  <c r="CJ94" i="1"/>
  <c r="CI94" i="1"/>
  <c r="CH94" i="1"/>
  <c r="CG94" i="1"/>
  <c r="CF94" i="1"/>
  <c r="CE94" i="1"/>
  <c r="CD94" i="1"/>
  <c r="CC94" i="1"/>
  <c r="CA94" i="1"/>
  <c r="BZ94" i="1"/>
  <c r="BY94" i="1"/>
  <c r="BX94" i="1"/>
  <c r="BW94" i="1"/>
  <c r="BV94" i="1"/>
  <c r="BU94" i="1"/>
  <c r="BT94" i="1"/>
  <c r="BS94" i="1"/>
  <c r="BR94" i="1"/>
  <c r="BQ94" i="1"/>
  <c r="BP94" i="1"/>
  <c r="BN94" i="1"/>
  <c r="BM94" i="1"/>
  <c r="BL94" i="1"/>
  <c r="BK94" i="1"/>
  <c r="BJ94" i="1"/>
  <c r="BI94" i="1"/>
  <c r="BH94" i="1"/>
  <c r="BG94" i="1"/>
  <c r="BF94" i="1"/>
  <c r="BE94" i="1"/>
  <c r="BD94" i="1"/>
  <c r="BC94" i="1"/>
  <c r="BA94" i="1"/>
  <c r="AZ94" i="1"/>
  <c r="AY94" i="1"/>
  <c r="AX94" i="1"/>
  <c r="AW94" i="1"/>
  <c r="AV94" i="1"/>
  <c r="AU94" i="1"/>
  <c r="AT94" i="1"/>
  <c r="AS94" i="1"/>
  <c r="AR94" i="1"/>
  <c r="AQ94" i="1"/>
  <c r="AP94" i="1"/>
  <c r="AN94" i="1"/>
  <c r="AM94" i="1"/>
  <c r="AL94" i="1"/>
  <c r="AK94" i="1"/>
  <c r="AJ94" i="1"/>
  <c r="AI94" i="1"/>
  <c r="AH94" i="1"/>
  <c r="AG94" i="1"/>
  <c r="AF94" i="1"/>
  <c r="AE94" i="1"/>
  <c r="AD94" i="1"/>
  <c r="AC94" i="1"/>
  <c r="AA94" i="1"/>
  <c r="Z94" i="1"/>
  <c r="Y94" i="1"/>
  <c r="X94" i="1"/>
  <c r="W94" i="1"/>
  <c r="V94" i="1"/>
  <c r="U94" i="1"/>
  <c r="T94" i="1"/>
  <c r="S94" i="1"/>
  <c r="R94" i="1"/>
  <c r="Q94" i="1"/>
  <c r="P94" i="1"/>
  <c r="N94" i="1"/>
  <c r="M94" i="1"/>
  <c r="L94" i="1"/>
  <c r="K94" i="1"/>
  <c r="J94" i="1"/>
  <c r="I94" i="1"/>
  <c r="H94" i="1"/>
  <c r="G94" i="1"/>
  <c r="F94" i="1"/>
  <c r="E94" i="1"/>
  <c r="D94" i="1"/>
  <c r="C94" i="1"/>
  <c r="FO93" i="1"/>
  <c r="FB93" i="1"/>
  <c r="EO93" i="1"/>
  <c r="EB93" i="1"/>
  <c r="DO93" i="1"/>
  <c r="DB93" i="1"/>
  <c r="CO93" i="1"/>
  <c r="CB93" i="1"/>
  <c r="BO93" i="1"/>
  <c r="BB93" i="1"/>
  <c r="AO93" i="1"/>
  <c r="AB93" i="1"/>
  <c r="O93" i="1"/>
  <c r="FO92" i="1"/>
  <c r="FB92" i="1"/>
  <c r="EO92" i="1"/>
  <c r="EB92" i="1"/>
  <c r="DO92" i="1"/>
  <c r="DB92" i="1"/>
  <c r="CO92" i="1"/>
  <c r="CB92" i="1"/>
  <c r="BO92" i="1"/>
  <c r="BB92" i="1"/>
  <c r="AO92" i="1"/>
  <c r="AB92" i="1"/>
  <c r="O92" i="1"/>
  <c r="FO91" i="1"/>
  <c r="FB91" i="1"/>
  <c r="EO91" i="1"/>
  <c r="EB91" i="1"/>
  <c r="DO91" i="1"/>
  <c r="DB91" i="1"/>
  <c r="CO91" i="1"/>
  <c r="CB91" i="1"/>
  <c r="BO91" i="1"/>
  <c r="BB91" i="1"/>
  <c r="AO91" i="1"/>
  <c r="AB91" i="1"/>
  <c r="O91" i="1"/>
  <c r="FO90" i="1"/>
  <c r="FB90" i="1"/>
  <c r="EO90" i="1"/>
  <c r="EB90" i="1"/>
  <c r="DO90" i="1"/>
  <c r="DB90" i="1"/>
  <c r="CO90" i="1"/>
  <c r="CB90" i="1"/>
  <c r="BO90" i="1"/>
  <c r="BB90" i="1"/>
  <c r="AO90" i="1"/>
  <c r="AB90" i="1"/>
  <c r="O90" i="1"/>
  <c r="FO89" i="1"/>
  <c r="FO94" i="1" s="1"/>
  <c r="D16" i="3" s="1" a="1"/>
  <c r="D16" i="3" s="1"/>
  <c r="FB89" i="1"/>
  <c r="EO89" i="1"/>
  <c r="EB89" i="1"/>
  <c r="DO89" i="1"/>
  <c r="DB89" i="1"/>
  <c r="CO89" i="1"/>
  <c r="CB89" i="1"/>
  <c r="BO89" i="1"/>
  <c r="BB89" i="1"/>
  <c r="AO89" i="1"/>
  <c r="AB89" i="1"/>
  <c r="O89" i="1"/>
  <c r="O94" i="1" s="1"/>
  <c r="FO88" i="1"/>
  <c r="FB88" i="1"/>
  <c r="EO88" i="1"/>
  <c r="EO94" i="1" s="1"/>
  <c r="EB88" i="1"/>
  <c r="EB94" i="1" s="1"/>
  <c r="DO88" i="1"/>
  <c r="DB88" i="1"/>
  <c r="CO88" i="1"/>
  <c r="CB88" i="1"/>
  <c r="BO88" i="1"/>
  <c r="BB88" i="1"/>
  <c r="AO88" i="1"/>
  <c r="AB88" i="1"/>
  <c r="AB94" i="1" s="1"/>
  <c r="O88" i="1"/>
  <c r="FN79" i="1"/>
  <c r="FM79" i="1"/>
  <c r="FL79" i="1"/>
  <c r="FK79" i="1"/>
  <c r="FJ79" i="1"/>
  <c r="FI79" i="1"/>
  <c r="FH79" i="1"/>
  <c r="FG79" i="1"/>
  <c r="FF79" i="1"/>
  <c r="FE79" i="1"/>
  <c r="FD79" i="1"/>
  <c r="FC79" i="1"/>
  <c r="FA79" i="1"/>
  <c r="EZ79" i="1"/>
  <c r="EY79" i="1"/>
  <c r="EX79" i="1"/>
  <c r="EW79" i="1"/>
  <c r="EV79" i="1"/>
  <c r="EU79" i="1"/>
  <c r="ET79" i="1"/>
  <c r="ES79" i="1"/>
  <c r="ER79" i="1"/>
  <c r="EQ79" i="1"/>
  <c r="EP79" i="1"/>
  <c r="EN79" i="1"/>
  <c r="EM79" i="1"/>
  <c r="EL79" i="1"/>
  <c r="EK79" i="1"/>
  <c r="EJ79" i="1"/>
  <c r="EI79" i="1"/>
  <c r="EH79" i="1"/>
  <c r="EG79" i="1"/>
  <c r="EF79" i="1"/>
  <c r="EE79" i="1"/>
  <c r="ED79" i="1"/>
  <c r="EC79" i="1"/>
  <c r="EA79" i="1"/>
  <c r="DZ79" i="1"/>
  <c r="DY79" i="1"/>
  <c r="DX79" i="1"/>
  <c r="DW79" i="1"/>
  <c r="DV79" i="1"/>
  <c r="DU79" i="1"/>
  <c r="DT79" i="1"/>
  <c r="DS79" i="1"/>
  <c r="DR79" i="1"/>
  <c r="DQ79" i="1"/>
  <c r="DP79" i="1"/>
  <c r="DN79" i="1"/>
  <c r="DM79" i="1"/>
  <c r="DL79" i="1"/>
  <c r="DK79" i="1"/>
  <c r="DJ79" i="1"/>
  <c r="DI79" i="1"/>
  <c r="DH79" i="1"/>
  <c r="DG79" i="1"/>
  <c r="DF79" i="1"/>
  <c r="DE79" i="1"/>
  <c r="DD79" i="1"/>
  <c r="DC79" i="1"/>
  <c r="DB79" i="1"/>
  <c r="DA79" i="1"/>
  <c r="CZ79" i="1"/>
  <c r="CY79" i="1"/>
  <c r="CX79" i="1"/>
  <c r="CW79" i="1"/>
  <c r="CV79" i="1"/>
  <c r="CU79" i="1"/>
  <c r="CT79" i="1"/>
  <c r="CS79" i="1"/>
  <c r="CR79" i="1"/>
  <c r="CQ79" i="1"/>
  <c r="CP79" i="1"/>
  <c r="CN79" i="1"/>
  <c r="CM79" i="1"/>
  <c r="CL79" i="1"/>
  <c r="CK79" i="1"/>
  <c r="CJ79" i="1"/>
  <c r="CI79" i="1"/>
  <c r="CH79" i="1"/>
  <c r="CG79" i="1"/>
  <c r="CF79" i="1"/>
  <c r="CE79" i="1"/>
  <c r="CD79" i="1"/>
  <c r="CC79" i="1"/>
  <c r="CA79" i="1"/>
  <c r="BZ79" i="1"/>
  <c r="BY79" i="1"/>
  <c r="BX79" i="1"/>
  <c r="BW79" i="1"/>
  <c r="BV79" i="1"/>
  <c r="BU79" i="1"/>
  <c r="BT79" i="1"/>
  <c r="BS79" i="1"/>
  <c r="BR79" i="1"/>
  <c r="BQ79" i="1"/>
  <c r="BP79" i="1"/>
  <c r="BN79" i="1"/>
  <c r="BM79" i="1"/>
  <c r="BL79" i="1"/>
  <c r="BK79" i="1"/>
  <c r="BJ79" i="1"/>
  <c r="BI79" i="1"/>
  <c r="BH79" i="1"/>
  <c r="BG79" i="1"/>
  <c r="BF79" i="1"/>
  <c r="BE79" i="1"/>
  <c r="BD79" i="1"/>
  <c r="BC79" i="1"/>
  <c r="BA79" i="1"/>
  <c r="AZ79" i="1"/>
  <c r="AY79" i="1"/>
  <c r="AX79" i="1"/>
  <c r="AW79" i="1"/>
  <c r="AV79" i="1"/>
  <c r="AU79" i="1"/>
  <c r="AT79" i="1"/>
  <c r="AS79" i="1"/>
  <c r="AR79" i="1"/>
  <c r="AQ79" i="1"/>
  <c r="AP79" i="1"/>
  <c r="AN79" i="1"/>
  <c r="AM79" i="1"/>
  <c r="AL79" i="1"/>
  <c r="AK79" i="1"/>
  <c r="AJ79" i="1"/>
  <c r="AI79" i="1"/>
  <c r="AH79" i="1"/>
  <c r="AG79" i="1"/>
  <c r="AF79" i="1"/>
  <c r="AE79" i="1"/>
  <c r="AD79" i="1"/>
  <c r="AC79" i="1"/>
  <c r="AA79" i="1"/>
  <c r="Z79" i="1"/>
  <c r="Y79" i="1"/>
  <c r="X79" i="1"/>
  <c r="W79" i="1"/>
  <c r="V79" i="1"/>
  <c r="U79" i="1"/>
  <c r="T79" i="1"/>
  <c r="S79" i="1"/>
  <c r="R79" i="1"/>
  <c r="Q79" i="1"/>
  <c r="P79" i="1"/>
  <c r="N79" i="1"/>
  <c r="M79" i="1"/>
  <c r="L79" i="1"/>
  <c r="K79" i="1"/>
  <c r="J79" i="1"/>
  <c r="I79" i="1"/>
  <c r="H79" i="1"/>
  <c r="G79" i="1"/>
  <c r="F79" i="1"/>
  <c r="E79" i="1"/>
  <c r="D79" i="1"/>
  <c r="C79" i="1"/>
  <c r="FO78" i="1"/>
  <c r="F27" i="3" s="1" a="1"/>
  <c r="F27" i="3" s="1"/>
  <c r="FB78" i="1"/>
  <c r="EO78" i="1"/>
  <c r="EB78" i="1"/>
  <c r="DO78" i="1"/>
  <c r="DB78" i="1"/>
  <c r="CO78" i="1"/>
  <c r="CB78" i="1"/>
  <c r="BO78" i="1"/>
  <c r="BB78" i="1"/>
  <c r="AO78" i="1"/>
  <c r="AB78" i="1"/>
  <c r="O78" i="1"/>
  <c r="FO77" i="1"/>
  <c r="F26" i="3" s="1" a="1"/>
  <c r="F26" i="3" s="1"/>
  <c r="FB77" i="1"/>
  <c r="EO77" i="1"/>
  <c r="EB77" i="1"/>
  <c r="DO77" i="1"/>
  <c r="DB77" i="1"/>
  <c r="CO77" i="1"/>
  <c r="CB77" i="1"/>
  <c r="BO77" i="1"/>
  <c r="BB77" i="1"/>
  <c r="AO77" i="1"/>
  <c r="AB77" i="1"/>
  <c r="O77" i="1"/>
  <c r="FO76" i="1"/>
  <c r="F25" i="3" s="1" a="1"/>
  <c r="F25" i="3" s="1"/>
  <c r="FB76" i="1"/>
  <c r="EO76" i="1"/>
  <c r="EB76" i="1"/>
  <c r="DO76" i="1"/>
  <c r="DB76" i="1"/>
  <c r="CO76" i="1"/>
  <c r="CB76" i="1"/>
  <c r="BO76" i="1"/>
  <c r="BB76" i="1"/>
  <c r="AO76" i="1"/>
  <c r="AB76" i="1"/>
  <c r="O76" i="1"/>
  <c r="FO75" i="1"/>
  <c r="F24" i="3" s="1" a="1"/>
  <c r="F24" i="3" s="1"/>
  <c r="FB75" i="1"/>
  <c r="EO75" i="1"/>
  <c r="EB75" i="1"/>
  <c r="DO75" i="1"/>
  <c r="DB75" i="1"/>
  <c r="CO75" i="1"/>
  <c r="CB75" i="1"/>
  <c r="BO75" i="1"/>
  <c r="BB75" i="1"/>
  <c r="AO75" i="1"/>
  <c r="AB75" i="1"/>
  <c r="O75" i="1"/>
  <c r="FO74" i="1"/>
  <c r="F23" i="3" s="1" a="1"/>
  <c r="F23" i="3" s="1"/>
  <c r="FB74" i="1"/>
  <c r="EO74" i="1"/>
  <c r="EB74" i="1"/>
  <c r="DO74" i="1"/>
  <c r="DO79" i="1" s="1"/>
  <c r="DB74" i="1"/>
  <c r="CO74" i="1"/>
  <c r="CB74" i="1"/>
  <c r="BO74" i="1"/>
  <c r="BB74" i="1"/>
  <c r="AO74" i="1"/>
  <c r="AB74" i="1"/>
  <c r="O74" i="1"/>
  <c r="FO73" i="1"/>
  <c r="F22" i="3" s="1" a="1"/>
  <c r="F22" i="3" s="1"/>
  <c r="FB73" i="1"/>
  <c r="EO73" i="1"/>
  <c r="EB73" i="1"/>
  <c r="DO73" i="1"/>
  <c r="DB73" i="1"/>
  <c r="CO73" i="1"/>
  <c r="CO79" i="1" s="1"/>
  <c r="CB73" i="1"/>
  <c r="CB79" i="1" s="1"/>
  <c r="BO73" i="1"/>
  <c r="BB73" i="1"/>
  <c r="AO73" i="1"/>
  <c r="AB73" i="1"/>
  <c r="O73" i="1"/>
  <c r="FN67" i="1"/>
  <c r="FM67" i="1"/>
  <c r="FL67" i="1"/>
  <c r="FK67" i="1"/>
  <c r="FJ67" i="1"/>
  <c r="FI67" i="1"/>
  <c r="FH67" i="1"/>
  <c r="FG67" i="1"/>
  <c r="FF67" i="1"/>
  <c r="FE67" i="1"/>
  <c r="FD67" i="1"/>
  <c r="FC67" i="1"/>
  <c r="FA67" i="1"/>
  <c r="EZ67" i="1"/>
  <c r="EY67" i="1"/>
  <c r="EX67" i="1"/>
  <c r="EW67" i="1"/>
  <c r="EV67" i="1"/>
  <c r="EU67" i="1"/>
  <c r="ET67" i="1"/>
  <c r="ES67" i="1"/>
  <c r="ER67" i="1"/>
  <c r="EQ67" i="1"/>
  <c r="EP67" i="1"/>
  <c r="EN67" i="1"/>
  <c r="EM67" i="1"/>
  <c r="EL67" i="1"/>
  <c r="EK67" i="1"/>
  <c r="EJ67" i="1"/>
  <c r="EI67" i="1"/>
  <c r="EH67" i="1"/>
  <c r="EG67" i="1"/>
  <c r="EF67" i="1"/>
  <c r="EE67" i="1"/>
  <c r="ED67" i="1"/>
  <c r="EC67" i="1"/>
  <c r="EA67" i="1"/>
  <c r="DZ67" i="1"/>
  <c r="DY67" i="1"/>
  <c r="DX67" i="1"/>
  <c r="DW67" i="1"/>
  <c r="DV67" i="1"/>
  <c r="DU67" i="1"/>
  <c r="DT67" i="1"/>
  <c r="DS67" i="1"/>
  <c r="DR67" i="1"/>
  <c r="DQ67" i="1"/>
  <c r="DP67" i="1"/>
  <c r="DN67" i="1"/>
  <c r="DM67" i="1"/>
  <c r="DL67" i="1"/>
  <c r="DK67" i="1"/>
  <c r="DJ67" i="1"/>
  <c r="DI67" i="1"/>
  <c r="DH67" i="1"/>
  <c r="DG67" i="1"/>
  <c r="DF67" i="1"/>
  <c r="DE67" i="1"/>
  <c r="DD67" i="1"/>
  <c r="DC67" i="1"/>
  <c r="DA67" i="1"/>
  <c r="CZ67" i="1"/>
  <c r="CY67" i="1"/>
  <c r="CX67" i="1"/>
  <c r="CW67" i="1"/>
  <c r="CV67" i="1"/>
  <c r="CU67" i="1"/>
  <c r="CT67" i="1"/>
  <c r="CS67" i="1"/>
  <c r="CR67" i="1"/>
  <c r="CQ67" i="1"/>
  <c r="CP67" i="1"/>
  <c r="CN67" i="1"/>
  <c r="CM67" i="1"/>
  <c r="CL67" i="1"/>
  <c r="CK67" i="1"/>
  <c r="CJ67" i="1"/>
  <c r="CI67" i="1"/>
  <c r="CH67" i="1"/>
  <c r="CG67" i="1"/>
  <c r="CF67" i="1"/>
  <c r="CE67" i="1"/>
  <c r="CD67" i="1"/>
  <c r="CC67" i="1"/>
  <c r="CA67" i="1"/>
  <c r="BZ67" i="1"/>
  <c r="BY67" i="1"/>
  <c r="BX67" i="1"/>
  <c r="BW67" i="1"/>
  <c r="BV67" i="1"/>
  <c r="BU67" i="1"/>
  <c r="BT67" i="1"/>
  <c r="BS67" i="1"/>
  <c r="BR67" i="1"/>
  <c r="BQ67" i="1"/>
  <c r="BP67" i="1"/>
  <c r="BN67" i="1"/>
  <c r="BM67" i="1"/>
  <c r="BL67" i="1"/>
  <c r="BK67" i="1"/>
  <c r="BJ67" i="1"/>
  <c r="BI67" i="1"/>
  <c r="BH67" i="1"/>
  <c r="BG67" i="1"/>
  <c r="BF67" i="1"/>
  <c r="BE67" i="1"/>
  <c r="BD67" i="1"/>
  <c r="BC67" i="1"/>
  <c r="BA67" i="1"/>
  <c r="AZ67" i="1"/>
  <c r="AY67" i="1"/>
  <c r="AX67" i="1"/>
  <c r="AW67" i="1"/>
  <c r="AV67" i="1"/>
  <c r="AU67" i="1"/>
  <c r="AT67" i="1"/>
  <c r="AS67" i="1"/>
  <c r="AR67" i="1"/>
  <c r="AQ67" i="1"/>
  <c r="AP67" i="1"/>
  <c r="AN67" i="1"/>
  <c r="AM67" i="1"/>
  <c r="AL67" i="1"/>
  <c r="AK67" i="1"/>
  <c r="AJ67" i="1"/>
  <c r="AI67" i="1"/>
  <c r="AH67" i="1"/>
  <c r="AG67" i="1"/>
  <c r="AF67" i="1"/>
  <c r="AE67" i="1"/>
  <c r="AD67" i="1"/>
  <c r="AC67" i="1"/>
  <c r="AA67" i="1"/>
  <c r="Z67" i="1"/>
  <c r="Y67" i="1"/>
  <c r="X67" i="1"/>
  <c r="W67" i="1"/>
  <c r="V67" i="1"/>
  <c r="U67" i="1"/>
  <c r="T67" i="1"/>
  <c r="S67" i="1"/>
  <c r="R67" i="1"/>
  <c r="Q67" i="1"/>
  <c r="P67" i="1"/>
  <c r="N67" i="1"/>
  <c r="M67" i="1"/>
  <c r="L67" i="1"/>
  <c r="K67" i="1"/>
  <c r="J67" i="1"/>
  <c r="I67" i="1"/>
  <c r="H67" i="1"/>
  <c r="G67" i="1"/>
  <c r="F67" i="1"/>
  <c r="E67" i="1"/>
  <c r="D67" i="1"/>
  <c r="C67" i="1"/>
  <c r="FO66" i="1"/>
  <c r="E27" i="3" s="1" a="1"/>
  <c r="E27" i="3" s="1"/>
  <c r="FB66" i="1"/>
  <c r="EO66" i="1"/>
  <c r="EB66" i="1"/>
  <c r="DO66" i="1"/>
  <c r="DB66" i="1"/>
  <c r="CO66" i="1"/>
  <c r="CB66" i="1"/>
  <c r="BO66" i="1"/>
  <c r="BB66" i="1"/>
  <c r="AO66" i="1"/>
  <c r="AB66" i="1"/>
  <c r="O66" i="1"/>
  <c r="FO65" i="1"/>
  <c r="E26" i="3" s="1" a="1"/>
  <c r="E26" i="3" s="1"/>
  <c r="FB65" i="1"/>
  <c r="EO65" i="1"/>
  <c r="EB65" i="1"/>
  <c r="DO65" i="1"/>
  <c r="DB65" i="1"/>
  <c r="CO65" i="1"/>
  <c r="CB65" i="1"/>
  <c r="BO65" i="1"/>
  <c r="BB65" i="1"/>
  <c r="AO65" i="1"/>
  <c r="AB65" i="1"/>
  <c r="O65" i="1"/>
  <c r="FO64" i="1"/>
  <c r="E25" i="3" s="1" a="1"/>
  <c r="E25" i="3" s="1"/>
  <c r="FB64" i="1"/>
  <c r="EO64" i="1"/>
  <c r="EB64" i="1"/>
  <c r="DO64" i="1"/>
  <c r="DB64" i="1"/>
  <c r="CO64" i="1"/>
  <c r="CB64" i="1"/>
  <c r="BO64" i="1"/>
  <c r="BB64" i="1"/>
  <c r="AO64" i="1"/>
  <c r="AB64" i="1"/>
  <c r="O64" i="1"/>
  <c r="FO63" i="1"/>
  <c r="E24" i="3" s="1" a="1"/>
  <c r="E24" i="3" s="1"/>
  <c r="FB63" i="1"/>
  <c r="EO63" i="1"/>
  <c r="EB63" i="1"/>
  <c r="DO63" i="1"/>
  <c r="DB63" i="1"/>
  <c r="CO63" i="1"/>
  <c r="CB63" i="1"/>
  <c r="BO63" i="1"/>
  <c r="BB63" i="1"/>
  <c r="AO63" i="1"/>
  <c r="AB63" i="1"/>
  <c r="O63" i="1"/>
  <c r="FO62" i="1"/>
  <c r="E23" i="3" s="1" a="1"/>
  <c r="E23" i="3" s="1"/>
  <c r="FB62" i="1"/>
  <c r="EO62" i="1"/>
  <c r="EB62" i="1"/>
  <c r="DO62" i="1"/>
  <c r="DB62" i="1"/>
  <c r="CO62" i="1"/>
  <c r="CB62" i="1"/>
  <c r="BO62" i="1"/>
  <c r="BB62" i="1"/>
  <c r="AO62" i="1"/>
  <c r="AB62" i="1"/>
  <c r="O62" i="1"/>
  <c r="FO61" i="1"/>
  <c r="E22" i="3" s="1" a="1"/>
  <c r="E22" i="3" s="1"/>
  <c r="FB61" i="1"/>
  <c r="EO61" i="1"/>
  <c r="EB61" i="1"/>
  <c r="DO61" i="1"/>
  <c r="DB61" i="1"/>
  <c r="CO61" i="1"/>
  <c r="CB61" i="1"/>
  <c r="BO61" i="1"/>
  <c r="BB61" i="1"/>
  <c r="BB67" i="1" s="1"/>
  <c r="AO61" i="1"/>
  <c r="AO67" i="1" s="1"/>
  <c r="AB61" i="1"/>
  <c r="AB67" i="1" s="1"/>
  <c r="O61" i="1"/>
  <c r="FN55" i="1"/>
  <c r="FM55" i="1"/>
  <c r="FL55" i="1"/>
  <c r="FK55" i="1"/>
  <c r="FJ55" i="1"/>
  <c r="FI55" i="1"/>
  <c r="FH55" i="1"/>
  <c r="FG55" i="1"/>
  <c r="FF55" i="1"/>
  <c r="FE55" i="1"/>
  <c r="FD55" i="1"/>
  <c r="FC55" i="1"/>
  <c r="FA55" i="1"/>
  <c r="EZ55" i="1"/>
  <c r="EY55" i="1"/>
  <c r="EX55" i="1"/>
  <c r="EW55" i="1"/>
  <c r="EV55" i="1"/>
  <c r="EU55" i="1"/>
  <c r="ET55" i="1"/>
  <c r="ES55" i="1"/>
  <c r="ER55" i="1"/>
  <c r="EQ55" i="1"/>
  <c r="EP55" i="1"/>
  <c r="EN55" i="1"/>
  <c r="EM55" i="1"/>
  <c r="EL55" i="1"/>
  <c r="EK55" i="1"/>
  <c r="EJ55" i="1"/>
  <c r="EI55" i="1"/>
  <c r="EH55" i="1"/>
  <c r="EG55" i="1"/>
  <c r="EF55" i="1"/>
  <c r="EE55" i="1"/>
  <c r="ED55" i="1"/>
  <c r="EC55" i="1"/>
  <c r="EA55" i="1"/>
  <c r="DZ55" i="1"/>
  <c r="DY55" i="1"/>
  <c r="DX55" i="1"/>
  <c r="DW55" i="1"/>
  <c r="DV55" i="1"/>
  <c r="DU55" i="1"/>
  <c r="DT55" i="1"/>
  <c r="DS55" i="1"/>
  <c r="DR55" i="1"/>
  <c r="DQ55" i="1"/>
  <c r="DP55" i="1"/>
  <c r="DN55" i="1"/>
  <c r="DM55" i="1"/>
  <c r="DL55" i="1"/>
  <c r="DK55" i="1"/>
  <c r="DJ55" i="1"/>
  <c r="DI55" i="1"/>
  <c r="DH55" i="1"/>
  <c r="DG55" i="1"/>
  <c r="DF55" i="1"/>
  <c r="DE55" i="1"/>
  <c r="DD55" i="1"/>
  <c r="DC55" i="1"/>
  <c r="DA55" i="1"/>
  <c r="CZ55" i="1"/>
  <c r="CY55" i="1"/>
  <c r="CX55" i="1"/>
  <c r="CW55" i="1"/>
  <c r="CV55" i="1"/>
  <c r="CU55" i="1"/>
  <c r="CT55" i="1"/>
  <c r="CS55" i="1"/>
  <c r="CR55" i="1"/>
  <c r="CQ55" i="1"/>
  <c r="CP55" i="1"/>
  <c r="CN55" i="1"/>
  <c r="CM55" i="1"/>
  <c r="CL55" i="1"/>
  <c r="CK55" i="1"/>
  <c r="CJ55" i="1"/>
  <c r="CI55" i="1"/>
  <c r="CH55" i="1"/>
  <c r="CG55" i="1"/>
  <c r="CF55" i="1"/>
  <c r="CE55" i="1"/>
  <c r="CD55" i="1"/>
  <c r="CC55" i="1"/>
  <c r="CA55" i="1"/>
  <c r="BZ55" i="1"/>
  <c r="BY55" i="1"/>
  <c r="BX55" i="1"/>
  <c r="BW55" i="1"/>
  <c r="BV55" i="1"/>
  <c r="BU55" i="1"/>
  <c r="BT55" i="1"/>
  <c r="BS55" i="1"/>
  <c r="BR55" i="1"/>
  <c r="BQ55" i="1"/>
  <c r="BP55" i="1"/>
  <c r="BN55" i="1"/>
  <c r="BM55" i="1"/>
  <c r="BL55" i="1"/>
  <c r="BK55" i="1"/>
  <c r="BJ55" i="1"/>
  <c r="BI55" i="1"/>
  <c r="BH55" i="1"/>
  <c r="BG55" i="1"/>
  <c r="BF55" i="1"/>
  <c r="BE55" i="1"/>
  <c r="BD55" i="1"/>
  <c r="BC55" i="1"/>
  <c r="BA55" i="1"/>
  <c r="AZ55" i="1"/>
  <c r="AY55" i="1"/>
  <c r="AX55" i="1"/>
  <c r="AW55" i="1"/>
  <c r="AV55" i="1"/>
  <c r="AU55" i="1"/>
  <c r="AT55" i="1"/>
  <c r="AS55" i="1"/>
  <c r="AR55" i="1"/>
  <c r="AQ55" i="1"/>
  <c r="AP55" i="1"/>
  <c r="AN55" i="1"/>
  <c r="AM55" i="1"/>
  <c r="AL55" i="1"/>
  <c r="AK55" i="1"/>
  <c r="AJ55" i="1"/>
  <c r="AI55" i="1"/>
  <c r="AH55" i="1"/>
  <c r="AG55" i="1"/>
  <c r="AF55" i="1"/>
  <c r="AE55" i="1"/>
  <c r="AD55" i="1"/>
  <c r="AC55" i="1"/>
  <c r="AA55" i="1"/>
  <c r="Z55" i="1"/>
  <c r="Y55" i="1"/>
  <c r="X55" i="1"/>
  <c r="W55" i="1"/>
  <c r="V55" i="1"/>
  <c r="U55" i="1"/>
  <c r="T55" i="1"/>
  <c r="S55" i="1"/>
  <c r="R55" i="1"/>
  <c r="Q55" i="1"/>
  <c r="P55" i="1"/>
  <c r="N55" i="1"/>
  <c r="M55" i="1"/>
  <c r="L55" i="1"/>
  <c r="K55" i="1"/>
  <c r="J55" i="1"/>
  <c r="I55" i="1"/>
  <c r="H55" i="1"/>
  <c r="G55" i="1"/>
  <c r="F55" i="1"/>
  <c r="E55" i="1"/>
  <c r="D55" i="1"/>
  <c r="C55" i="1"/>
  <c r="FO54" i="1"/>
  <c r="FB54" i="1"/>
  <c r="EO54" i="1"/>
  <c r="EB54" i="1"/>
  <c r="DO54" i="1"/>
  <c r="DB54" i="1"/>
  <c r="CO54" i="1"/>
  <c r="CB54" i="1"/>
  <c r="BO54" i="1"/>
  <c r="BB54" i="1"/>
  <c r="AO54" i="1"/>
  <c r="AB54" i="1"/>
  <c r="O54" i="1"/>
  <c r="FO53" i="1"/>
  <c r="FB53" i="1"/>
  <c r="EO53" i="1"/>
  <c r="EB53" i="1"/>
  <c r="DO53" i="1"/>
  <c r="DB53" i="1"/>
  <c r="CO53" i="1"/>
  <c r="CB53" i="1"/>
  <c r="BO53" i="1"/>
  <c r="BB53" i="1"/>
  <c r="AO53" i="1"/>
  <c r="AB53" i="1"/>
  <c r="O53" i="1"/>
  <c r="FO52" i="1"/>
  <c r="FB52" i="1"/>
  <c r="EO52" i="1"/>
  <c r="EB52" i="1"/>
  <c r="DO52" i="1"/>
  <c r="DB52" i="1"/>
  <c r="CO52" i="1"/>
  <c r="CB52" i="1"/>
  <c r="BO52" i="1"/>
  <c r="BB52" i="1"/>
  <c r="AO52" i="1"/>
  <c r="AB52" i="1"/>
  <c r="O52" i="1"/>
  <c r="FO51" i="1"/>
  <c r="FB51" i="1"/>
  <c r="EO51" i="1"/>
  <c r="EB51" i="1"/>
  <c r="DO51" i="1"/>
  <c r="DB51" i="1"/>
  <c r="CO51" i="1"/>
  <c r="CB51" i="1"/>
  <c r="BO51" i="1"/>
  <c r="BB51" i="1"/>
  <c r="AO51" i="1"/>
  <c r="AB51" i="1"/>
  <c r="O51" i="1"/>
  <c r="FO50" i="1"/>
  <c r="FB50" i="1"/>
  <c r="EO50" i="1"/>
  <c r="EB50" i="1"/>
  <c r="DO50" i="1"/>
  <c r="DB50" i="1"/>
  <c r="CO50" i="1"/>
  <c r="CB50" i="1"/>
  <c r="BO50" i="1"/>
  <c r="BB50" i="1"/>
  <c r="AO50" i="1"/>
  <c r="AB50" i="1"/>
  <c r="O50" i="1"/>
  <c r="FO49" i="1"/>
  <c r="FB49" i="1"/>
  <c r="EO49" i="1"/>
  <c r="EB49" i="1"/>
  <c r="EB55" i="1" s="1"/>
  <c r="DO49" i="1"/>
  <c r="DO55" i="1" s="1"/>
  <c r="DB49" i="1"/>
  <c r="CO49" i="1"/>
  <c r="CB49" i="1"/>
  <c r="BO49" i="1"/>
  <c r="BB49" i="1"/>
  <c r="AO49" i="1"/>
  <c r="AB49" i="1"/>
  <c r="O49" i="1"/>
  <c r="FN40" i="1"/>
  <c r="FM40" i="1"/>
  <c r="FL40" i="1"/>
  <c r="FK40" i="1"/>
  <c r="FJ40" i="1"/>
  <c r="FI40" i="1"/>
  <c r="I35" i="3" s="1" a="1"/>
  <c r="I35" i="3" s="1"/>
  <c r="FH40" i="1"/>
  <c r="H35" i="3" s="1" a="1"/>
  <c r="H35" i="3" s="1"/>
  <c r="FG40" i="1"/>
  <c r="G35" i="3" s="1" a="1"/>
  <c r="G35" i="3" s="1"/>
  <c r="FF40" i="1"/>
  <c r="F35" i="3" s="1" a="1"/>
  <c r="F35" i="3" s="1"/>
  <c r="FE40" i="1"/>
  <c r="E35" i="3" s="1" a="1"/>
  <c r="E35" i="3" s="1"/>
  <c r="FD40" i="1"/>
  <c r="FC40" i="1"/>
  <c r="FA40" i="1"/>
  <c r="EZ40" i="1"/>
  <c r="EY40" i="1"/>
  <c r="EX40" i="1"/>
  <c r="EW40" i="1"/>
  <c r="EV40" i="1"/>
  <c r="EU40" i="1"/>
  <c r="ET40" i="1"/>
  <c r="ES40" i="1"/>
  <c r="ER40" i="1"/>
  <c r="EQ40" i="1"/>
  <c r="EP40" i="1"/>
  <c r="EN40" i="1"/>
  <c r="EM40" i="1"/>
  <c r="EL40" i="1"/>
  <c r="EK40" i="1"/>
  <c r="EJ40" i="1"/>
  <c r="EI40" i="1"/>
  <c r="EH40" i="1"/>
  <c r="EG40" i="1"/>
  <c r="EF40" i="1"/>
  <c r="EE40" i="1"/>
  <c r="ED40" i="1"/>
  <c r="EC40" i="1"/>
  <c r="EA40" i="1"/>
  <c r="DZ40" i="1"/>
  <c r="DY40" i="1"/>
  <c r="DX40" i="1"/>
  <c r="DW40" i="1"/>
  <c r="DV40" i="1"/>
  <c r="DU40" i="1"/>
  <c r="DT40" i="1"/>
  <c r="DS40" i="1"/>
  <c r="DR40" i="1"/>
  <c r="DQ40" i="1"/>
  <c r="DP40" i="1"/>
  <c r="DN40" i="1"/>
  <c r="DM40" i="1"/>
  <c r="DL40" i="1"/>
  <c r="DK40" i="1"/>
  <c r="DJ40" i="1"/>
  <c r="DI40" i="1"/>
  <c r="DH40" i="1"/>
  <c r="DG40" i="1"/>
  <c r="DF40" i="1"/>
  <c r="DE40" i="1"/>
  <c r="DD40" i="1"/>
  <c r="DC40" i="1"/>
  <c r="DA40" i="1"/>
  <c r="CZ40" i="1"/>
  <c r="CY40" i="1"/>
  <c r="CX40" i="1"/>
  <c r="CW40" i="1"/>
  <c r="CV40" i="1"/>
  <c r="CU40" i="1"/>
  <c r="CT40" i="1"/>
  <c r="CS40" i="1"/>
  <c r="CR40" i="1"/>
  <c r="CQ40" i="1"/>
  <c r="CP40" i="1"/>
  <c r="CN40" i="1"/>
  <c r="CM40" i="1"/>
  <c r="CL40" i="1"/>
  <c r="CK40" i="1"/>
  <c r="CJ40" i="1"/>
  <c r="CI40" i="1"/>
  <c r="CH40" i="1"/>
  <c r="CG40" i="1"/>
  <c r="CF40" i="1"/>
  <c r="CE40" i="1"/>
  <c r="CD40" i="1"/>
  <c r="CC40" i="1"/>
  <c r="CA40" i="1"/>
  <c r="BZ40" i="1"/>
  <c r="BY40" i="1"/>
  <c r="BX40" i="1"/>
  <c r="BW40" i="1"/>
  <c r="BV40" i="1"/>
  <c r="BU40" i="1"/>
  <c r="BT40" i="1"/>
  <c r="BS40" i="1"/>
  <c r="BR40" i="1"/>
  <c r="BQ40" i="1"/>
  <c r="BP40" i="1"/>
  <c r="BN40" i="1"/>
  <c r="BM40" i="1"/>
  <c r="BL40" i="1"/>
  <c r="BK40" i="1"/>
  <c r="BJ40" i="1"/>
  <c r="BI40" i="1"/>
  <c r="BH40" i="1"/>
  <c r="BG40" i="1"/>
  <c r="BF40" i="1"/>
  <c r="BE40" i="1"/>
  <c r="BD40" i="1"/>
  <c r="BC40" i="1"/>
  <c r="BA40" i="1"/>
  <c r="AZ40" i="1"/>
  <c r="AY40" i="1"/>
  <c r="AX40" i="1"/>
  <c r="AW40" i="1"/>
  <c r="AV40" i="1"/>
  <c r="AU40" i="1"/>
  <c r="AT40" i="1"/>
  <c r="AS40" i="1"/>
  <c r="AR40" i="1"/>
  <c r="AQ40" i="1"/>
  <c r="AP40" i="1"/>
  <c r="AN40" i="1"/>
  <c r="AM40" i="1"/>
  <c r="AL40" i="1"/>
  <c r="AK40" i="1"/>
  <c r="AJ40" i="1"/>
  <c r="AI40" i="1"/>
  <c r="AH40" i="1"/>
  <c r="AG40" i="1"/>
  <c r="AF40" i="1"/>
  <c r="AE40" i="1"/>
  <c r="AD40" i="1"/>
  <c r="AC40" i="1"/>
  <c r="AA40" i="1"/>
  <c r="Z40" i="1"/>
  <c r="Y40" i="1"/>
  <c r="X40" i="1"/>
  <c r="W40" i="1"/>
  <c r="V40" i="1"/>
  <c r="U40" i="1"/>
  <c r="T40" i="1"/>
  <c r="S40" i="1"/>
  <c r="R40" i="1"/>
  <c r="Q40" i="1"/>
  <c r="P40" i="1"/>
  <c r="N40" i="1"/>
  <c r="M40" i="1"/>
  <c r="L40" i="1"/>
  <c r="K40" i="1"/>
  <c r="J40" i="1"/>
  <c r="I40" i="1"/>
  <c r="H40" i="1"/>
  <c r="G40" i="1"/>
  <c r="F40" i="1"/>
  <c r="E40" i="1"/>
  <c r="D40" i="1"/>
  <c r="C40" i="1"/>
  <c r="FO39" i="1"/>
  <c r="D27" i="3" s="1" a="1"/>
  <c r="D27" i="3" s="1"/>
  <c r="FB39" i="1"/>
  <c r="EO39" i="1"/>
  <c r="EB39" i="1"/>
  <c r="DO39" i="1"/>
  <c r="DB39" i="1"/>
  <c r="CO39" i="1"/>
  <c r="CB39" i="1"/>
  <c r="BO39" i="1"/>
  <c r="BB39" i="1"/>
  <c r="AO39" i="1"/>
  <c r="AB39" i="1"/>
  <c r="O39" i="1"/>
  <c r="FO38" i="1"/>
  <c r="D26" i="3" s="1" a="1"/>
  <c r="D26" i="3" s="1"/>
  <c r="FB38" i="1"/>
  <c r="EO38" i="1"/>
  <c r="EB38" i="1"/>
  <c r="DO38" i="1"/>
  <c r="DB38" i="1"/>
  <c r="CO38" i="1"/>
  <c r="CB38" i="1"/>
  <c r="BO38" i="1"/>
  <c r="BB38" i="1"/>
  <c r="AO38" i="1"/>
  <c r="AB38" i="1"/>
  <c r="O38" i="1"/>
  <c r="FO37" i="1"/>
  <c r="D25" i="3" s="1" a="1"/>
  <c r="D25" i="3" s="1"/>
  <c r="FB37" i="1"/>
  <c r="EO37" i="1"/>
  <c r="EB37" i="1"/>
  <c r="DO37" i="1"/>
  <c r="DB37" i="1"/>
  <c r="CO37" i="1"/>
  <c r="CB37" i="1"/>
  <c r="BO37" i="1"/>
  <c r="BB37" i="1"/>
  <c r="AO37" i="1"/>
  <c r="AB37" i="1"/>
  <c r="O37" i="1"/>
  <c r="FO36" i="1"/>
  <c r="D24" i="3" s="1" a="1"/>
  <c r="D24" i="3" s="1"/>
  <c r="FB36" i="1"/>
  <c r="EO36" i="1"/>
  <c r="EB36" i="1"/>
  <c r="DO36" i="1"/>
  <c r="DB36" i="1"/>
  <c r="CO36" i="1"/>
  <c r="CB36" i="1"/>
  <c r="BO36" i="1"/>
  <c r="BB36" i="1"/>
  <c r="AO36" i="1"/>
  <c r="AB36" i="1"/>
  <c r="O36" i="1"/>
  <c r="FO35" i="1"/>
  <c r="D23" i="3" s="1" a="1"/>
  <c r="D23" i="3" s="1"/>
  <c r="FB35" i="1"/>
  <c r="EO35" i="1"/>
  <c r="EB35" i="1"/>
  <c r="DO35" i="1"/>
  <c r="DB35" i="1"/>
  <c r="CO35" i="1"/>
  <c r="CB35" i="1"/>
  <c r="BO35" i="1"/>
  <c r="BB35" i="1"/>
  <c r="AO35" i="1"/>
  <c r="AB35" i="1"/>
  <c r="O35" i="1"/>
  <c r="FO34" i="1"/>
  <c r="D22" i="3" s="1" a="1"/>
  <c r="D22" i="3" s="1"/>
  <c r="FB34" i="1"/>
  <c r="EO34" i="1"/>
  <c r="EB34" i="1"/>
  <c r="DO34" i="1"/>
  <c r="DB34" i="1"/>
  <c r="CO34" i="1"/>
  <c r="CB34" i="1"/>
  <c r="BO34" i="1"/>
  <c r="BO40" i="1" s="1"/>
  <c r="BB34" i="1"/>
  <c r="BB40" i="1" s="1"/>
  <c r="AO34" i="1"/>
  <c r="AB34" i="1"/>
  <c r="O34" i="1"/>
  <c r="FN28" i="1"/>
  <c r="N34" i="3" s="1" a="1"/>
  <c r="N34" i="3" s="1"/>
  <c r="N36" i="3" s="1"/>
  <c r="FM28" i="1"/>
  <c r="M34" i="3" s="1" a="1"/>
  <c r="M34" i="3" s="1"/>
  <c r="M36" i="3" s="1"/>
  <c r="FL28" i="1"/>
  <c r="L34" i="3" s="1" a="1"/>
  <c r="L34" i="3" s="1"/>
  <c r="L36" i="3" s="1"/>
  <c r="FK28" i="1"/>
  <c r="FJ28" i="1"/>
  <c r="FI28" i="1"/>
  <c r="FH28" i="1"/>
  <c r="FG28" i="1"/>
  <c r="FF28" i="1"/>
  <c r="FE28" i="1"/>
  <c r="FD28" i="1"/>
  <c r="FC28" i="1"/>
  <c r="C34" i="3" s="1" a="1"/>
  <c r="C34" i="3" s="1"/>
  <c r="FA28" i="1"/>
  <c r="EZ28" i="1"/>
  <c r="EY28" i="1"/>
  <c r="EX28" i="1"/>
  <c r="EW28" i="1"/>
  <c r="EV28" i="1"/>
  <c r="EU28" i="1"/>
  <c r="ET28" i="1"/>
  <c r="ES28" i="1"/>
  <c r="ER28" i="1"/>
  <c r="EQ28" i="1"/>
  <c r="EP28" i="1"/>
  <c r="EN28" i="1"/>
  <c r="EM28" i="1"/>
  <c r="EL28" i="1"/>
  <c r="EK28" i="1"/>
  <c r="EJ28" i="1"/>
  <c r="EI28" i="1"/>
  <c r="EH28" i="1"/>
  <c r="EG28" i="1"/>
  <c r="EF28" i="1"/>
  <c r="EE28" i="1"/>
  <c r="ED28" i="1"/>
  <c r="EC28" i="1"/>
  <c r="EA28" i="1"/>
  <c r="DZ28" i="1"/>
  <c r="DY28" i="1"/>
  <c r="DX28" i="1"/>
  <c r="DW28" i="1"/>
  <c r="DV28" i="1"/>
  <c r="DU28" i="1"/>
  <c r="DT28" i="1"/>
  <c r="DS28" i="1"/>
  <c r="DR28" i="1"/>
  <c r="DQ28" i="1"/>
  <c r="DP28" i="1"/>
  <c r="DN28" i="1"/>
  <c r="DM28" i="1"/>
  <c r="DL28" i="1"/>
  <c r="DK28" i="1"/>
  <c r="DJ28" i="1"/>
  <c r="DI28" i="1"/>
  <c r="DH28" i="1"/>
  <c r="DG28" i="1"/>
  <c r="DF28" i="1"/>
  <c r="DE28" i="1"/>
  <c r="DD28" i="1"/>
  <c r="DC28" i="1"/>
  <c r="CZ28" i="1"/>
  <c r="CY28" i="1"/>
  <c r="CX28" i="1"/>
  <c r="CW28" i="1"/>
  <c r="CV28" i="1"/>
  <c r="CU28" i="1"/>
  <c r="CT28" i="1"/>
  <c r="CS28" i="1"/>
  <c r="CR28" i="1"/>
  <c r="CQ28" i="1"/>
  <c r="CP28" i="1"/>
  <c r="CN28" i="1"/>
  <c r="CM28" i="1"/>
  <c r="CL28" i="1"/>
  <c r="CK28" i="1"/>
  <c r="CJ28" i="1"/>
  <c r="CI28" i="1"/>
  <c r="CH28" i="1"/>
  <c r="CG28" i="1"/>
  <c r="CF28" i="1"/>
  <c r="CE28" i="1"/>
  <c r="CD28" i="1"/>
  <c r="CC28" i="1"/>
  <c r="CA28" i="1"/>
  <c r="BZ28" i="1"/>
  <c r="BY28" i="1"/>
  <c r="BX28" i="1"/>
  <c r="BW28" i="1"/>
  <c r="BV28" i="1"/>
  <c r="BU28" i="1"/>
  <c r="BT28" i="1"/>
  <c r="BS28" i="1"/>
  <c r="BR28" i="1"/>
  <c r="BQ28" i="1"/>
  <c r="BP28" i="1"/>
  <c r="BN28" i="1"/>
  <c r="BM28" i="1"/>
  <c r="BL28" i="1"/>
  <c r="BK28" i="1"/>
  <c r="BJ28" i="1"/>
  <c r="BI28" i="1"/>
  <c r="BH28" i="1"/>
  <c r="BG28" i="1"/>
  <c r="BF28" i="1"/>
  <c r="BE28" i="1"/>
  <c r="BD28" i="1"/>
  <c r="BC28" i="1"/>
  <c r="BA28" i="1"/>
  <c r="AZ28" i="1"/>
  <c r="AY28" i="1"/>
  <c r="AX28" i="1"/>
  <c r="AW28" i="1"/>
  <c r="AV28" i="1"/>
  <c r="AU28" i="1"/>
  <c r="AT28" i="1"/>
  <c r="AS28" i="1"/>
  <c r="AR28" i="1"/>
  <c r="AQ28" i="1"/>
  <c r="AP28" i="1"/>
  <c r="AN28" i="1"/>
  <c r="AM28" i="1"/>
  <c r="AL28" i="1"/>
  <c r="AK28" i="1"/>
  <c r="AJ28" i="1"/>
  <c r="AI28" i="1"/>
  <c r="AH28" i="1"/>
  <c r="AG28" i="1"/>
  <c r="AF28" i="1"/>
  <c r="AE28" i="1"/>
  <c r="AD28" i="1"/>
  <c r="AC28" i="1"/>
  <c r="AA28" i="1"/>
  <c r="Z28" i="1"/>
  <c r="Y28" i="1"/>
  <c r="X28" i="1"/>
  <c r="W28" i="1"/>
  <c r="V28" i="1"/>
  <c r="U28" i="1"/>
  <c r="T28" i="1"/>
  <c r="S28" i="1"/>
  <c r="R28" i="1"/>
  <c r="Q28" i="1"/>
  <c r="P28" i="1"/>
  <c r="N28" i="1"/>
  <c r="M28" i="1"/>
  <c r="L28" i="1"/>
  <c r="K28" i="1"/>
  <c r="J28" i="1"/>
  <c r="I28" i="1"/>
  <c r="H28" i="1"/>
  <c r="G28" i="1"/>
  <c r="F28" i="1"/>
  <c r="E28" i="1"/>
  <c r="D28" i="1"/>
  <c r="C28" i="1"/>
  <c r="FO27" i="1"/>
  <c r="C27" i="3" s="1" a="1"/>
  <c r="C27" i="3" s="1"/>
  <c r="I27" i="3" s="1"/>
  <c r="FB27" i="1"/>
  <c r="EO27" i="1"/>
  <c r="EB27" i="1"/>
  <c r="DO27" i="1"/>
  <c r="DA27" i="1"/>
  <c r="DA26" i="2" s="1"/>
  <c r="DB26" i="2" s="1"/>
  <c r="CO27" i="1"/>
  <c r="CB27" i="1"/>
  <c r="BO27" i="1"/>
  <c r="BB27" i="1"/>
  <c r="AO27" i="1"/>
  <c r="AB27" i="1"/>
  <c r="O27" i="1"/>
  <c r="FO26" i="1"/>
  <c r="C26" i="3" s="1" a="1"/>
  <c r="C26" i="3" s="1"/>
  <c r="I26" i="3" s="1"/>
  <c r="FB26" i="1"/>
  <c r="EO26" i="1"/>
  <c r="EB26" i="1"/>
  <c r="DO26" i="1"/>
  <c r="DA26" i="1"/>
  <c r="DA25" i="2" s="1"/>
  <c r="DB25" i="2" s="1"/>
  <c r="CO26" i="1"/>
  <c r="CB26" i="1"/>
  <c r="BO26" i="1"/>
  <c r="BB26" i="1"/>
  <c r="AO26" i="1"/>
  <c r="AB26" i="1"/>
  <c r="O26" i="1"/>
  <c r="FO25" i="1"/>
  <c r="C25" i="3" s="1" a="1"/>
  <c r="C25" i="3" s="1"/>
  <c r="I25" i="3" s="1"/>
  <c r="FB25" i="1"/>
  <c r="EO25" i="1"/>
  <c r="EB25" i="1"/>
  <c r="DO25" i="1"/>
  <c r="DA25" i="1"/>
  <c r="DA24" i="2" s="1"/>
  <c r="DB24" i="2" s="1"/>
  <c r="CO25" i="1"/>
  <c r="CB25" i="1"/>
  <c r="BO25" i="1"/>
  <c r="BB25" i="1"/>
  <c r="AO25" i="1"/>
  <c r="AB25" i="1"/>
  <c r="O25" i="1"/>
  <c r="FO24" i="1"/>
  <c r="C24" i="3" s="1" a="1"/>
  <c r="C24" i="3" s="1"/>
  <c r="FB24" i="1"/>
  <c r="EO24" i="1"/>
  <c r="EB24" i="1"/>
  <c r="DO24" i="1"/>
  <c r="DA24" i="1"/>
  <c r="DA23" i="2" s="1"/>
  <c r="DB23" i="2" s="1"/>
  <c r="CO24" i="1"/>
  <c r="CB24" i="1"/>
  <c r="BO24" i="1"/>
  <c r="BB24" i="1"/>
  <c r="AO24" i="1"/>
  <c r="AB24" i="1"/>
  <c r="O24" i="1"/>
  <c r="FO23" i="1"/>
  <c r="C23" i="3" s="1" a="1"/>
  <c r="C23" i="3" s="1"/>
  <c r="FB23" i="1"/>
  <c r="EO23" i="1"/>
  <c r="EB23" i="1"/>
  <c r="DO23" i="1"/>
  <c r="DA23" i="1"/>
  <c r="DA22" i="2" s="1"/>
  <c r="DB22" i="2" s="1"/>
  <c r="CO23" i="1"/>
  <c r="CB23" i="1"/>
  <c r="BO23" i="1"/>
  <c r="BB23" i="1"/>
  <c r="AO23" i="1"/>
  <c r="AB23" i="1"/>
  <c r="O23" i="1"/>
  <c r="FO22" i="1"/>
  <c r="C22" i="3" s="1" a="1"/>
  <c r="C22" i="3" s="1"/>
  <c r="FB22" i="1"/>
  <c r="FB28" i="1" s="1"/>
  <c r="EO22" i="1"/>
  <c r="EO28" i="1" s="1"/>
  <c r="EB22" i="1"/>
  <c r="DO22" i="1"/>
  <c r="DA22" i="1"/>
  <c r="DA21" i="2" s="1"/>
  <c r="CO22" i="1"/>
  <c r="CO28" i="1" s="1"/>
  <c r="CB22" i="1"/>
  <c r="BO22" i="1"/>
  <c r="BB22" i="1"/>
  <c r="AO22" i="1"/>
  <c r="AB22" i="1"/>
  <c r="O22" i="1"/>
  <c r="FN16" i="1"/>
  <c r="FM16" i="1"/>
  <c r="FL16" i="1"/>
  <c r="FK16" i="1"/>
  <c r="K33" i="3" s="1" a="1"/>
  <c r="K33" i="3" s="1"/>
  <c r="FJ16" i="1"/>
  <c r="J33" i="3" s="1" a="1"/>
  <c r="J33" i="3" s="1"/>
  <c r="FI16" i="1"/>
  <c r="I33" i="3" s="1" a="1"/>
  <c r="I33" i="3" s="1"/>
  <c r="FH16" i="1"/>
  <c r="H33" i="3" s="1" a="1"/>
  <c r="H33" i="3" s="1"/>
  <c r="FG16" i="1"/>
  <c r="G33" i="3" s="1" a="1"/>
  <c r="G33" i="3" s="1"/>
  <c r="FF16" i="1"/>
  <c r="F33" i="3" s="1" a="1"/>
  <c r="F33" i="3" s="1"/>
  <c r="FE16" i="1"/>
  <c r="FD16" i="1"/>
  <c r="D33" i="3" s="1" a="1"/>
  <c r="D33" i="3" s="1"/>
  <c r="FC16" i="1"/>
  <c r="C33" i="3" s="1" a="1"/>
  <c r="C33" i="3" s="1"/>
  <c r="FA16" i="1"/>
  <c r="EZ16" i="1"/>
  <c r="EY16" i="1"/>
  <c r="EX16" i="1"/>
  <c r="EW16" i="1"/>
  <c r="EV16" i="1"/>
  <c r="EU16" i="1"/>
  <c r="ET16" i="1"/>
  <c r="ES16" i="1"/>
  <c r="ER16" i="1"/>
  <c r="EQ16" i="1"/>
  <c r="EP16" i="1"/>
  <c r="EN16" i="1"/>
  <c r="EM16" i="1"/>
  <c r="EL16" i="1"/>
  <c r="EK16" i="1"/>
  <c r="EJ16" i="1"/>
  <c r="EI16" i="1"/>
  <c r="EH16" i="1"/>
  <c r="EG16" i="1"/>
  <c r="EF16" i="1"/>
  <c r="EE16" i="1"/>
  <c r="ED16" i="1"/>
  <c r="EC16" i="1"/>
  <c r="EA16" i="1"/>
  <c r="DZ16" i="1"/>
  <c r="DY16" i="1"/>
  <c r="DX16" i="1"/>
  <c r="DW16" i="1"/>
  <c r="DV16" i="1"/>
  <c r="DU16" i="1"/>
  <c r="DT16" i="1"/>
  <c r="DS16" i="1"/>
  <c r="DR16" i="1"/>
  <c r="DQ16" i="1"/>
  <c r="DP16" i="1"/>
  <c r="CN16" i="1"/>
  <c r="CM16" i="1"/>
  <c r="CL16" i="1"/>
  <c r="CK16" i="1"/>
  <c r="CJ16" i="1"/>
  <c r="CI16" i="1"/>
  <c r="CH16" i="1"/>
  <c r="CG16" i="1"/>
  <c r="CF16" i="1"/>
  <c r="CE16" i="1"/>
  <c r="CD16" i="1"/>
  <c r="CC16" i="1"/>
  <c r="CA16" i="1"/>
  <c r="BZ16" i="1"/>
  <c r="BY16" i="1"/>
  <c r="BX16" i="1"/>
  <c r="BW16" i="1"/>
  <c r="BV16" i="1"/>
  <c r="BU16" i="1"/>
  <c r="BT16" i="1"/>
  <c r="BS16" i="1"/>
  <c r="BR16" i="1"/>
  <c r="BQ16" i="1"/>
  <c r="BP16" i="1"/>
  <c r="BN16" i="1"/>
  <c r="BM16" i="1"/>
  <c r="BL16" i="1"/>
  <c r="BK16" i="1"/>
  <c r="BJ16" i="1"/>
  <c r="BI16" i="1"/>
  <c r="BH16" i="1"/>
  <c r="BG16" i="1"/>
  <c r="BF16" i="1"/>
  <c r="BE16" i="1"/>
  <c r="BD16" i="1"/>
  <c r="BC16" i="1"/>
  <c r="BA16" i="1"/>
  <c r="AZ16" i="1"/>
  <c r="AY16" i="1"/>
  <c r="AX16" i="1"/>
  <c r="AW16" i="1"/>
  <c r="AV16" i="1"/>
  <c r="AU16" i="1"/>
  <c r="AT16" i="1"/>
  <c r="AS16" i="1"/>
  <c r="AR16" i="1"/>
  <c r="AQ16" i="1"/>
  <c r="AP16" i="1"/>
  <c r="AN16" i="1"/>
  <c r="AM16" i="1"/>
  <c r="AL16" i="1"/>
  <c r="AK16" i="1"/>
  <c r="AJ16" i="1"/>
  <c r="AI16" i="1"/>
  <c r="AH16" i="1"/>
  <c r="AG16" i="1"/>
  <c r="AF16" i="1"/>
  <c r="AE16" i="1"/>
  <c r="AD16" i="1"/>
  <c r="AC16" i="1"/>
  <c r="AA16" i="1"/>
  <c r="Z16" i="1"/>
  <c r="Y16" i="1"/>
  <c r="N5" i="6" s="1"/>
  <c r="X16" i="1"/>
  <c r="M5" i="6" s="1"/>
  <c r="W16" i="1"/>
  <c r="L5" i="6" s="1"/>
  <c r="V16" i="1"/>
  <c r="K5" i="6" s="1"/>
  <c r="U16" i="1"/>
  <c r="J5" i="6" s="1"/>
  <c r="T16" i="1"/>
  <c r="S16" i="1"/>
  <c r="R16" i="1"/>
  <c r="G5" i="6" s="1"/>
  <c r="Q16" i="1"/>
  <c r="F5" i="6" s="1"/>
  <c r="P16" i="1"/>
  <c r="E5" i="6" s="1"/>
  <c r="N16" i="1"/>
  <c r="M16" i="1"/>
  <c r="L16" i="1"/>
  <c r="K16" i="1"/>
  <c r="J16" i="1"/>
  <c r="I16" i="1"/>
  <c r="H16" i="1"/>
  <c r="G16" i="1"/>
  <c r="F16" i="1"/>
  <c r="E16" i="1"/>
  <c r="D16" i="1"/>
  <c r="C16" i="1"/>
  <c r="FO15" i="1"/>
  <c r="FB15" i="1"/>
  <c r="FB163" i="1" s="1"/>
  <c r="EO15" i="1"/>
  <c r="EO163" i="1" s="1"/>
  <c r="EB15" i="1"/>
  <c r="EB163" i="1" s="1"/>
  <c r="DN15" i="1"/>
  <c r="DO15" i="1" s="1"/>
  <c r="DO163" i="1" s="1"/>
  <c r="DM15" i="1"/>
  <c r="DM163" i="1" s="1"/>
  <c r="DL15" i="1"/>
  <c r="DL163" i="1" s="1"/>
  <c r="DK15" i="1"/>
  <c r="DK163" i="1" s="1"/>
  <c r="DJ15" i="1"/>
  <c r="DJ163" i="1" s="1"/>
  <c r="DI15" i="1"/>
  <c r="DI14" i="2" s="1"/>
  <c r="DI162" i="2" s="1"/>
  <c r="DH15" i="1"/>
  <c r="DG15" i="1"/>
  <c r="DF15" i="1"/>
  <c r="DF14" i="2" s="1"/>
  <c r="DF162" i="2" s="1"/>
  <c r="DE15" i="1"/>
  <c r="DE14" i="2" s="1"/>
  <c r="DE162" i="2" s="1"/>
  <c r="DD15" i="1"/>
  <c r="DD14" i="2" s="1"/>
  <c r="DD162" i="2" s="1"/>
  <c r="DC15" i="1"/>
  <c r="DC14" i="2" s="1"/>
  <c r="DC162" i="2" s="1"/>
  <c r="DB15" i="1"/>
  <c r="DB163" i="1" s="1"/>
  <c r="DA15" i="1"/>
  <c r="DA163" i="1" s="1"/>
  <c r="CZ15" i="1"/>
  <c r="CZ163" i="1" s="1"/>
  <c r="CY15" i="1"/>
  <c r="CY163" i="1" s="1"/>
  <c r="CX15" i="1"/>
  <c r="CX163" i="1" s="1"/>
  <c r="CW15" i="1"/>
  <c r="CW14" i="2" s="1"/>
  <c r="CW162" i="2" s="1"/>
  <c r="CV15" i="1"/>
  <c r="CU15" i="1"/>
  <c r="CT15" i="1"/>
  <c r="CT14" i="2" s="1"/>
  <c r="CT162" i="2" s="1"/>
  <c r="CS15" i="1"/>
  <c r="CS14" i="2" s="1"/>
  <c r="CS162" i="2" s="1"/>
  <c r="CR15" i="1"/>
  <c r="CR14" i="2" s="1"/>
  <c r="CR162" i="2" s="1"/>
  <c r="CQ15" i="1"/>
  <c r="CQ14" i="2" s="1"/>
  <c r="CQ162" i="2" s="1"/>
  <c r="CP15" i="1"/>
  <c r="CO15" i="1"/>
  <c r="CO163" i="1" s="1"/>
  <c r="CB15" i="1"/>
  <c r="CB163" i="1" s="1"/>
  <c r="BO15" i="1"/>
  <c r="BO163" i="1" s="1"/>
  <c r="BB15" i="1"/>
  <c r="BB163" i="1" s="1"/>
  <c r="AO15" i="1"/>
  <c r="AO163" i="1" s="1"/>
  <c r="AB15" i="1"/>
  <c r="AB163" i="1" s="1"/>
  <c r="O15" i="1"/>
  <c r="FO14" i="1"/>
  <c r="FO162" i="1" s="1"/>
  <c r="FB14" i="1"/>
  <c r="FB162" i="1" s="1"/>
  <c r="EO14" i="1"/>
  <c r="EO162" i="1" s="1"/>
  <c r="EB14" i="1"/>
  <c r="EB162" i="1" s="1"/>
  <c r="DO14" i="1"/>
  <c r="DO162" i="1" s="1"/>
  <c r="DN14" i="1"/>
  <c r="DN13" i="2" s="1"/>
  <c r="DM14" i="1"/>
  <c r="DL14" i="1"/>
  <c r="DL13" i="2" s="1"/>
  <c r="DL161" i="2" s="1"/>
  <c r="DK14" i="1"/>
  <c r="DK13" i="2" s="1"/>
  <c r="DK161" i="2" s="1"/>
  <c r="DJ14" i="1"/>
  <c r="DJ13" i="2" s="1"/>
  <c r="DJ161" i="2" s="1"/>
  <c r="DI14" i="1"/>
  <c r="DH14" i="1"/>
  <c r="DH13" i="2" s="1"/>
  <c r="DH161" i="2" s="1"/>
  <c r="DG14" i="1"/>
  <c r="DG13" i="2" s="1"/>
  <c r="DG161" i="2" s="1"/>
  <c r="DF14" i="1"/>
  <c r="DF162" i="1" s="1"/>
  <c r="DE14" i="1"/>
  <c r="DE13" i="2" s="1"/>
  <c r="DE161" i="2" s="1"/>
  <c r="DD14" i="1"/>
  <c r="DD13" i="2" s="1"/>
  <c r="DD161" i="2" s="1"/>
  <c r="DC14" i="1"/>
  <c r="DC13" i="2" s="1"/>
  <c r="DC161" i="2" s="1"/>
  <c r="DA14" i="1"/>
  <c r="DA13" i="2" s="1"/>
  <c r="CZ14" i="1"/>
  <c r="CZ13" i="2" s="1"/>
  <c r="CZ161" i="2" s="1"/>
  <c r="CY14" i="1"/>
  <c r="CY13" i="2" s="1"/>
  <c r="CY161" i="2" s="1"/>
  <c r="CX14" i="1"/>
  <c r="CX13" i="2" s="1"/>
  <c r="CX161" i="2" s="1"/>
  <c r="CW14" i="1"/>
  <c r="CW162" i="1" s="1"/>
  <c r="CV14" i="1"/>
  <c r="CV13" i="2" s="1"/>
  <c r="CV161" i="2" s="1"/>
  <c r="CU14" i="1"/>
  <c r="CU13" i="2" s="1"/>
  <c r="CU161" i="2" s="1"/>
  <c r="CT14" i="1"/>
  <c r="CT162" i="1" s="1"/>
  <c r="CS14" i="1"/>
  <c r="CS13" i="2" s="1"/>
  <c r="CS161" i="2" s="1"/>
  <c r="CR14" i="1"/>
  <c r="CR13" i="2" s="1"/>
  <c r="CR161" i="2" s="1"/>
  <c r="CQ14" i="1"/>
  <c r="CQ13" i="2" s="1"/>
  <c r="CQ161" i="2" s="1"/>
  <c r="CP14" i="1"/>
  <c r="CP13" i="2" s="1"/>
  <c r="CP161" i="2" s="1"/>
  <c r="CO14" i="1"/>
  <c r="CO162" i="1" s="1"/>
  <c r="CB14" i="1"/>
  <c r="CB162" i="1" s="1"/>
  <c r="BO14" i="1"/>
  <c r="BO162" i="1" s="1"/>
  <c r="BB14" i="1"/>
  <c r="BB162" i="1" s="1"/>
  <c r="AO14" i="1"/>
  <c r="AO162" i="1" s="1"/>
  <c r="AB14" i="1"/>
  <c r="AB162" i="1" s="1"/>
  <c r="O14" i="1"/>
  <c r="FO13" i="1"/>
  <c r="FO161" i="1" s="1"/>
  <c r="FB13" i="1"/>
  <c r="FB161" i="1" s="1"/>
  <c r="EO13" i="1"/>
  <c r="EO161" i="1" s="1"/>
  <c r="EB13" i="1"/>
  <c r="EB161" i="1" s="1"/>
  <c r="DN13" i="1"/>
  <c r="DN161" i="1" s="1"/>
  <c r="DM13" i="1"/>
  <c r="DM12" i="2" s="1"/>
  <c r="DM160" i="2" s="1"/>
  <c r="DL13" i="1"/>
  <c r="DL12" i="2" s="1"/>
  <c r="DL160" i="2" s="1"/>
  <c r="DK13" i="1"/>
  <c r="DK12" i="2" s="1"/>
  <c r="DK160" i="2" s="1"/>
  <c r="DJ13" i="1"/>
  <c r="DJ12" i="2" s="1"/>
  <c r="DJ160" i="2" s="1"/>
  <c r="DI13" i="1"/>
  <c r="DI12" i="2" s="1"/>
  <c r="DI160" i="2" s="1"/>
  <c r="DH13" i="1"/>
  <c r="DH12" i="2" s="1"/>
  <c r="DH160" i="2" s="1"/>
  <c r="DG13" i="1"/>
  <c r="DG12" i="2" s="1"/>
  <c r="DG160" i="2" s="1"/>
  <c r="DF13" i="1"/>
  <c r="DF12" i="2" s="1"/>
  <c r="DF160" i="2" s="1"/>
  <c r="DE13" i="1"/>
  <c r="DE161" i="1" s="1"/>
  <c r="DD13" i="1"/>
  <c r="DD12" i="2" s="1"/>
  <c r="DD160" i="2" s="1"/>
  <c r="DC13" i="1"/>
  <c r="DC12" i="2" s="1"/>
  <c r="DC160" i="2" s="1"/>
  <c r="DA13" i="1"/>
  <c r="DA12" i="2" s="1"/>
  <c r="DA160" i="2" s="1"/>
  <c r="CZ13" i="1"/>
  <c r="CZ12" i="2" s="1"/>
  <c r="CZ160" i="2" s="1"/>
  <c r="CY13" i="1"/>
  <c r="CY12" i="2" s="1"/>
  <c r="CY160" i="2" s="1"/>
  <c r="CX13" i="1"/>
  <c r="CX12" i="2" s="1"/>
  <c r="CX160" i="2" s="1"/>
  <c r="CW13" i="1"/>
  <c r="CW12" i="2" s="1"/>
  <c r="CW160" i="2" s="1"/>
  <c r="CV13" i="1"/>
  <c r="CV12" i="2" s="1"/>
  <c r="CV160" i="2" s="1"/>
  <c r="CU13" i="1"/>
  <c r="CU12" i="2" s="1"/>
  <c r="CU160" i="2" s="1"/>
  <c r="CT13" i="1"/>
  <c r="CT12" i="2" s="1"/>
  <c r="CT160" i="2" s="1"/>
  <c r="CS13" i="1"/>
  <c r="CS12" i="2" s="1"/>
  <c r="CS160" i="2" s="1"/>
  <c r="CR13" i="1"/>
  <c r="CR12" i="2" s="1"/>
  <c r="CR160" i="2" s="1"/>
  <c r="CQ13" i="1"/>
  <c r="CQ12" i="2" s="1"/>
  <c r="CQ160" i="2" s="1"/>
  <c r="CP13" i="1"/>
  <c r="CP12" i="2" s="1"/>
  <c r="CP160" i="2" s="1"/>
  <c r="CO13" i="1"/>
  <c r="CO161" i="1" s="1"/>
  <c r="CB13" i="1"/>
  <c r="BO13" i="1"/>
  <c r="BO161" i="1" s="1"/>
  <c r="BB13" i="1"/>
  <c r="AO13" i="1"/>
  <c r="AO161" i="1" s="1"/>
  <c r="AB13" i="1"/>
  <c r="AB161" i="1" s="1"/>
  <c r="O13" i="1"/>
  <c r="O161" i="1" s="1"/>
  <c r="FO12" i="1"/>
  <c r="FO160" i="1" s="1"/>
  <c r="FB12" i="1"/>
  <c r="FB160" i="1" s="1"/>
  <c r="EO12" i="1"/>
  <c r="EO160" i="1" s="1"/>
  <c r="EB12" i="1"/>
  <c r="EB160" i="1" s="1"/>
  <c r="DN12" i="1"/>
  <c r="DN11" i="2" s="1"/>
  <c r="DM12" i="1"/>
  <c r="DM160" i="1" s="1"/>
  <c r="DL12" i="1"/>
  <c r="DL160" i="1" s="1"/>
  <c r="DK12" i="1"/>
  <c r="DK11" i="2" s="1"/>
  <c r="DK159" i="2" s="1"/>
  <c r="DJ12" i="1"/>
  <c r="DJ160" i="1" s="1"/>
  <c r="DI12" i="1"/>
  <c r="DI11" i="2" s="1"/>
  <c r="DI159" i="2" s="1"/>
  <c r="DH12" i="1"/>
  <c r="DH11" i="2" s="1"/>
  <c r="DH159" i="2" s="1"/>
  <c r="DG12" i="1"/>
  <c r="DG11" i="2" s="1"/>
  <c r="DG159" i="2" s="1"/>
  <c r="DF12" i="1"/>
  <c r="DF11" i="2" s="1"/>
  <c r="DF159" i="2" s="1"/>
  <c r="DE12" i="1"/>
  <c r="DE11" i="2" s="1"/>
  <c r="DE159" i="2" s="1"/>
  <c r="DD12" i="1"/>
  <c r="DD11" i="2" s="1"/>
  <c r="DD159" i="2" s="1"/>
  <c r="DC12" i="1"/>
  <c r="DC11" i="2" s="1"/>
  <c r="DC159" i="2" s="1"/>
  <c r="DA12" i="1"/>
  <c r="DA160" i="1" s="1"/>
  <c r="CZ12" i="1"/>
  <c r="CZ11" i="2" s="1"/>
  <c r="CZ159" i="2" s="1"/>
  <c r="CY12" i="1"/>
  <c r="CY11" i="2" s="1"/>
  <c r="CY159" i="2" s="1"/>
  <c r="CX12" i="1"/>
  <c r="CX160" i="1" s="1"/>
  <c r="CW12" i="1"/>
  <c r="CW11" i="2" s="1"/>
  <c r="CW159" i="2" s="1"/>
  <c r="CV12" i="1"/>
  <c r="CV11" i="2" s="1"/>
  <c r="CV159" i="2" s="1"/>
  <c r="CU12" i="1"/>
  <c r="CU11" i="2" s="1"/>
  <c r="CU159" i="2" s="1"/>
  <c r="CT12" i="1"/>
  <c r="CT11" i="2" s="1"/>
  <c r="CT159" i="2" s="1"/>
  <c r="CS12" i="1"/>
  <c r="CS11" i="2" s="1"/>
  <c r="CS159" i="2" s="1"/>
  <c r="CR12" i="1"/>
  <c r="CR11" i="2" s="1"/>
  <c r="CR159" i="2" s="1"/>
  <c r="CQ12" i="1"/>
  <c r="CQ11" i="2" s="1"/>
  <c r="CQ159" i="2" s="1"/>
  <c r="CP12" i="1"/>
  <c r="CP11" i="2" s="1"/>
  <c r="CP159" i="2" s="1"/>
  <c r="CO12" i="1"/>
  <c r="CO160" i="1" s="1"/>
  <c r="CB12" i="1"/>
  <c r="CB160" i="1" s="1"/>
  <c r="BO12" i="1"/>
  <c r="BO160" i="1" s="1"/>
  <c r="BB12" i="1"/>
  <c r="BB160" i="1" s="1"/>
  <c r="AO12" i="1"/>
  <c r="AO160" i="1" s="1"/>
  <c r="AB12" i="1"/>
  <c r="AB160" i="1" s="1"/>
  <c r="O12" i="1"/>
  <c r="O160" i="1" s="1"/>
  <c r="FO11" i="1"/>
  <c r="FO159" i="1" s="1"/>
  <c r="FB11" i="1"/>
  <c r="FB159" i="1" s="1"/>
  <c r="EO11" i="1"/>
  <c r="EO159" i="1" s="1"/>
  <c r="EB11" i="1"/>
  <c r="EB159" i="1" s="1"/>
  <c r="DN11" i="1"/>
  <c r="DN10" i="2" s="1"/>
  <c r="DM11" i="1"/>
  <c r="DM10" i="2" s="1"/>
  <c r="DM158" i="2" s="1"/>
  <c r="DL11" i="1"/>
  <c r="DL10" i="2" s="1"/>
  <c r="DL158" i="2" s="1"/>
  <c r="DK11" i="1"/>
  <c r="DK10" i="2" s="1"/>
  <c r="DK158" i="2" s="1"/>
  <c r="DJ11" i="1"/>
  <c r="DJ10" i="2" s="1"/>
  <c r="DJ158" i="2" s="1"/>
  <c r="DI11" i="1"/>
  <c r="DI159" i="1" s="1"/>
  <c r="DH11" i="1"/>
  <c r="DH159" i="1" s="1"/>
  <c r="DG11" i="1"/>
  <c r="DG159" i="1" s="1"/>
  <c r="DF11" i="1"/>
  <c r="DF159" i="1" s="1"/>
  <c r="DE11" i="1"/>
  <c r="DE10" i="2" s="1"/>
  <c r="DE158" i="2" s="1"/>
  <c r="DD11" i="1"/>
  <c r="DD10" i="2" s="1"/>
  <c r="DD158" i="2" s="1"/>
  <c r="DC11" i="1"/>
  <c r="DC10" i="2" s="1"/>
  <c r="DC158" i="2" s="1"/>
  <c r="DA11" i="1"/>
  <c r="DA10" i="2" s="1"/>
  <c r="CZ11" i="1"/>
  <c r="CZ10" i="2" s="1"/>
  <c r="CZ158" i="2" s="1"/>
  <c r="CY11" i="1"/>
  <c r="CY10" i="2" s="1"/>
  <c r="CY158" i="2" s="1"/>
  <c r="CX11" i="1"/>
  <c r="CX10" i="2" s="1"/>
  <c r="CX158" i="2" s="1"/>
  <c r="CW11" i="1"/>
  <c r="CW159" i="1" s="1"/>
  <c r="CV11" i="1"/>
  <c r="CV159" i="1" s="1"/>
  <c r="CU11" i="1"/>
  <c r="CU10" i="2" s="1"/>
  <c r="CU158" i="2" s="1"/>
  <c r="CT11" i="1"/>
  <c r="CT10" i="2" s="1"/>
  <c r="CT158" i="2" s="1"/>
  <c r="CS11" i="1"/>
  <c r="CS10" i="2" s="1"/>
  <c r="CS158" i="2" s="1"/>
  <c r="CR11" i="1"/>
  <c r="CR10" i="2" s="1"/>
  <c r="CR158" i="2" s="1"/>
  <c r="CQ11" i="1"/>
  <c r="CQ10" i="2" s="1"/>
  <c r="CQ158" i="2" s="1"/>
  <c r="CP11" i="1"/>
  <c r="CP10" i="2" s="1"/>
  <c r="CP158" i="2" s="1"/>
  <c r="CO11" i="1"/>
  <c r="CO159" i="1" s="1"/>
  <c r="CB11" i="1"/>
  <c r="CB159" i="1" s="1"/>
  <c r="BO11" i="1"/>
  <c r="BO159" i="1" s="1"/>
  <c r="BB11" i="1"/>
  <c r="BB159" i="1" s="1"/>
  <c r="AO11" i="1"/>
  <c r="AO159" i="1" s="1"/>
  <c r="AB11" i="1"/>
  <c r="AB159" i="1" s="1"/>
  <c r="O11" i="1"/>
  <c r="O159" i="1" s="1"/>
  <c r="FO10" i="1"/>
  <c r="FO158" i="1" s="1"/>
  <c r="FB10" i="1"/>
  <c r="EO10" i="1"/>
  <c r="EO158" i="1" s="1"/>
  <c r="EB10" i="1"/>
  <c r="DN10" i="1"/>
  <c r="DN158" i="1" s="1"/>
  <c r="DM10" i="1"/>
  <c r="DM9" i="2" s="1"/>
  <c r="DL10" i="1"/>
  <c r="DL9" i="2" s="1"/>
  <c r="DK10" i="1"/>
  <c r="DK9" i="2" s="1"/>
  <c r="DJ10" i="1"/>
  <c r="DJ9" i="2" s="1"/>
  <c r="DI10" i="1"/>
  <c r="DI9" i="2" s="1"/>
  <c r="DH10" i="1"/>
  <c r="DH9" i="2" s="1"/>
  <c r="DG10" i="1"/>
  <c r="DG9" i="2" s="1"/>
  <c r="DF10" i="1"/>
  <c r="DF9" i="2" s="1"/>
  <c r="DE10" i="1"/>
  <c r="DD10" i="1"/>
  <c r="DC10" i="1"/>
  <c r="DC9" i="2" s="1"/>
  <c r="DA10" i="1"/>
  <c r="DA9" i="2" s="1"/>
  <c r="DB9" i="2" s="1"/>
  <c r="CZ10" i="1"/>
  <c r="CZ9" i="2" s="1"/>
  <c r="CY10" i="1"/>
  <c r="CY9" i="2" s="1"/>
  <c r="CX10" i="1"/>
  <c r="CX9" i="2" s="1"/>
  <c r="CW10" i="1"/>
  <c r="CW9" i="2" s="1"/>
  <c r="CV10" i="1"/>
  <c r="CV9" i="2" s="1"/>
  <c r="CU10" i="1"/>
  <c r="CU9" i="2" s="1"/>
  <c r="CT10" i="1"/>
  <c r="CT9" i="2" s="1"/>
  <c r="CS10" i="1"/>
  <c r="CS16" i="1" s="1"/>
  <c r="CR10" i="1"/>
  <c r="CR9" i="2" s="1"/>
  <c r="CQ10" i="1"/>
  <c r="CQ9" i="2" s="1"/>
  <c r="CP10" i="1"/>
  <c r="CP158" i="1" s="1"/>
  <c r="CO10" i="1"/>
  <c r="CO158" i="1" s="1"/>
  <c r="CB10" i="1"/>
  <c r="CB158" i="1" s="1"/>
  <c r="BO10" i="1"/>
  <c r="BO158" i="1" s="1"/>
  <c r="BB10" i="1"/>
  <c r="BB158" i="1" s="1"/>
  <c r="AO10" i="1"/>
  <c r="AO158" i="1" s="1"/>
  <c r="AB10" i="1"/>
  <c r="AB158" i="1" s="1"/>
  <c r="O10" i="1"/>
  <c r="O158" i="1" s="1"/>
  <c r="DD16" i="1" l="1"/>
  <c r="O40" i="1"/>
  <c r="DE16" i="1"/>
  <c r="FB16" i="1"/>
  <c r="DI16" i="1"/>
  <c r="CV16" i="1"/>
  <c r="O16" i="1"/>
  <c r="P5" i="6"/>
  <c r="DO28" i="1"/>
  <c r="D34" i="3" a="1"/>
  <c r="D34" i="3" s="1"/>
  <c r="AB40" i="1"/>
  <c r="CO55" i="1"/>
  <c r="FB67" i="1"/>
  <c r="BB79" i="1"/>
  <c r="DB94" i="1"/>
  <c r="EO106" i="1"/>
  <c r="AO118" i="1"/>
  <c r="DD158" i="1"/>
  <c r="DN159" i="1"/>
  <c r="DH162" i="1"/>
  <c r="DF10" i="2"/>
  <c r="DF158" i="2" s="1"/>
  <c r="BK27" i="2"/>
  <c r="AY27" i="2"/>
  <c r="DI27" i="2"/>
  <c r="EG27" i="2"/>
  <c r="EO39" i="2"/>
  <c r="EB16" i="1"/>
  <c r="C50" i="3" s="1"/>
  <c r="CU16" i="1"/>
  <c r="EB28" i="1"/>
  <c r="AO40" i="1"/>
  <c r="DB55" i="1"/>
  <c r="O67" i="1"/>
  <c r="BO79" i="1"/>
  <c r="DO94" i="1"/>
  <c r="FB106" i="1"/>
  <c r="DO106" i="1"/>
  <c r="DB106" i="1"/>
  <c r="BB118" i="1"/>
  <c r="DE158" i="1"/>
  <c r="DG10" i="2"/>
  <c r="DG158" i="2" s="1"/>
  <c r="L27" i="2"/>
  <c r="DG16" i="1"/>
  <c r="E44" i="3"/>
  <c r="DF158" i="1"/>
  <c r="FO16" i="1"/>
  <c r="EB158" i="1"/>
  <c r="DF163" i="1"/>
  <c r="DA11" i="2"/>
  <c r="M15" i="2"/>
  <c r="BB16" i="1"/>
  <c r="O28" i="1"/>
  <c r="FB94" i="1"/>
  <c r="AO106" i="1"/>
  <c r="CO118" i="1"/>
  <c r="DJ11" i="2"/>
  <c r="DJ159" i="2" s="1"/>
  <c r="CB12" i="2"/>
  <c r="CB160" i="2" s="1"/>
  <c r="CB13" i="2"/>
  <c r="CB161" i="2" s="1"/>
  <c r="BB14" i="2"/>
  <c r="BB162" i="2" s="1"/>
  <c r="AW15" i="2"/>
  <c r="AB33" i="2"/>
  <c r="AO39" i="2"/>
  <c r="FO33" i="2"/>
  <c r="FO39" i="2" s="1"/>
  <c r="AY54" i="2"/>
  <c r="DK54" i="2"/>
  <c r="FO48" i="2"/>
  <c r="FO54" i="2" s="1"/>
  <c r="H5" i="6"/>
  <c r="CB161" i="1"/>
  <c r="I5" i="6"/>
  <c r="E33" i="3" a="1"/>
  <c r="E33" i="3" s="1"/>
  <c r="AB28" i="1"/>
  <c r="DB27" i="1"/>
  <c r="BB106" i="1"/>
  <c r="DB118" i="1"/>
  <c r="FB158" i="1"/>
  <c r="CW161" i="1"/>
  <c r="FO9" i="2"/>
  <c r="EB11" i="2"/>
  <c r="EB159" i="2" s="1"/>
  <c r="DE12" i="2"/>
  <c r="DE160" i="2" s="1"/>
  <c r="EB13" i="2"/>
  <c r="EB161" i="2" s="1"/>
  <c r="BO14" i="2"/>
  <c r="BO162" i="2" s="1"/>
  <c r="BF15" i="2"/>
  <c r="G27" i="2"/>
  <c r="BP27" i="2"/>
  <c r="DC27" i="2"/>
  <c r="EA27" i="2"/>
  <c r="EM27" i="2"/>
  <c r="AC27" i="2"/>
  <c r="BB33" i="2"/>
  <c r="BB39" i="2" s="1"/>
  <c r="AM54" i="2"/>
  <c r="BM54" i="2"/>
  <c r="AO28" i="1"/>
  <c r="DI161" i="1"/>
  <c r="DN12" i="2"/>
  <c r="DN160" i="2" s="1"/>
  <c r="DQ15" i="2"/>
  <c r="EB27" i="2"/>
  <c r="FA27" i="2"/>
  <c r="CO39" i="2"/>
  <c r="BA54" i="2"/>
  <c r="BB48" i="2"/>
  <c r="BB28" i="1"/>
  <c r="DO40" i="1"/>
  <c r="AB55" i="1"/>
  <c r="CO67" i="1"/>
  <c r="D47" i="3" s="1"/>
  <c r="CQ158" i="1"/>
  <c r="CP159" i="1"/>
  <c r="AB9" i="2"/>
  <c r="AB157" i="2" s="1"/>
  <c r="AB10" i="2"/>
  <c r="AB158" i="2" s="1"/>
  <c r="EY27" i="2"/>
  <c r="DB33" i="2"/>
  <c r="DB39" i="2" s="1"/>
  <c r="BO28" i="1"/>
  <c r="EB40" i="1"/>
  <c r="AO55" i="1"/>
  <c r="DB67" i="1"/>
  <c r="FB79" i="1"/>
  <c r="CR158" i="1"/>
  <c r="CQ159" i="1"/>
  <c r="CS27" i="2"/>
  <c r="DG27" i="2"/>
  <c r="EE27" i="2"/>
  <c r="AF27" i="2"/>
  <c r="DO27" i="2"/>
  <c r="FB54" i="2"/>
  <c r="CB28" i="1"/>
  <c r="O4" i="6"/>
  <c r="EO40" i="1"/>
  <c r="DB40" i="1"/>
  <c r="CO40" i="1"/>
  <c r="CB40" i="1"/>
  <c r="BB55" i="1"/>
  <c r="O55" i="1"/>
  <c r="FO55" i="1"/>
  <c r="D15" i="3" s="1" a="1"/>
  <c r="D15" i="3" s="1"/>
  <c r="FB55" i="1"/>
  <c r="EO55" i="1"/>
  <c r="DO67" i="1"/>
  <c r="CB67" i="1"/>
  <c r="BO67" i="1"/>
  <c r="O79" i="1"/>
  <c r="BO94" i="1"/>
  <c r="CS158" i="1"/>
  <c r="CR159" i="1"/>
  <c r="CU162" i="1"/>
  <c r="CS9" i="2"/>
  <c r="CS157" i="2" s="1"/>
  <c r="CB10" i="2"/>
  <c r="EC27" i="2"/>
  <c r="EM39" i="2"/>
  <c r="FB40" i="1"/>
  <c r="BO55" i="1"/>
  <c r="O162" i="1"/>
  <c r="EB67" i="1"/>
  <c r="AB79" i="1"/>
  <c r="EO79" i="1"/>
  <c r="EB79" i="1"/>
  <c r="CB94" i="1"/>
  <c r="CT158" i="1"/>
  <c r="DC159" i="1"/>
  <c r="CV162" i="1"/>
  <c r="CV10" i="2"/>
  <c r="CV158" i="2" s="1"/>
  <c r="BV27" i="2"/>
  <c r="ED27" i="2"/>
  <c r="EQ54" i="2"/>
  <c r="CT54" i="2"/>
  <c r="EO16" i="1"/>
  <c r="CB55" i="1"/>
  <c r="EO67" i="1"/>
  <c r="D51" i="3" s="1"/>
  <c r="AO79" i="1"/>
  <c r="CO94" i="1"/>
  <c r="BB94" i="1"/>
  <c r="AO94" i="1"/>
  <c r="EB106" i="1"/>
  <c r="DC158" i="1"/>
  <c r="DD159" i="1"/>
  <c r="DG162" i="1"/>
  <c r="CW10" i="2"/>
  <c r="CW158" i="2" s="1"/>
  <c r="O11" i="2"/>
  <c r="AX27" i="2"/>
  <c r="DS54" i="2"/>
  <c r="EE54" i="2"/>
  <c r="S78" i="2"/>
  <c r="CI93" i="2"/>
  <c r="DB105" i="2"/>
  <c r="BN105" i="2"/>
  <c r="BB117" i="2"/>
  <c r="CB117" i="2"/>
  <c r="CQ54" i="2"/>
  <c r="FC54" i="2"/>
  <c r="BV93" i="2"/>
  <c r="DO99" i="2"/>
  <c r="DO105" i="2" s="1"/>
  <c r="CO111" i="2"/>
  <c r="CO117" i="2" s="1"/>
  <c r="EL117" i="2"/>
  <c r="CX117" i="2"/>
  <c r="CS54" i="2"/>
  <c r="AR66" i="2"/>
  <c r="BB87" i="2"/>
  <c r="EB105" i="2"/>
  <c r="EY117" i="2"/>
  <c r="S15" i="5"/>
  <c r="L20" i="5"/>
  <c r="M24" i="5"/>
  <c r="BO93" i="2"/>
  <c r="CX105" i="2"/>
  <c r="EU105" i="2"/>
  <c r="FG105" i="2"/>
  <c r="EB117" i="2"/>
  <c r="CH54" i="2"/>
  <c r="AN66" i="2"/>
  <c r="DO93" i="2"/>
  <c r="EO111" i="2"/>
  <c r="EO117" i="2" s="1"/>
  <c r="K24" i="5"/>
  <c r="T24" i="5" s="1"/>
  <c r="L54" i="2"/>
  <c r="BW54" i="2"/>
  <c r="CI54" i="2"/>
  <c r="CU54" i="2"/>
  <c r="FG54" i="2"/>
  <c r="CV54" i="2"/>
  <c r="DH54" i="2"/>
  <c r="K66" i="2"/>
  <c r="AJ66" i="2"/>
  <c r="AW66" i="2"/>
  <c r="BI66" i="2"/>
  <c r="CU66" i="2"/>
  <c r="DT66" i="2"/>
  <c r="ES66" i="2"/>
  <c r="FE66" i="2"/>
  <c r="C78" i="2"/>
  <c r="O72" i="2"/>
  <c r="O78" i="2" s="1"/>
  <c r="AN78" i="2"/>
  <c r="AZ78" i="2"/>
  <c r="BM78" i="2"/>
  <c r="BY78" i="2"/>
  <c r="CK78" i="2"/>
  <c r="CX78" i="2"/>
  <c r="DK78" i="2"/>
  <c r="DW78" i="2"/>
  <c r="EJ78" i="2"/>
  <c r="EW78" i="2"/>
  <c r="FO72" i="2"/>
  <c r="FO78" i="2" s="1"/>
  <c r="G93" i="2"/>
  <c r="BE93" i="2"/>
  <c r="BQ93" i="2"/>
  <c r="CQ93" i="2"/>
  <c r="DD93" i="2"/>
  <c r="DP93" i="2"/>
  <c r="EN93" i="2"/>
  <c r="FA93" i="2"/>
  <c r="K105" i="2"/>
  <c r="X105" i="2"/>
  <c r="AK105" i="2"/>
  <c r="AW105" i="2"/>
  <c r="BI105" i="2"/>
  <c r="BU105" i="2"/>
  <c r="EE105" i="2"/>
  <c r="ER105" i="2"/>
  <c r="FD105" i="2"/>
  <c r="AU117" i="2"/>
  <c r="BG117" i="2"/>
  <c r="BT117" i="2"/>
  <c r="CG117" i="2"/>
  <c r="CS117" i="2"/>
  <c r="DE117" i="2"/>
  <c r="DQ117" i="2"/>
  <c r="ED117" i="2"/>
  <c r="EP117" i="2"/>
  <c r="FC117" i="2"/>
  <c r="L28" i="5"/>
  <c r="AO78" i="2"/>
  <c r="BB78" i="2"/>
  <c r="FB93" i="2"/>
  <c r="EB93" i="2"/>
  <c r="AG66" i="2"/>
  <c r="BO72" i="2"/>
  <c r="BO78" i="2" s="1"/>
  <c r="L24" i="5"/>
  <c r="M26" i="5"/>
  <c r="CB72" i="2"/>
  <c r="CB78" i="2" s="1"/>
  <c r="S24" i="5"/>
  <c r="U24" i="5" s="1"/>
  <c r="BO54" i="2"/>
  <c r="CY54" i="2"/>
  <c r="EX54" i="2"/>
  <c r="C66" i="2"/>
  <c r="CY66" i="2"/>
  <c r="DL66" i="2"/>
  <c r="DX66" i="2"/>
  <c r="EW66" i="2"/>
  <c r="FI66" i="2"/>
  <c r="CC78" i="2"/>
  <c r="DO72" i="2"/>
  <c r="K93" i="2"/>
  <c r="DH93" i="2"/>
  <c r="EF93" i="2"/>
  <c r="AU93" i="2"/>
  <c r="AO99" i="2"/>
  <c r="EV105" i="2"/>
  <c r="FH105" i="2"/>
  <c r="AM117" i="2"/>
  <c r="AY117" i="2"/>
  <c r="CW117" i="2"/>
  <c r="DI117" i="2"/>
  <c r="S22" i="5"/>
  <c r="S25" i="5"/>
  <c r="BB105" i="2"/>
  <c r="DV117" i="2"/>
  <c r="EI117" i="2"/>
  <c r="FH117" i="2"/>
  <c r="S30" i="5"/>
  <c r="AU39" i="2"/>
  <c r="CS39" i="2"/>
  <c r="F54" i="2"/>
  <c r="R54" i="2"/>
  <c r="AE54" i="2"/>
  <c r="CC54" i="2"/>
  <c r="DA54" i="2"/>
  <c r="EA54" i="2"/>
  <c r="EM54" i="2"/>
  <c r="EZ54" i="2"/>
  <c r="BP66" i="2"/>
  <c r="CB60" i="2"/>
  <c r="CB66" i="2" s="1"/>
  <c r="I78" i="2"/>
  <c r="U78" i="2"/>
  <c r="AH78" i="2"/>
  <c r="AT78" i="2"/>
  <c r="DE78" i="2"/>
  <c r="DQ78" i="2"/>
  <c r="ED78" i="2"/>
  <c r="EQ78" i="2"/>
  <c r="M93" i="2"/>
  <c r="E105" i="2"/>
  <c r="R105" i="2"/>
  <c r="AE105" i="2"/>
  <c r="AQ105" i="2"/>
  <c r="BC105" i="2"/>
  <c r="CO105" i="2"/>
  <c r="DA105" i="2"/>
  <c r="DM105" i="2"/>
  <c r="DY105" i="2"/>
  <c r="EK105" i="2"/>
  <c r="FO99" i="2"/>
  <c r="FO105" i="2" s="1"/>
  <c r="D117" i="2"/>
  <c r="Q117" i="2"/>
  <c r="AC117" i="2"/>
  <c r="AO111" i="2"/>
  <c r="AO117" i="2" s="1"/>
  <c r="BA117" i="2"/>
  <c r="BM117" i="2"/>
  <c r="BZ117" i="2"/>
  <c r="CM117" i="2"/>
  <c r="CY117" i="2"/>
  <c r="DK117" i="2"/>
  <c r="DW117" i="2"/>
  <c r="EJ117" i="2"/>
  <c r="EV117" i="2"/>
  <c r="FI117" i="2"/>
  <c r="FF117" i="2"/>
  <c r="S13" i="5"/>
  <c r="L14" i="5"/>
  <c r="M16" i="5"/>
  <c r="K18" i="5"/>
  <c r="T18" i="5" s="1"/>
  <c r="M19" i="5"/>
  <c r="S29" i="5"/>
  <c r="U29" i="5" s="1"/>
  <c r="D4" i="6"/>
  <c r="D41" i="3"/>
  <c r="D43" i="3"/>
  <c r="D44" i="3"/>
  <c r="E49" i="3"/>
  <c r="E47" i="3"/>
  <c r="I48" i="3" s="1"/>
  <c r="E46" i="3"/>
  <c r="I47" i="3" s="1"/>
  <c r="D42" i="3"/>
  <c r="DC157" i="2"/>
  <c r="DC15" i="2"/>
  <c r="E52" i="3"/>
  <c r="CQ157" i="2"/>
  <c r="CQ15" i="2"/>
  <c r="C51" i="3"/>
  <c r="DA27" i="2"/>
  <c r="DB21" i="2"/>
  <c r="DB27" i="2" s="1"/>
  <c r="D8" i="6"/>
  <c r="D7" i="6"/>
  <c r="D6" i="6"/>
  <c r="E41" i="3"/>
  <c r="E48" i="3"/>
  <c r="CR157" i="2"/>
  <c r="CR15" i="2"/>
  <c r="C52" i="3"/>
  <c r="D50" i="3"/>
  <c r="E43" i="3"/>
  <c r="I44" i="3" s="1"/>
  <c r="O27" i="2"/>
  <c r="H8" i="6"/>
  <c r="H7" i="6"/>
  <c r="H6" i="6"/>
  <c r="E45" i="3"/>
  <c r="DA159" i="1"/>
  <c r="DM159" i="1"/>
  <c r="CY160" i="1"/>
  <c r="DK160" i="1"/>
  <c r="DA159" i="2"/>
  <c r="DB11" i="2"/>
  <c r="DB159" i="2" s="1"/>
  <c r="FI159" i="2"/>
  <c r="FO11" i="2"/>
  <c r="FO159" i="2" s="1"/>
  <c r="DI13" i="2"/>
  <c r="DI161" i="2" s="1"/>
  <c r="CG15" i="2"/>
  <c r="DB24" i="1"/>
  <c r="DJ161" i="1"/>
  <c r="DI163" i="1"/>
  <c r="J8" i="6"/>
  <c r="J7" i="6"/>
  <c r="J6" i="6"/>
  <c r="DO12" i="2"/>
  <c r="DO160" i="2" s="1"/>
  <c r="W27" i="2"/>
  <c r="E34" i="3" a="1"/>
  <c r="E34" i="3" s="1"/>
  <c r="E36" i="3" s="1"/>
  <c r="DL11" i="2"/>
  <c r="DL159" i="2" s="1"/>
  <c r="AO13" i="2"/>
  <c r="AO161" i="2" s="1"/>
  <c r="BH15" i="2"/>
  <c r="DO12" i="1"/>
  <c r="DO160" i="1" s="1"/>
  <c r="DB13" i="1"/>
  <c r="DB161" i="1" s="1"/>
  <c r="DA161" i="2"/>
  <c r="DB13" i="2"/>
  <c r="DB161" i="2" s="1"/>
  <c r="DM162" i="1"/>
  <c r="DM13" i="2"/>
  <c r="DM161" i="2" s="1"/>
  <c r="BO16" i="1"/>
  <c r="C45" i="3" s="1"/>
  <c r="CY16" i="1"/>
  <c r="DK16" i="1"/>
  <c r="I23" i="3"/>
  <c r="G4" i="6"/>
  <c r="F34" i="3" a="1"/>
  <c r="F34" i="3" s="1"/>
  <c r="F36" i="3" s="1"/>
  <c r="J24" i="3"/>
  <c r="L8" i="6"/>
  <c r="L7" i="6"/>
  <c r="L6" i="6"/>
  <c r="K35" i="3" a="1"/>
  <c r="K35" i="3" s="1"/>
  <c r="E28" i="3"/>
  <c r="CU158" i="1"/>
  <c r="DG158" i="1"/>
  <c r="CS159" i="1"/>
  <c r="DE159" i="1"/>
  <c r="CQ160" i="1"/>
  <c r="DC160" i="1"/>
  <c r="DA161" i="1"/>
  <c r="DM161" i="1"/>
  <c r="CY162" i="1"/>
  <c r="DK162" i="1"/>
  <c r="CQ163" i="1"/>
  <c r="DE9" i="2"/>
  <c r="FO157" i="2"/>
  <c r="DH10" i="2"/>
  <c r="DH158" i="2" s="1"/>
  <c r="DM11" i="2"/>
  <c r="DM159" i="2" s="1"/>
  <c r="EO12" i="2"/>
  <c r="EO160" i="2" s="1"/>
  <c r="FA160" i="2"/>
  <c r="FB12" i="2"/>
  <c r="FB160" i="2" s="1"/>
  <c r="CX14" i="2"/>
  <c r="CX162" i="2" s="1"/>
  <c r="Y15" i="2"/>
  <c r="BI15" i="2"/>
  <c r="CS15" i="2"/>
  <c r="EC15" i="2"/>
  <c r="FB22" i="2"/>
  <c r="FB27" i="2" s="1"/>
  <c r="DM157" i="2"/>
  <c r="DO10" i="1"/>
  <c r="AO16" i="1"/>
  <c r="C43" i="3" s="1"/>
  <c r="CW16" i="1"/>
  <c r="DK161" i="1"/>
  <c r="W15" i="2"/>
  <c r="DB25" i="1"/>
  <c r="DD9" i="2"/>
  <c r="DK39" i="2"/>
  <c r="CT157" i="2"/>
  <c r="CT15" i="2"/>
  <c r="DF157" i="2"/>
  <c r="DO13" i="1"/>
  <c r="DO161" i="1" s="1"/>
  <c r="DB14" i="1"/>
  <c r="DB162" i="1" s="1"/>
  <c r="DN161" i="2"/>
  <c r="DO13" i="2"/>
  <c r="DO161" i="2" s="1"/>
  <c r="CB16" i="1"/>
  <c r="C46" i="3" s="1"/>
  <c r="CZ16" i="1"/>
  <c r="DL16" i="1"/>
  <c r="DB26" i="1"/>
  <c r="H4" i="6"/>
  <c r="G34" i="3" a="1"/>
  <c r="G34" i="3" s="1"/>
  <c r="G36" i="3" s="1"/>
  <c r="J25" i="3"/>
  <c r="M7" i="6"/>
  <c r="M6" i="6"/>
  <c r="M8" i="6"/>
  <c r="L35" i="3" a="1"/>
  <c r="L35" i="3" s="1"/>
  <c r="FO79" i="1"/>
  <c r="F15" i="3" s="1" a="1"/>
  <c r="F15" i="3" s="1"/>
  <c r="CV158" i="1"/>
  <c r="DH158" i="1"/>
  <c r="CT159" i="1"/>
  <c r="CR160" i="1"/>
  <c r="DD160" i="1"/>
  <c r="CP161" i="1"/>
  <c r="CZ162" i="1"/>
  <c r="DL162" i="1"/>
  <c r="CR163" i="1"/>
  <c r="DN9" i="2"/>
  <c r="DI10" i="2"/>
  <c r="DI158" i="2" s="1"/>
  <c r="BB159" i="2"/>
  <c r="CT13" i="2"/>
  <c r="CT161" i="2" s="1"/>
  <c r="CY14" i="2"/>
  <c r="CY162" i="2" s="1"/>
  <c r="AH15" i="2"/>
  <c r="BR15" i="2"/>
  <c r="EL15" i="2"/>
  <c r="BO39" i="2"/>
  <c r="CB33" i="2"/>
  <c r="CB39" i="2" s="1"/>
  <c r="CA39" i="2"/>
  <c r="AB72" i="2"/>
  <c r="AB78" i="2" s="1"/>
  <c r="AA78" i="2"/>
  <c r="D5" i="6"/>
  <c r="C41" i="3"/>
  <c r="DA158" i="2"/>
  <c r="DB10" i="2"/>
  <c r="DB158" i="2" s="1"/>
  <c r="P4" i="6"/>
  <c r="CZ160" i="1"/>
  <c r="CB14" i="2"/>
  <c r="CB162" i="2" s="1"/>
  <c r="EA15" i="2"/>
  <c r="DB12" i="1"/>
  <c r="DB160" i="1" s="1"/>
  <c r="F4" i="6"/>
  <c r="CX162" i="1"/>
  <c r="BA161" i="2"/>
  <c r="BB13" i="2"/>
  <c r="BB161" i="2" s="1"/>
  <c r="X27" i="2"/>
  <c r="CU157" i="2"/>
  <c r="DG157" i="2"/>
  <c r="CP163" i="1"/>
  <c r="CP14" i="2"/>
  <c r="CP162" i="2" s="1"/>
  <c r="DN163" i="1"/>
  <c r="DN14" i="2"/>
  <c r="CO16" i="1"/>
  <c r="C47" i="3" s="1"/>
  <c r="DA16" i="1"/>
  <c r="DM16" i="1"/>
  <c r="I24" i="3"/>
  <c r="I4" i="6"/>
  <c r="H34" i="3" a="1"/>
  <c r="H34" i="3" s="1"/>
  <c r="H36" i="3" s="1"/>
  <c r="J26" i="3"/>
  <c r="L26" i="3" s="1"/>
  <c r="N8" i="6"/>
  <c r="N6" i="6"/>
  <c r="N7" i="6"/>
  <c r="M35" i="3" a="1"/>
  <c r="M35" i="3" s="1"/>
  <c r="CW158" i="1"/>
  <c r="DI158" i="1"/>
  <c r="CU159" i="1"/>
  <c r="CS160" i="1"/>
  <c r="DE160" i="1"/>
  <c r="CQ161" i="1"/>
  <c r="DC161" i="1"/>
  <c r="DA162" i="1"/>
  <c r="DN162" i="1"/>
  <c r="CS163" i="1"/>
  <c r="CZ14" i="2"/>
  <c r="CZ162" i="2" s="1"/>
  <c r="AI15" i="2"/>
  <c r="BS15" i="2"/>
  <c r="EM15" i="2"/>
  <c r="CK27" i="2"/>
  <c r="CW27" i="2"/>
  <c r="DU27" i="2"/>
  <c r="CN27" i="2"/>
  <c r="DN39" i="2"/>
  <c r="DO33" i="2"/>
  <c r="DO39" i="2" s="1"/>
  <c r="DH14" i="2"/>
  <c r="DH162" i="2" s="1"/>
  <c r="DH163" i="1"/>
  <c r="DH16" i="1"/>
  <c r="FO28" i="1"/>
  <c r="I8" i="6"/>
  <c r="I7" i="6"/>
  <c r="I6" i="6"/>
  <c r="EN27" i="2"/>
  <c r="EO21" i="2"/>
  <c r="EO27" i="2" s="1"/>
  <c r="AB13" i="2"/>
  <c r="AB161" i="2" s="1"/>
  <c r="J35" i="3" a="1"/>
  <c r="J35" i="3" s="1"/>
  <c r="DH157" i="2"/>
  <c r="CP16" i="1"/>
  <c r="DN16" i="1"/>
  <c r="J4" i="6"/>
  <c r="DA28" i="1"/>
  <c r="I34" i="3" a="1"/>
  <c r="I34" i="3" s="1"/>
  <c r="I36" i="3" s="1"/>
  <c r="J27" i="3"/>
  <c r="K27" i="3" s="1"/>
  <c r="O8" i="6"/>
  <c r="O7" i="6"/>
  <c r="O6" i="6"/>
  <c r="N35" i="3" a="1"/>
  <c r="N35" i="3" s="1"/>
  <c r="FO106" i="1"/>
  <c r="E16" i="3" s="1" a="1"/>
  <c r="E16" i="3" s="1"/>
  <c r="CX158" i="1"/>
  <c r="DJ158" i="1"/>
  <c r="CT160" i="1"/>
  <c r="DF160" i="1"/>
  <c r="CR161" i="1"/>
  <c r="DD161" i="1"/>
  <c r="CP162" i="1"/>
  <c r="CT163" i="1"/>
  <c r="EB9" i="2"/>
  <c r="AO10" i="2"/>
  <c r="AO158" i="2" s="1"/>
  <c r="BA158" i="2"/>
  <c r="BB10" i="2"/>
  <c r="BB158" i="2" s="1"/>
  <c r="CB11" i="2"/>
  <c r="CB159" i="2" s="1"/>
  <c r="DA14" i="2"/>
  <c r="AJ15" i="2"/>
  <c r="BT15" i="2"/>
  <c r="EN15" i="2"/>
  <c r="BM27" i="2"/>
  <c r="BY27" i="2"/>
  <c r="FH27" i="2"/>
  <c r="EC39" i="2"/>
  <c r="FB39" i="2"/>
  <c r="BB54" i="2"/>
  <c r="AB16" i="1"/>
  <c r="C42" i="3" s="1"/>
  <c r="CX161" i="1"/>
  <c r="V15" i="2"/>
  <c r="C28" i="3"/>
  <c r="I22" i="3"/>
  <c r="BG15" i="2"/>
  <c r="BH27" i="2"/>
  <c r="K8" i="6"/>
  <c r="K6" i="6"/>
  <c r="K7" i="6"/>
  <c r="DL161" i="1"/>
  <c r="DJ162" i="1"/>
  <c r="AB39" i="2"/>
  <c r="CV157" i="2"/>
  <c r="DI157" i="2"/>
  <c r="DI15" i="2"/>
  <c r="CQ16" i="1"/>
  <c r="DC16" i="1"/>
  <c r="L25" i="3"/>
  <c r="K25" i="3"/>
  <c r="K4" i="6"/>
  <c r="J34" i="3" a="1"/>
  <c r="J34" i="3" s="1"/>
  <c r="J36" i="3" s="1"/>
  <c r="P8" i="6"/>
  <c r="P7" i="6"/>
  <c r="P6" i="6"/>
  <c r="C35" i="3" a="1"/>
  <c r="C35" i="3" s="1"/>
  <c r="C36" i="3" s="1"/>
  <c r="FO40" i="1"/>
  <c r="H28" i="3"/>
  <c r="CY158" i="1"/>
  <c r="DK158" i="1"/>
  <c r="CU160" i="1"/>
  <c r="DG160" i="1"/>
  <c r="CS161" i="1"/>
  <c r="CQ162" i="1"/>
  <c r="DC162" i="1"/>
  <c r="CW163" i="1"/>
  <c r="EO9" i="2"/>
  <c r="FA157" i="2"/>
  <c r="FB9" i="2"/>
  <c r="CO11" i="2"/>
  <c r="CO159" i="2" s="1"/>
  <c r="CW13" i="2"/>
  <c r="CW161" i="2" s="1"/>
  <c r="DJ14" i="2"/>
  <c r="DJ162" i="2" s="1"/>
  <c r="FI162" i="2"/>
  <c r="FO14" i="2"/>
  <c r="FO162" i="2" s="1"/>
  <c r="AK15" i="2"/>
  <c r="BU15" i="2"/>
  <c r="E27" i="2"/>
  <c r="Q27" i="2"/>
  <c r="EV27" i="2"/>
  <c r="FI27" i="2"/>
  <c r="DQ39" i="2"/>
  <c r="DA157" i="2"/>
  <c r="DB10" i="1"/>
  <c r="BB161" i="1"/>
  <c r="DN158" i="2"/>
  <c r="DO10" i="2"/>
  <c r="DO158" i="2" s="1"/>
  <c r="CY161" i="1"/>
  <c r="AV27" i="2"/>
  <c r="DN159" i="2"/>
  <c r="DO11" i="2"/>
  <c r="DO159" i="2" s="1"/>
  <c r="CX16" i="1"/>
  <c r="CZ161" i="1"/>
  <c r="CW157" i="2"/>
  <c r="CX157" i="2"/>
  <c r="DJ157" i="2"/>
  <c r="DJ15" i="2"/>
  <c r="CR16" i="1"/>
  <c r="L33" i="3" a="1"/>
  <c r="L33" i="3" s="1"/>
  <c r="DB22" i="1"/>
  <c r="L4" i="6"/>
  <c r="K34" i="3" a="1"/>
  <c r="K34" i="3" s="1"/>
  <c r="K36" i="3" s="1"/>
  <c r="E7" i="6"/>
  <c r="E6" i="6"/>
  <c r="E8" i="6"/>
  <c r="D35" i="3" a="1"/>
  <c r="D35" i="3" s="1"/>
  <c r="D36" i="3" s="1"/>
  <c r="CZ158" i="1"/>
  <c r="DL158" i="1"/>
  <c r="CX159" i="1"/>
  <c r="DJ159" i="1"/>
  <c r="CV160" i="1"/>
  <c r="DH160" i="1"/>
  <c r="CT161" i="1"/>
  <c r="DF161" i="1"/>
  <c r="CR162" i="1"/>
  <c r="DD162" i="1"/>
  <c r="DC163" i="1"/>
  <c r="CP9" i="2"/>
  <c r="CX11" i="2"/>
  <c r="CX159" i="2" s="1"/>
  <c r="DB12" i="2"/>
  <c r="DB160" i="2" s="1"/>
  <c r="DF13" i="2"/>
  <c r="DF161" i="2" s="1"/>
  <c r="DK14" i="2"/>
  <c r="DK162" i="2" s="1"/>
  <c r="J15" i="2"/>
  <c r="AT15" i="2"/>
  <c r="CD15" i="2"/>
  <c r="EX15" i="2"/>
  <c r="CZ27" i="2"/>
  <c r="DX27" i="2"/>
  <c r="EJ27" i="2"/>
  <c r="FO21" i="2"/>
  <c r="FO27" i="2" s="1"/>
  <c r="V39" i="2"/>
  <c r="AH39" i="2"/>
  <c r="BG39" i="2"/>
  <c r="BS39" i="2"/>
  <c r="DE39" i="2"/>
  <c r="AR54" i="2"/>
  <c r="BD54" i="2"/>
  <c r="O66" i="2"/>
  <c r="AA66" i="2"/>
  <c r="AB60" i="2"/>
  <c r="AB66" i="2" s="1"/>
  <c r="CV14" i="2"/>
  <c r="CV162" i="2" s="1"/>
  <c r="CV163" i="1"/>
  <c r="D52" i="3"/>
  <c r="DB11" i="1"/>
  <c r="DB159" i="1" s="1"/>
  <c r="E4" i="6"/>
  <c r="FO118" i="1"/>
  <c r="F16" i="3" s="1" a="1"/>
  <c r="F16" i="3" s="1"/>
  <c r="DI162" i="1"/>
  <c r="DJ16" i="1"/>
  <c r="CP160" i="1"/>
  <c r="EB12" i="2"/>
  <c r="EB160" i="2" s="1"/>
  <c r="CO14" i="2"/>
  <c r="CO162" i="2" s="1"/>
  <c r="CL39" i="2"/>
  <c r="DK157" i="2"/>
  <c r="M33" i="3" a="1"/>
  <c r="M33" i="3" s="1"/>
  <c r="M4" i="6"/>
  <c r="F6" i="6"/>
  <c r="F8" i="6"/>
  <c r="F7" i="6"/>
  <c r="FO67" i="1"/>
  <c r="E15" i="3" s="1" a="1"/>
  <c r="E15" i="3" s="1"/>
  <c r="DA158" i="1"/>
  <c r="DM158" i="1"/>
  <c r="CY159" i="1"/>
  <c r="DK159" i="1"/>
  <c r="CW160" i="1"/>
  <c r="DI160" i="1"/>
  <c r="CU161" i="1"/>
  <c r="DG161" i="1"/>
  <c r="CS162" i="1"/>
  <c r="DE162" i="1"/>
  <c r="DD163" i="1"/>
  <c r="DL14" i="2"/>
  <c r="DL162" i="2" s="1"/>
  <c r="K15" i="2"/>
  <c r="AU15" i="2"/>
  <c r="CE15" i="2"/>
  <c r="EY15" i="2"/>
  <c r="CO27" i="2"/>
  <c r="CG39" i="2"/>
  <c r="AF54" i="2"/>
  <c r="DB48" i="2"/>
  <c r="DB54" i="2" s="1"/>
  <c r="DN54" i="2"/>
  <c r="DO48" i="2"/>
  <c r="DO54" i="2" s="1"/>
  <c r="O33" i="3" a="1"/>
  <c r="O33" i="3" s="1"/>
  <c r="C53" i="3"/>
  <c r="D14" i="3" a="1"/>
  <c r="D14" i="3" s="1"/>
  <c r="D17" i="3" s="1"/>
  <c r="B7" i="3" s="1"/>
  <c r="DZ15" i="2"/>
  <c r="J22" i="3"/>
  <c r="D28" i="3"/>
  <c r="K27" i="2"/>
  <c r="DO11" i="1"/>
  <c r="DO159" i="1" s="1"/>
  <c r="J23" i="3"/>
  <c r="DN160" i="1"/>
  <c r="X15" i="2"/>
  <c r="EW39" i="2"/>
  <c r="CA93" i="2"/>
  <c r="CB87" i="2"/>
  <c r="CB93" i="2" s="1"/>
  <c r="CY157" i="2"/>
  <c r="CY15" i="2"/>
  <c r="CZ157" i="2"/>
  <c r="CZ15" i="2"/>
  <c r="DL157" i="2"/>
  <c r="O163" i="1"/>
  <c r="CU14" i="2"/>
  <c r="CU162" i="2" s="1"/>
  <c r="CU163" i="1"/>
  <c r="DG14" i="2"/>
  <c r="DG162" i="2" s="1"/>
  <c r="DG163" i="1"/>
  <c r="FO163" i="1"/>
  <c r="O5" i="6"/>
  <c r="CT16" i="1"/>
  <c r="DF16" i="1"/>
  <c r="N33" i="3" a="1"/>
  <c r="N33" i="3" s="1"/>
  <c r="DB23" i="1"/>
  <c r="N4" i="6"/>
  <c r="G8" i="6"/>
  <c r="G7" i="6"/>
  <c r="G6" i="6"/>
  <c r="F28" i="3"/>
  <c r="CZ159" i="1"/>
  <c r="DL159" i="1"/>
  <c r="CV161" i="1"/>
  <c r="DH161" i="1"/>
  <c r="DE163" i="1"/>
  <c r="DM14" i="2"/>
  <c r="DM162" i="2" s="1"/>
  <c r="L15" i="2"/>
  <c r="AV15" i="2"/>
  <c r="CF15" i="2"/>
  <c r="DP15" i="2"/>
  <c r="EZ15" i="2"/>
  <c r="H27" i="2"/>
  <c r="T27" i="2"/>
  <c r="CD27" i="2"/>
  <c r="CP27" i="2"/>
  <c r="DN27" i="2"/>
  <c r="DZ27" i="2"/>
  <c r="EL27" i="2"/>
  <c r="K39" i="2"/>
  <c r="EP157" i="2"/>
  <c r="AP158" i="2"/>
  <c r="BN158" i="2"/>
  <c r="BZ158" i="2"/>
  <c r="CL158" i="2"/>
  <c r="DZ159" i="2"/>
  <c r="EL159" i="2"/>
  <c r="Z160" i="2"/>
  <c r="AL160" i="2"/>
  <c r="N15" i="2"/>
  <c r="Z15" i="2"/>
  <c r="AL15" i="2"/>
  <c r="AX15" i="2"/>
  <c r="BJ15" i="2"/>
  <c r="BV15" i="2"/>
  <c r="CH15" i="2"/>
  <c r="DR15" i="2"/>
  <c r="ED15" i="2"/>
  <c r="EP15" i="2"/>
  <c r="G39" i="2"/>
  <c r="AS39" i="2"/>
  <c r="BE39" i="2"/>
  <c r="BQ39" i="2"/>
  <c r="H54" i="2"/>
  <c r="T54" i="2"/>
  <c r="DP54" i="2"/>
  <c r="EB54" i="2"/>
  <c r="EO54" i="2"/>
  <c r="DB66" i="2"/>
  <c r="BO158" i="2"/>
  <c r="BO13" i="2"/>
  <c r="BO161" i="2" s="1"/>
  <c r="C15" i="2"/>
  <c r="O15" i="2"/>
  <c r="AA15" i="2"/>
  <c r="AM15" i="2"/>
  <c r="AY15" i="2"/>
  <c r="BK15" i="2"/>
  <c r="BW15" i="2"/>
  <c r="CI15" i="2"/>
  <c r="DS15" i="2"/>
  <c r="EE15" i="2"/>
  <c r="EQ15" i="2"/>
  <c r="FC15" i="2"/>
  <c r="U39" i="2"/>
  <c r="AG39" i="2"/>
  <c r="EB33" i="2"/>
  <c r="EB39" i="2" s="1"/>
  <c r="FA39" i="2"/>
  <c r="CR54" i="2"/>
  <c r="DD54" i="2"/>
  <c r="DQ54" i="2"/>
  <c r="EC54" i="2"/>
  <c r="EP54" i="2"/>
  <c r="EN54" i="2"/>
  <c r="CB158" i="2"/>
  <c r="EB162" i="2"/>
  <c r="D15" i="2"/>
  <c r="P15" i="2"/>
  <c r="AB15" i="2"/>
  <c r="AN15" i="2"/>
  <c r="AZ15" i="2"/>
  <c r="BL15" i="2"/>
  <c r="BX15" i="2"/>
  <c r="CJ15" i="2"/>
  <c r="DT15" i="2"/>
  <c r="EF15" i="2"/>
  <c r="ER15" i="2"/>
  <c r="FD15" i="2"/>
  <c r="I39" i="2"/>
  <c r="BU54" i="2"/>
  <c r="CG54" i="2"/>
  <c r="DE54" i="2"/>
  <c r="DR54" i="2"/>
  <c r="ED54" i="2"/>
  <c r="FD54" i="2"/>
  <c r="AF66" i="2"/>
  <c r="BE66" i="2"/>
  <c r="AO9" i="2"/>
  <c r="CO10" i="2"/>
  <c r="CO158" i="2" s="1"/>
  <c r="EO11" i="2"/>
  <c r="EO159" i="2" s="1"/>
  <c r="AO12" i="2"/>
  <c r="AO160" i="2" s="1"/>
  <c r="CO13" i="2"/>
  <c r="CO161" i="2" s="1"/>
  <c r="EO162" i="2"/>
  <c r="E15" i="2"/>
  <c r="Q15" i="2"/>
  <c r="AC15" i="2"/>
  <c r="BA15" i="2"/>
  <c r="BM15" i="2"/>
  <c r="BY15" i="2"/>
  <c r="CK15" i="2"/>
  <c r="DU15" i="2"/>
  <c r="EG15" i="2"/>
  <c r="ES15" i="2"/>
  <c r="FE15" i="2"/>
  <c r="D27" i="2"/>
  <c r="P27" i="2"/>
  <c r="AB27" i="2"/>
  <c r="AN27" i="2"/>
  <c r="AZ27" i="2"/>
  <c r="BL27" i="2"/>
  <c r="BX27" i="2"/>
  <c r="CJ27" i="2"/>
  <c r="CV27" i="2"/>
  <c r="DH27" i="2"/>
  <c r="DT27" i="2"/>
  <c r="EF27" i="2"/>
  <c r="ER27" i="2"/>
  <c r="FD27" i="2"/>
  <c r="CT39" i="2"/>
  <c r="DF39" i="2"/>
  <c r="DR39" i="2"/>
  <c r="ED39" i="2"/>
  <c r="EP39" i="2"/>
  <c r="AW54" i="2"/>
  <c r="BI54" i="2"/>
  <c r="BV54" i="2"/>
  <c r="DF54" i="2"/>
  <c r="ER54" i="2"/>
  <c r="FE54" i="2"/>
  <c r="H66" i="2"/>
  <c r="T66" i="2"/>
  <c r="ED66" i="2"/>
  <c r="FB66" i="2"/>
  <c r="F157" i="2"/>
  <c r="R157" i="2"/>
  <c r="AD157" i="2"/>
  <c r="BB9" i="2"/>
  <c r="DZ158" i="2"/>
  <c r="EX158" i="2"/>
  <c r="FO10" i="2"/>
  <c r="FO158" i="2" s="1"/>
  <c r="FB11" i="2"/>
  <c r="FB159" i="2" s="1"/>
  <c r="BB12" i="2"/>
  <c r="BB160" i="2" s="1"/>
  <c r="CL160" i="2"/>
  <c r="FO13" i="2"/>
  <c r="FO161" i="2" s="1"/>
  <c r="N162" i="2"/>
  <c r="FB14" i="2"/>
  <c r="FB162" i="2" s="1"/>
  <c r="F15" i="2"/>
  <c r="R15" i="2"/>
  <c r="AD15" i="2"/>
  <c r="AP15" i="2"/>
  <c r="BN15" i="2"/>
  <c r="BZ15" i="2"/>
  <c r="CL15" i="2"/>
  <c r="DV15" i="2"/>
  <c r="EH15" i="2"/>
  <c r="ET15" i="2"/>
  <c r="FF15" i="2"/>
  <c r="AO21" i="2"/>
  <c r="AO27" i="2" s="1"/>
  <c r="FE27" i="2"/>
  <c r="CH39" i="2"/>
  <c r="CU39" i="2"/>
  <c r="DG39" i="2"/>
  <c r="DS39" i="2"/>
  <c r="EE39" i="2"/>
  <c r="EQ39" i="2"/>
  <c r="FC39" i="2"/>
  <c r="AK54" i="2"/>
  <c r="AX54" i="2"/>
  <c r="BJ54" i="2"/>
  <c r="DT54" i="2"/>
  <c r="EF54" i="2"/>
  <c r="ES54" i="2"/>
  <c r="U66" i="2"/>
  <c r="DF66" i="2"/>
  <c r="DR66" i="2"/>
  <c r="S157" i="2"/>
  <c r="AE157" i="2"/>
  <c r="AQ157" i="2"/>
  <c r="BC157" i="2"/>
  <c r="BO157" i="2"/>
  <c r="CA157" i="2"/>
  <c r="EM158" i="2"/>
  <c r="C159" i="2"/>
  <c r="O159" i="2"/>
  <c r="AA159" i="2"/>
  <c r="BO160" i="2"/>
  <c r="O162" i="2"/>
  <c r="G15" i="2"/>
  <c r="S15" i="2"/>
  <c r="AE15" i="2"/>
  <c r="AQ15" i="2"/>
  <c r="BC15" i="2"/>
  <c r="BO15" i="2"/>
  <c r="CA15" i="2"/>
  <c r="CM15" i="2"/>
  <c r="DW15" i="2"/>
  <c r="EI15" i="2"/>
  <c r="EU15" i="2"/>
  <c r="FG15" i="2"/>
  <c r="F27" i="2"/>
  <c r="R27" i="2"/>
  <c r="AD27" i="2"/>
  <c r="AP27" i="2"/>
  <c r="BB27" i="2"/>
  <c r="BN27" i="2"/>
  <c r="BZ27" i="2"/>
  <c r="CL27" i="2"/>
  <c r="CX27" i="2"/>
  <c r="DJ27" i="2"/>
  <c r="DV27" i="2"/>
  <c r="EH27" i="2"/>
  <c r="ET27" i="2"/>
  <c r="FF27" i="2"/>
  <c r="AX39" i="2"/>
  <c r="BJ39" i="2"/>
  <c r="BV39" i="2"/>
  <c r="CI39" i="2"/>
  <c r="CV39" i="2"/>
  <c r="DH39" i="2"/>
  <c r="DT39" i="2"/>
  <c r="M54" i="2"/>
  <c r="Y54" i="2"/>
  <c r="AL54" i="2"/>
  <c r="BX54" i="2"/>
  <c r="CJ54" i="2"/>
  <c r="EG54" i="2"/>
  <c r="CT66" i="2"/>
  <c r="ER66" i="2"/>
  <c r="FD66" i="2"/>
  <c r="CB9" i="2"/>
  <c r="AB159" i="2"/>
  <c r="H15" i="2"/>
  <c r="T15" i="2"/>
  <c r="AF15" i="2"/>
  <c r="AR15" i="2"/>
  <c r="BD15" i="2"/>
  <c r="BP15" i="2"/>
  <c r="CN15" i="2"/>
  <c r="DX15" i="2"/>
  <c r="EJ15" i="2"/>
  <c r="EV15" i="2"/>
  <c r="FH15" i="2"/>
  <c r="S27" i="2"/>
  <c r="AE27" i="2"/>
  <c r="AQ27" i="2"/>
  <c r="BC27" i="2"/>
  <c r="BO27" i="2"/>
  <c r="CA27" i="2"/>
  <c r="CM27" i="2"/>
  <c r="CY27" i="2"/>
  <c r="DK27" i="2"/>
  <c r="DW27" i="2"/>
  <c r="EI27" i="2"/>
  <c r="EU27" i="2"/>
  <c r="FG27" i="2"/>
  <c r="Z39" i="2"/>
  <c r="AL39" i="2"/>
  <c r="BK39" i="2"/>
  <c r="BW39" i="2"/>
  <c r="CJ39" i="2"/>
  <c r="CW39" i="2"/>
  <c r="DI39" i="2"/>
  <c r="DU39" i="2"/>
  <c r="EG39" i="2"/>
  <c r="ES39" i="2"/>
  <c r="FE39" i="2"/>
  <c r="N54" i="2"/>
  <c r="Z54" i="2"/>
  <c r="AZ54" i="2"/>
  <c r="BL54" i="2"/>
  <c r="BY54" i="2"/>
  <c r="CK54" i="2"/>
  <c r="CW54" i="2"/>
  <c r="DI54" i="2"/>
  <c r="BV66" i="2"/>
  <c r="CH66" i="2"/>
  <c r="DH66" i="2"/>
  <c r="EG66" i="2"/>
  <c r="CY93" i="2"/>
  <c r="AS157" i="2"/>
  <c r="BE157" i="2"/>
  <c r="BQ157" i="2"/>
  <c r="CC157" i="2"/>
  <c r="CO9" i="2"/>
  <c r="DY157" i="2"/>
  <c r="EK157" i="2"/>
  <c r="EW157" i="2"/>
  <c r="EO10" i="2"/>
  <c r="EO158" i="2" s="1"/>
  <c r="AO11" i="2"/>
  <c r="AO159" i="2" s="1"/>
  <c r="BY159" i="2"/>
  <c r="CK159" i="2"/>
  <c r="DU159" i="2"/>
  <c r="EG159" i="2"/>
  <c r="CO12" i="2"/>
  <c r="CO160" i="2" s="1"/>
  <c r="Y161" i="2"/>
  <c r="AK161" i="2"/>
  <c r="AW161" i="2"/>
  <c r="BI161" i="2"/>
  <c r="BU161" i="2"/>
  <c r="CG161" i="2"/>
  <c r="EO13" i="2"/>
  <c r="EO161" i="2" s="1"/>
  <c r="AO14" i="2"/>
  <c r="AO162" i="2" s="1"/>
  <c r="I15" i="2"/>
  <c r="U15" i="2"/>
  <c r="AG15" i="2"/>
  <c r="AS15" i="2"/>
  <c r="BE15" i="2"/>
  <c r="BQ15" i="2"/>
  <c r="CC15" i="2"/>
  <c r="DY15" i="2"/>
  <c r="EK15" i="2"/>
  <c r="EW15" i="2"/>
  <c r="FI15" i="2"/>
  <c r="CB21" i="2"/>
  <c r="CB27" i="2" s="1"/>
  <c r="O33" i="2"/>
  <c r="O39" i="2" s="1"/>
  <c r="N39" i="2"/>
  <c r="BX39" i="2"/>
  <c r="CX39" i="2"/>
  <c r="DJ39" i="2"/>
  <c r="DV39" i="2"/>
  <c r="EH39" i="2"/>
  <c r="ET39" i="2"/>
  <c r="O54" i="2"/>
  <c r="AB54" i="2"/>
  <c r="AO54" i="2"/>
  <c r="BJ66" i="2"/>
  <c r="CV66" i="2"/>
  <c r="DU66" i="2"/>
  <c r="BO111" i="2"/>
  <c r="BO117" i="2" s="1"/>
  <c r="BN117" i="2"/>
  <c r="FO117" i="2"/>
  <c r="FA54" i="2"/>
  <c r="N66" i="2"/>
  <c r="Z66" i="2"/>
  <c r="AL66" i="2"/>
  <c r="CN66" i="2"/>
  <c r="AO66" i="2"/>
  <c r="BA66" i="2"/>
  <c r="BZ66" i="2"/>
  <c r="CL66" i="2"/>
  <c r="ET66" i="2"/>
  <c r="FF66" i="2"/>
  <c r="E66" i="2"/>
  <c r="Q66" i="2"/>
  <c r="AC66" i="2"/>
  <c r="AP66" i="2"/>
  <c r="BB66" i="2"/>
  <c r="BO60" i="2"/>
  <c r="BO66" i="2" s="1"/>
  <c r="BN66" i="2"/>
  <c r="EY78" i="2"/>
  <c r="AN39" i="2"/>
  <c r="AA54" i="2"/>
  <c r="F66" i="2"/>
  <c r="R66" i="2"/>
  <c r="AD66" i="2"/>
  <c r="AQ66" i="2"/>
  <c r="BC66" i="2"/>
  <c r="DA66" i="2"/>
  <c r="CO78" i="2"/>
  <c r="DB78" i="2"/>
  <c r="EM78" i="2"/>
  <c r="CH93" i="2"/>
  <c r="CU93" i="2"/>
  <c r="AN54" i="2"/>
  <c r="G66" i="2"/>
  <c r="S66" i="2"/>
  <c r="AE66" i="2"/>
  <c r="DC78" i="2"/>
  <c r="DO78" i="2"/>
  <c r="EB78" i="2"/>
  <c r="EO78" i="2"/>
  <c r="FB78" i="2"/>
  <c r="AX93" i="2"/>
  <c r="BJ93" i="2"/>
  <c r="ET93" i="2"/>
  <c r="BR66" i="2"/>
  <c r="CD66" i="2"/>
  <c r="CP66" i="2"/>
  <c r="DN66" i="2"/>
  <c r="DZ66" i="2"/>
  <c r="EL66" i="2"/>
  <c r="EX66" i="2"/>
  <c r="FO60" i="2"/>
  <c r="FO66" i="2" s="1"/>
  <c r="CQ78" i="2"/>
  <c r="DD78" i="2"/>
  <c r="DP78" i="2"/>
  <c r="Z93" i="2"/>
  <c r="AL93" i="2"/>
  <c r="AY93" i="2"/>
  <c r="BK93" i="2"/>
  <c r="BW93" i="2"/>
  <c r="DJ93" i="2"/>
  <c r="DV93" i="2"/>
  <c r="EH93" i="2"/>
  <c r="EU93" i="2"/>
  <c r="BZ54" i="2"/>
  <c r="CL54" i="2"/>
  <c r="CX54" i="2"/>
  <c r="DJ54" i="2"/>
  <c r="DV54" i="2"/>
  <c r="EH54" i="2"/>
  <c r="ET54" i="2"/>
  <c r="FF54" i="2"/>
  <c r="BN54" i="2"/>
  <c r="AT66" i="2"/>
  <c r="BF66" i="2"/>
  <c r="BS66" i="2"/>
  <c r="CE66" i="2"/>
  <c r="CQ66" i="2"/>
  <c r="DC66" i="2"/>
  <c r="DO66" i="2"/>
  <c r="EA66" i="2"/>
  <c r="EM66" i="2"/>
  <c r="EY66" i="2"/>
  <c r="BG78" i="2"/>
  <c r="BS78" i="2"/>
  <c r="CE78" i="2"/>
  <c r="CR78" i="2"/>
  <c r="FD78" i="2"/>
  <c r="CN78" i="2"/>
  <c r="O87" i="2"/>
  <c r="O93" i="2" s="1"/>
  <c r="N93" i="2"/>
  <c r="AA93" i="2"/>
  <c r="AM93" i="2"/>
  <c r="DK93" i="2"/>
  <c r="DW93" i="2"/>
  <c r="EI93" i="2"/>
  <c r="CN39" i="2"/>
  <c r="J66" i="2"/>
  <c r="V66" i="2"/>
  <c r="AH66" i="2"/>
  <c r="AU66" i="2"/>
  <c r="BG66" i="2"/>
  <c r="BT66" i="2"/>
  <c r="CF66" i="2"/>
  <c r="CR66" i="2"/>
  <c r="DD66" i="2"/>
  <c r="DP66" i="2"/>
  <c r="EB60" i="2"/>
  <c r="EB66" i="2" s="1"/>
  <c r="EN66" i="2"/>
  <c r="EZ66" i="2"/>
  <c r="AI78" i="2"/>
  <c r="AU78" i="2"/>
  <c r="BH78" i="2"/>
  <c r="BT78" i="2"/>
  <c r="CF78" i="2"/>
  <c r="ER78" i="2"/>
  <c r="C93" i="2"/>
  <c r="AB93" i="2"/>
  <c r="AO93" i="2"/>
  <c r="CL93" i="2"/>
  <c r="FO93" i="2"/>
  <c r="EA93" i="2"/>
  <c r="CB54" i="2"/>
  <c r="CN54" i="2"/>
  <c r="CZ54" i="2"/>
  <c r="DL54" i="2"/>
  <c r="DX54" i="2"/>
  <c r="EJ54" i="2"/>
  <c r="EV54" i="2"/>
  <c r="FH54" i="2"/>
  <c r="W66" i="2"/>
  <c r="AI66" i="2"/>
  <c r="AV66" i="2"/>
  <c r="BH66" i="2"/>
  <c r="BU66" i="2"/>
  <c r="CG66" i="2"/>
  <c r="CS66" i="2"/>
  <c r="DE66" i="2"/>
  <c r="DQ66" i="2"/>
  <c r="EC66" i="2"/>
  <c r="EO66" i="2"/>
  <c r="FA66" i="2"/>
  <c r="K78" i="2"/>
  <c r="W78" i="2"/>
  <c r="AJ78" i="2"/>
  <c r="AV78" i="2"/>
  <c r="EF78" i="2"/>
  <c r="AP93" i="2"/>
  <c r="BB93" i="2"/>
  <c r="BN93" i="2"/>
  <c r="BZ93" i="2"/>
  <c r="CB99" i="2"/>
  <c r="CB105" i="2" s="1"/>
  <c r="CA105" i="2"/>
  <c r="EX105" i="2"/>
  <c r="DA78" i="2"/>
  <c r="CO87" i="2"/>
  <c r="CO93" i="2" s="1"/>
  <c r="DA93" i="2"/>
  <c r="FI93" i="2"/>
  <c r="EO99" i="2"/>
  <c r="EO105" i="2" s="1"/>
  <c r="EN105" i="2"/>
  <c r="DB117" i="2"/>
  <c r="EA78" i="2"/>
  <c r="J93" i="2"/>
  <c r="V93" i="2"/>
  <c r="AH93" i="2"/>
  <c r="AT93" i="2"/>
  <c r="BF93" i="2"/>
  <c r="BR93" i="2"/>
  <c r="CD93" i="2"/>
  <c r="CP93" i="2"/>
  <c r="DN93" i="2"/>
  <c r="DZ93" i="2"/>
  <c r="EL93" i="2"/>
  <c r="EX93" i="2"/>
  <c r="U117" i="2"/>
  <c r="DO117" i="2"/>
  <c r="EN78" i="2"/>
  <c r="CT105" i="2"/>
  <c r="DF105" i="2"/>
  <c r="I117" i="2"/>
  <c r="V117" i="2"/>
  <c r="AH117" i="2"/>
  <c r="AT117" i="2"/>
  <c r="FB117" i="2"/>
  <c r="FA78" i="2"/>
  <c r="CH105" i="2"/>
  <c r="CU105" i="2"/>
  <c r="DG105" i="2"/>
  <c r="DS105" i="2"/>
  <c r="EO87" i="2"/>
  <c r="EO93" i="2" s="1"/>
  <c r="AN93" i="2"/>
  <c r="AL105" i="2"/>
  <c r="AX105" i="2"/>
  <c r="BJ105" i="2"/>
  <c r="BV105" i="2"/>
  <c r="CI105" i="2"/>
  <c r="M13" i="5"/>
  <c r="K13" i="5"/>
  <c r="T13" i="5" s="1"/>
  <c r="Z105" i="2"/>
  <c r="AM105" i="2"/>
  <c r="AY105" i="2"/>
  <c r="BK105" i="2"/>
  <c r="BW105" i="2"/>
  <c r="Y117" i="2"/>
  <c r="AK117" i="2"/>
  <c r="BV117" i="2"/>
  <c r="O99" i="2"/>
  <c r="O105" i="2" s="1"/>
  <c r="N105" i="2"/>
  <c r="AB105" i="2"/>
  <c r="M117" i="2"/>
  <c r="Z117" i="2"/>
  <c r="AL117" i="2"/>
  <c r="AX117" i="2"/>
  <c r="BJ117" i="2"/>
  <c r="BA78" i="2"/>
  <c r="ER93" i="2"/>
  <c r="FD93" i="2"/>
  <c r="C105" i="2"/>
  <c r="AO105" i="2"/>
  <c r="O117" i="2"/>
  <c r="BM93" i="2"/>
  <c r="BY93" i="2"/>
  <c r="CK93" i="2"/>
  <c r="CW93" i="2"/>
  <c r="DI93" i="2"/>
  <c r="DU93" i="2"/>
  <c r="EG93" i="2"/>
  <c r="ES93" i="2"/>
  <c r="FE93" i="2"/>
  <c r="D105" i="2"/>
  <c r="AB117" i="2"/>
  <c r="CN105" i="2"/>
  <c r="CA117" i="2"/>
  <c r="M25" i="5"/>
  <c r="K25" i="5"/>
  <c r="T25" i="5" s="1"/>
  <c r="W25" i="5" s="1"/>
  <c r="M17" i="5"/>
  <c r="L17" i="5"/>
  <c r="K17" i="5"/>
  <c r="K30" i="5"/>
  <c r="T30" i="5" s="1"/>
  <c r="M30" i="5"/>
  <c r="L30" i="5"/>
  <c r="EA117" i="2"/>
  <c r="FA117" i="2"/>
  <c r="AA105" i="2"/>
  <c r="N117" i="2"/>
  <c r="S23" i="5"/>
  <c r="U23" i="5" s="1"/>
  <c r="K26" i="5"/>
  <c r="T26" i="5" s="1"/>
  <c r="W26" i="5" s="1"/>
  <c r="M18" i="5"/>
  <c r="M21" i="5"/>
  <c r="L21" i="5"/>
  <c r="U22" i="5"/>
  <c r="T19" i="5"/>
  <c r="M27" i="5"/>
  <c r="L27" i="5"/>
  <c r="S16" i="5"/>
  <c r="U19" i="5"/>
  <c r="L22" i="5"/>
  <c r="U28" i="5"/>
  <c r="U15" i="5"/>
  <c r="W15" i="5" s="1"/>
  <c r="L19" i="5"/>
  <c r="S20" i="5"/>
  <c r="U20" i="5" s="1"/>
  <c r="L26" i="5"/>
  <c r="M15" i="5"/>
  <c r="L15" i="5"/>
  <c r="M23" i="5"/>
  <c r="L23" i="5"/>
  <c r="K23" i="5"/>
  <c r="T23" i="5" s="1"/>
  <c r="B7" i="5"/>
  <c r="U16" i="5"/>
  <c r="S18" i="5"/>
  <c r="U18" i="5" s="1"/>
  <c r="W18" i="5" s="1"/>
  <c r="S21" i="5"/>
  <c r="U21" i="5" s="1"/>
  <c r="W21" i="5" s="1"/>
  <c r="S26" i="5"/>
  <c r="U26" i="5" s="1"/>
  <c r="U30" i="5"/>
  <c r="U13" i="5"/>
  <c r="K27" i="5"/>
  <c r="T27" i="5" s="1"/>
  <c r="M29" i="5"/>
  <c r="L29" i="5"/>
  <c r="K29" i="5"/>
  <c r="T29" i="5" s="1"/>
  <c r="W29" i="5" s="1"/>
  <c r="L13" i="5"/>
  <c r="S14" i="5"/>
  <c r="U14" i="5" s="1"/>
  <c r="W14" i="5" s="1"/>
  <c r="L16" i="5"/>
  <c r="T17" i="5"/>
  <c r="W17" i="5" s="1"/>
  <c r="K20" i="5"/>
  <c r="T20" i="5" s="1"/>
  <c r="U25" i="5"/>
  <c r="S27" i="5"/>
  <c r="U27" i="5" s="1"/>
  <c r="D31" i="5"/>
  <c r="K16" i="5"/>
  <c r="T16" i="5" s="1"/>
  <c r="W16" i="5" s="1"/>
  <c r="K22" i="5"/>
  <c r="T22" i="5" s="1"/>
  <c r="W22" i="5" s="1"/>
  <c r="K28" i="5"/>
  <c r="T28" i="5" s="1"/>
  <c r="E31" i="5"/>
  <c r="H52" i="3" l="1"/>
  <c r="W24" i="5"/>
  <c r="DM15" i="2"/>
  <c r="O157" i="2"/>
  <c r="E42" i="3"/>
  <c r="I42" i="3" s="1"/>
  <c r="D49" i="3"/>
  <c r="F49" i="3" s="1"/>
  <c r="CW15" i="2"/>
  <c r="E51" i="3"/>
  <c r="I52" i="3" s="1"/>
  <c r="W28" i="5"/>
  <c r="V28" i="5" s="1"/>
  <c r="W23" i="5"/>
  <c r="CV15" i="2"/>
  <c r="D46" i="3"/>
  <c r="E50" i="3"/>
  <c r="D45" i="3"/>
  <c r="C44" i="3"/>
  <c r="DB28" i="1"/>
  <c r="D48" i="3" s="1"/>
  <c r="H48" i="3" s="1"/>
  <c r="W30" i="5"/>
  <c r="I45" i="3"/>
  <c r="I49" i="3"/>
  <c r="Y25" i="5"/>
  <c r="X25" i="5"/>
  <c r="V25" i="5"/>
  <c r="V14" i="5"/>
  <c r="Y14" i="5"/>
  <c r="X14" i="5"/>
  <c r="Y21" i="5"/>
  <c r="X21" i="5"/>
  <c r="V21" i="5"/>
  <c r="Y15" i="5"/>
  <c r="X15" i="5"/>
  <c r="V15" i="5"/>
  <c r="T31" i="5"/>
  <c r="W13" i="5"/>
  <c r="Y23" i="5"/>
  <c r="X23" i="5"/>
  <c r="V23" i="5"/>
  <c r="V18" i="5"/>
  <c r="Y18" i="5"/>
  <c r="X18" i="5"/>
  <c r="Y26" i="5"/>
  <c r="V26" i="5"/>
  <c r="X26" i="5"/>
  <c r="X22" i="5"/>
  <c r="V22" i="5"/>
  <c r="Y22" i="5"/>
  <c r="X16" i="5"/>
  <c r="V16" i="5"/>
  <c r="Y16" i="5"/>
  <c r="BB157" i="2"/>
  <c r="BB15" i="2"/>
  <c r="G15" i="3"/>
  <c r="H15" i="3"/>
  <c r="FB157" i="2"/>
  <c r="FB15" i="2"/>
  <c r="O35" i="3" a="1"/>
  <c r="O35" i="3" s="1"/>
  <c r="F14" i="3" a="1"/>
  <c r="F14" i="3" s="1"/>
  <c r="F17" i="3" s="1"/>
  <c r="F7" i="3" s="1"/>
  <c r="E53" i="3"/>
  <c r="I53" i="3" s="1"/>
  <c r="L27" i="3"/>
  <c r="L23" i="3"/>
  <c r="K23" i="3"/>
  <c r="H43" i="3"/>
  <c r="G42" i="3"/>
  <c r="F42" i="3"/>
  <c r="EO157" i="2"/>
  <c r="EO15" i="2"/>
  <c r="DH15" i="2"/>
  <c r="DG15" i="2"/>
  <c r="FO15" i="2"/>
  <c r="CB157" i="2"/>
  <c r="CB15" i="2"/>
  <c r="H16" i="3"/>
  <c r="G16" i="3"/>
  <c r="CU15" i="2"/>
  <c r="DD157" i="2"/>
  <c r="DD15" i="2"/>
  <c r="DE157" i="2"/>
  <c r="DE15" i="2"/>
  <c r="I43" i="3"/>
  <c r="G46" i="3"/>
  <c r="K26" i="3"/>
  <c r="F47" i="3"/>
  <c r="Y29" i="5"/>
  <c r="X29" i="5"/>
  <c r="V29" i="5"/>
  <c r="V30" i="5"/>
  <c r="Y30" i="5"/>
  <c r="X30" i="5"/>
  <c r="V24" i="5"/>
  <c r="Y24" i="5"/>
  <c r="X24" i="5"/>
  <c r="DL15" i="2"/>
  <c r="EB157" i="2"/>
  <c r="EB15" i="2"/>
  <c r="L24" i="3"/>
  <c r="K24" i="3"/>
  <c r="G50" i="3"/>
  <c r="H51" i="3"/>
  <c r="F50" i="3"/>
  <c r="G47" i="3"/>
  <c r="G44" i="3"/>
  <c r="F44" i="3"/>
  <c r="H45" i="3"/>
  <c r="DK15" i="2"/>
  <c r="F52" i="3"/>
  <c r="G52" i="3"/>
  <c r="CX15" i="2"/>
  <c r="I46" i="3"/>
  <c r="G49" i="3"/>
  <c r="DA162" i="2"/>
  <c r="DB14" i="2"/>
  <c r="DB162" i="2" s="1"/>
  <c r="W20" i="5"/>
  <c r="CO157" i="2"/>
  <c r="CO15" i="2"/>
  <c r="J28" i="3"/>
  <c r="CP157" i="2"/>
  <c r="CP15" i="2"/>
  <c r="DB158" i="1"/>
  <c r="DB16" i="1"/>
  <c r="C48" i="3" s="1"/>
  <c r="DN157" i="2"/>
  <c r="DN15" i="2"/>
  <c r="DO9" i="2"/>
  <c r="H50" i="3"/>
  <c r="H44" i="3"/>
  <c r="G43" i="3"/>
  <c r="F43" i="3"/>
  <c r="AO157" i="2"/>
  <c r="AO15" i="2"/>
  <c r="F48" i="3"/>
  <c r="H49" i="3"/>
  <c r="G48" i="3"/>
  <c r="DA15" i="2"/>
  <c r="DN162" i="2"/>
  <c r="DO14" i="2"/>
  <c r="DO162" i="2" s="1"/>
  <c r="DO16" i="1"/>
  <c r="C49" i="3" s="1"/>
  <c r="DO158" i="1"/>
  <c r="H42" i="3"/>
  <c r="G41" i="3"/>
  <c r="F41" i="3"/>
  <c r="Y17" i="5"/>
  <c r="X17" i="5"/>
  <c r="V17" i="5"/>
  <c r="W27" i="5"/>
  <c r="U31" i="5"/>
  <c r="W19" i="5"/>
  <c r="K22" i="3"/>
  <c r="K28" i="3" s="1"/>
  <c r="L22" i="3"/>
  <c r="I28" i="3"/>
  <c r="E14" i="3" a="1"/>
  <c r="E14" i="3" s="1"/>
  <c r="D53" i="3"/>
  <c r="H53" i="3" s="1"/>
  <c r="O34" i="3" a="1"/>
  <c r="O34" i="3" s="1"/>
  <c r="O36" i="3" s="1"/>
  <c r="DF15" i="2"/>
  <c r="DB157" i="2"/>
  <c r="F45" i="3" l="1"/>
  <c r="H46" i="3"/>
  <c r="I51" i="3"/>
  <c r="H47" i="3"/>
  <c r="F46" i="3"/>
  <c r="I50" i="3"/>
  <c r="G45" i="3"/>
  <c r="G51" i="3"/>
  <c r="Y28" i="5"/>
  <c r="X28" i="5"/>
  <c r="DB15" i="2"/>
  <c r="F51" i="3"/>
  <c r="M27" i="3"/>
  <c r="M24" i="3"/>
  <c r="M23" i="3"/>
  <c r="M22" i="3"/>
  <c r="M26" i="3"/>
  <c r="L28" i="3"/>
  <c r="M25" i="3"/>
  <c r="Y19" i="5"/>
  <c r="X19" i="5"/>
  <c r="V19" i="5"/>
  <c r="DO157" i="2"/>
  <c r="DO15" i="2"/>
  <c r="G53" i="3"/>
  <c r="F53" i="3"/>
  <c r="H14" i="3"/>
  <c r="G14" i="3"/>
  <c r="E17" i="3"/>
  <c r="Y20" i="5"/>
  <c r="V20" i="5"/>
  <c r="X20" i="5"/>
  <c r="Y27" i="5"/>
  <c r="X27" i="5"/>
  <c r="V27" i="5"/>
  <c r="Y13" i="5"/>
  <c r="X13" i="5"/>
  <c r="W31" i="5"/>
  <c r="C36" i="5"/>
  <c r="V13" i="5"/>
  <c r="D7" i="5" l="1"/>
  <c r="Y31" i="5"/>
  <c r="I16" i="3"/>
  <c r="I14" i="3"/>
  <c r="D7" i="3"/>
  <c r="H17" i="3"/>
  <c r="H7" i="3" s="1"/>
  <c r="G17" i="3"/>
  <c r="J7" i="3" s="1"/>
  <c r="I15" i="3"/>
  <c r="C35" i="5"/>
  <c r="V31" i="5"/>
  <c r="M28" i="3"/>
  <c r="E36" i="5"/>
  <c r="D36" i="5"/>
  <c r="C37" i="5"/>
  <c r="X31" i="5"/>
  <c r="D35" i="5" l="1"/>
  <c r="E35" i="5"/>
  <c r="I17" i="3"/>
  <c r="E37" i="5"/>
  <c r="D37" i="5"/>
  <c r="H7" i="5"/>
  <c r="F7" i="5"/>
  <c r="D50" i="5"/>
  <c r="D49" i="5"/>
  <c r="D52" i="5"/>
  <c r="D51" i="5"/>
  <c r="D48" i="5"/>
</calcChain>
</file>

<file path=xl/sharedStrings.xml><?xml version="1.0" encoding="utf-8"?>
<sst xmlns="http://schemas.openxmlformats.org/spreadsheetml/2006/main" count="3933" uniqueCount="197">
  <si>
    <t>Ministerio de Obras Públicas – Partida 12</t>
  </si>
  <si>
    <t>Miles de pesos – moneda corriente – montos devengados</t>
  </si>
  <si>
    <t>Subtítulo 31 – Iniciativas de Inversión</t>
  </si>
  <si>
    <t>Presupuesto Ley de Inversión en Infraestructura Pública del Ministerio de Obras Públicas, 2014-2026 (Subtítulo 31 – Iniciativas de Inversión, miles de pesos)</t>
  </si>
  <si>
    <t>2014</t>
  </si>
  <si>
    <t>2015</t>
  </si>
  <si>
    <t>2016</t>
  </si>
  <si>
    <t>2017</t>
  </si>
  <si>
    <t>2018</t>
  </si>
  <si>
    <t>2019</t>
  </si>
  <si>
    <t>2020</t>
  </si>
  <si>
    <t>2021(1)</t>
  </si>
  <si>
    <t>2022(1)</t>
  </si>
  <si>
    <t>2023</t>
  </si>
  <si>
    <t>2024</t>
  </si>
  <si>
    <t>2025</t>
  </si>
  <si>
    <t>2026</t>
  </si>
  <si>
    <t>Programa</t>
  </si>
  <si>
    <t>Ene</t>
  </si>
  <si>
    <t>Feb</t>
  </si>
  <si>
    <t>Mar</t>
  </si>
  <si>
    <t>Abr</t>
  </si>
  <si>
    <t>May</t>
  </si>
  <si>
    <t>Jun</t>
  </si>
  <si>
    <t>Jul</t>
  </si>
  <si>
    <t>Ago</t>
  </si>
  <si>
    <t>Sep</t>
  </si>
  <si>
    <t>Oct</t>
  </si>
  <si>
    <t>Nov</t>
  </si>
  <si>
    <t>Dic</t>
  </si>
  <si>
    <t>Total 2014</t>
  </si>
  <si>
    <t>Total 2015</t>
  </si>
  <si>
    <t>Total 2016</t>
  </si>
  <si>
    <t>Total 2017</t>
  </si>
  <si>
    <t>Total 2018</t>
  </si>
  <si>
    <t>Total 2019</t>
  </si>
  <si>
    <t>Total 2020</t>
  </si>
  <si>
    <t>Total 2021</t>
  </si>
  <si>
    <t>Total 2022</t>
  </si>
  <si>
    <t>Total 2023</t>
  </si>
  <si>
    <t>Total 2024</t>
  </si>
  <si>
    <t>Total 2025</t>
  </si>
  <si>
    <t>Total 2026</t>
  </si>
  <si>
    <t>Dirección de Vialidad</t>
  </si>
  <si>
    <t>Dirección de Obras Hidráulicas</t>
  </si>
  <si>
    <t>Subdirección de APR</t>
  </si>
  <si>
    <t>Dirección de Obras Portuarias</t>
  </si>
  <si>
    <t>Dirección de Aeropuertos</t>
  </si>
  <si>
    <t>Dirección de Arquitectura</t>
  </si>
  <si>
    <t>Total</t>
  </si>
  <si>
    <t>(1) Los años 2021 y 2022 incluyen el Presupuesto Ley del Subtítulo 30, Ítem 10. Fuente: elaboración propia, Dipres.</t>
  </si>
  <si>
    <t>Presupuesto Vigente de Inversión en Infraestructura Pública del Ministerio de Obras Públicas, 2014-2026 (Subtítulo 31 – Iniciativas de Inversión, miles de pesos)</t>
  </si>
  <si>
    <t>(1) Los años 2021 y 2022 incluyen el Presupuesto Vigente del Subtítulo 30, Ítem 10. Fuente: elaboración propia, Dipres.</t>
  </si>
  <si>
    <t>Ejecución de Inversión en Infraestructura Pública del Ministerio de Obras Públicas, 2014-2026 (Subtítulo 31 – Iniciativas de Inversión, miles de pesos)</t>
  </si>
  <si>
    <t>Fuente: elaboración propia, Dipres.</t>
  </si>
  <si>
    <t>Subtítulo 29 – Adquisición de Activos No Financieros</t>
  </si>
  <si>
    <t>Presupuesto Ley de Inversión en Infraestructura Pública del Ministerio de Obras Públicas, 2014-2026 (Subtítulo 29 – Adquisición de Activos No Financieros, miles de pesos)</t>
  </si>
  <si>
    <t>2021</t>
  </si>
  <si>
    <t>2022</t>
  </si>
  <si>
    <t>Presupuesto Vigente de Inversión en Infraestructura Pública del Ministerio de Obras Públicas, 2014-2026 (Subtítulo 29 – Adquisición de Activos No Financieros, miles de pesos)</t>
  </si>
  <si>
    <t>Ejecución de Inversión en Infraestructura Pública del Ministerio de Obras Públicas, 2014-2026 (Subtítulo 29 – Adquisición de Activos No Financieros, miles de pesos)</t>
  </si>
  <si>
    <t>Subtítulo 33 – Transferencias de Capital</t>
  </si>
  <si>
    <t>Presupuesto Ley de Inversión en Infraestructura Pública del Ministerio de Obras Públicas, 2014-2026 (Subtítulo 33 – Transferencias de Capital, miles de pesos)</t>
  </si>
  <si>
    <t>El Subtítulo 33 solo aparece en APR, desde 2023. En los demás Programas y años no está en los informes de ejecución. Fuente: elaboración propia, Dipres.</t>
  </si>
  <si>
    <t>Presupuesto Vigente de Inversión en Infraestructura Pública del Ministerio de Obras Públicas, 2014-2026 (Subtítulo 33 – Transferencias de Capital, miles de pesos)</t>
  </si>
  <si>
    <t>Ejecución de Inversión en Infraestructura Pública del Ministerio de Obras Públicas, 2014-2026 (Subtítulo 33 – Transferencias de Capital, miles de pesos)</t>
  </si>
  <si>
    <t>La columna Total de cada año es el cierre de diciembre (o último mes reportado), no la suma de los doce meses. Dipres informa la ejecución ACUMULADA al mes, así que diciembre ya contiene el año completo; y el Presupuesto Ley y el Vigente son niveles, no flujos, de modo que sumar doce meses los multiplicaría por doce.</t>
  </si>
  <si>
    <t>Las columnas mensuales están agrupadas: la hoja abre mostrando solo las columnas anuales, y con el botón + que aparece sobre cada año se despliegan sus doce meses.</t>
  </si>
  <si>
    <t>Años cargados: 2014 a 2026 (2014 a 2025 cerrados a diciembre; 2026 actualizado a julio).</t>
  </si>
  <si>
    <t>Pendientes de cargar: agosto a diciembre 2026.</t>
  </si>
  <si>
    <t>Los meses de marzo, junio, septiembre y diciembre provienen del informe trimestral, cuyo acumulado corresponde al último mes del trimestre.</t>
  </si>
  <si>
    <t>No se incluye la Dirección General de Concesiones, por tratarse de inversiones con distinta naturaleza de financiamiento.</t>
  </si>
  <si>
    <t>(1) El Fondo de Emergencia Transitorio Covid-19 (Ley Nº 21.288) se aplicó de forma excepcional solo en 2021 y 2022. Es parte del presupuesto, así que su Subtítulo 30, Ítem 10 se suma al Subtítulo 31 en el Presupuesto Ley y en el Presupuesto Vigente de esos dos años. La suma quedó escrita a la vista en cada celda.</t>
  </si>
  <si>
    <t>En 2021 el Fondo tiene Presupuesto Vigente en los seis Programas. En 2022 aparece en el Presupuesto Ley de los seis, pero su Vigente quedó en cero: se retiró durante el año. La única excepción es Arquitectura, que lo mantuvo de enero a junio. El Ítem 10 no registra ejecución en ningún Programa de ninguno de los dos años.</t>
  </si>
  <si>
    <t>No se incluye el programa 120253, Obras Hidráulicas FET - Covid-19, que es un programa aparte sin Presupuesto Ley. El programa principal de Obras Hidráulicas por sí solo cierra 2021 en 129.806.818, que coincide con el archivo histórico del Ministerio.</t>
  </si>
  <si>
    <t>Cifras oficiales obtenidas del Sistema Integrado de Información Financiera / Dirección de Presupuestos (DIPRES), Ministerio de Hacienda.</t>
  </si>
  <si>
    <t>MINISTERIO DE OBRAS PÚBLICAS — DASHBOARD DE INVERSIÓN Y EJECUCIÓN PRESUPUESTARIA</t>
  </si>
  <si>
    <t>Visualizador Analítico Interactivo Tabla a Tabla | Subtítulos 31, 29, 33 y Consolidado Total | Cifras en miles de pesos ($)</t>
  </si>
  <si>
    <t>AÑO SELECCIONADO:</t>
  </si>
  <si>
    <t>COBERTURA TEMPORAL:</t>
  </si>
  <si>
    <t>2014 - 2026 (Ene - Dic)</t>
  </si>
  <si>
    <t>UNIDAD MONETARIA:</t>
  </si>
  <si>
    <t>Miles de $ Corrientes (DIPRES)</t>
  </si>
  <si>
    <t>PRESUPUESTO LEY (INICIAL)</t>
  </si>
  <si>
    <t>PRESUPUESTO VIGENTE</t>
  </si>
  <si>
    <t>EJECUCIÓN ACUMULADA</t>
  </si>
  <si>
    <t>% CUMPLIMIENTO PRESUPUESTARIO</t>
  </si>
  <si>
    <t>SALDO POR EJECUTAR</t>
  </si>
  <si>
    <t>Aprobado Ley de Presupuesto</t>
  </si>
  <si>
    <t>Presupuesto anual actualizado</t>
  </si>
  <si>
    <t>Total devengado en el ejercicio</t>
  </si>
  <si>
    <t>Ejecución devengada / Presupuesto vigente</t>
  </si>
  <si>
    <t>Monto disponible no devengado</t>
  </si>
  <si>
    <t>TABLA 1: RESUMEN CONSOLIDADO POR SUBTÍTULO PRESUPUESTARIO</t>
  </si>
  <si>
    <t>Subtítulo Presupuestario</t>
  </si>
  <si>
    <t>Cód.</t>
  </si>
  <si>
    <t>Presupuesto Ley</t>
  </si>
  <si>
    <t>Presupuesto Vigente</t>
  </si>
  <si>
    <t>Ejecución Acumulada</t>
  </si>
  <si>
    <t>Saldo por Ejecutar</t>
  </si>
  <si>
    <t>% Ejecución</t>
  </si>
  <si>
    <t>% Participación</t>
  </si>
  <si>
    <t>31</t>
  </si>
  <si>
    <t>Subtítulo 29 – Activos No Financieros</t>
  </si>
  <si>
    <t>29</t>
  </si>
  <si>
    <t>33</t>
  </si>
  <si>
    <t>TOTAL INVERSIÓN MOP (31 + 29 + 33)</t>
  </si>
  <si>
    <t>TOTAL</t>
  </si>
  <si>
    <t>TABLA 2: DESGLOSE COMPLETO POR PROGRAMA / DIRECCIÓN (AÑO SELECCIONADO)</t>
  </si>
  <si>
    <t>Dirección / Programa</t>
  </si>
  <si>
    <t>Subt. 31 Vigente</t>
  </si>
  <si>
    <t>Subt. 31 Ejecución</t>
  </si>
  <si>
    <t>Subt. 29 Vigente</t>
  </si>
  <si>
    <t>Subt. 29 Ejecución</t>
  </si>
  <si>
    <t>Subt. 33 Vigente</t>
  </si>
  <si>
    <t>Subt. 33 Ejecución</t>
  </si>
  <si>
    <t>Total Vigente</t>
  </si>
  <si>
    <t>Total Ejecución</t>
  </si>
  <si>
    <t>Saldo</t>
  </si>
  <si>
    <t>% Part. MOP</t>
  </si>
  <si>
    <t>TOTAL MOP</t>
  </si>
  <si>
    <t>TABLA 3: EVOLUCIÓN MENSUAL DEL AÑO SELECCIONADO (ENERO A DICIEMBRE)</t>
  </si>
  <si>
    <t>Concepto / Mes</t>
  </si>
  <si>
    <t>Cierre Total</t>
  </si>
  <si>
    <t>% Avance Ejecución</t>
  </si>
  <si>
    <t>TABLA 4: COMPARATIVA HISTÓRICA MULTIANUAL (2014 - 2026)</t>
  </si>
  <si>
    <t>Año</t>
  </si>
  <si>
    <t>Crec. Vigente (YoY)</t>
  </si>
  <si>
    <t>Crec. Ejecución (YoY)</t>
  </si>
  <si>
    <t>-</t>
  </si>
  <si>
    <t>Subtítulo</t>
  </si>
  <si>
    <t>Presupuesto Ley cierre</t>
  </si>
  <si>
    <t>Presupuesto vigente julio</t>
  </si>
  <si>
    <t>Presupuesto vigente cierre</t>
  </si>
  <si>
    <t>Ejecución Ene</t>
  </si>
  <si>
    <t>Ejecución Feb</t>
  </si>
  <si>
    <t>Ejecución Mar</t>
  </si>
  <si>
    <t>Ejecución Abr</t>
  </si>
  <si>
    <t>Ejecución May</t>
  </si>
  <si>
    <t>Ejecución Jun</t>
  </si>
  <si>
    <t>Ejecución Jul</t>
  </si>
  <si>
    <t>Ejecución Ago</t>
  </si>
  <si>
    <t>Ejecución Sep</t>
  </si>
  <si>
    <t>Ejecución Oct</t>
  </si>
  <si>
    <t>Ejecución Nov</t>
  </si>
  <si>
    <t>Ejecución Dic</t>
  </si>
  <si>
    <t>PROYECCIÓN DE EJECUCIÓN PRESUPUESTARIA MOP 2026</t>
  </si>
  <si>
    <t>Escenario seleccionado:</t>
  </si>
  <si>
    <t>Base</t>
  </si>
  <si>
    <t>Corte de información:</t>
  </si>
  <si>
    <t>Julio 2026</t>
  </si>
  <si>
    <t>Unidad:</t>
  </si>
  <si>
    <t>Miles de pesos corrientes</t>
  </si>
  <si>
    <t>Ejecución a julio</t>
  </si>
  <si>
    <t>Proyección anual</t>
  </si>
  <si>
    <t>% del vigente julio</t>
  </si>
  <si>
    <t>Por ejecutar Ago-Dic</t>
  </si>
  <si>
    <t>ST</t>
  </si>
  <si>
    <t>Ejec. Jul-26</t>
  </si>
  <si>
    <t>Vigente Jul-26</t>
  </si>
  <si>
    <t>Share Jul 2021</t>
  </si>
  <si>
    <t>Mediana</t>
  </si>
  <si>
    <t>Máx.</t>
  </si>
  <si>
    <t>Mín.</t>
  </si>
  <si>
    <t>Tasa final 2021</t>
  </si>
  <si>
    <t>Método estacional</t>
  </si>
  <si>
    <t>Método presupuesto</t>
  </si>
  <si>
    <t>Conservador</t>
  </si>
  <si>
    <t>Optimista</t>
  </si>
  <si>
    <t>Seleccionado</t>
  </si>
  <si>
    <t>MOP</t>
  </si>
  <si>
    <t>Escenario</t>
  </si>
  <si>
    <t>Proyección 2026</t>
  </si>
  <si>
    <t>% vigente julio</t>
  </si>
  <si>
    <t>Saldo estimado</t>
  </si>
  <si>
    <t>Criterio</t>
  </si>
  <si>
    <t>Base menos 10%, sin bajar de lo ya ejecutado</t>
  </si>
  <si>
    <t>Promedio de método estacional y presupuesto</t>
  </si>
  <si>
    <t>Base más 10%, sin bajar de lo ya ejecutado</t>
  </si>
  <si>
    <t>Mes</t>
  </si>
  <si>
    <t>Ejecución 2025</t>
  </si>
  <si>
    <t>Ejecución 2026 / Proyección</t>
  </si>
  <si>
    <t>Metodología</t>
  </si>
  <si>
    <t>El escenario base combina 50% una proyección estacional (ejecución a julio dividida por la mediana del avance julio/cierre 2021-2025) y 50% una proyección presupuestaria (vigente a julio por la mediana de la tasa de ejecución final 2021-2025).</t>
  </si>
  <si>
    <t>Escenarios</t>
  </si>
  <si>
    <t>Conservador y optimista aplican una banda de -10% y +10% sobre el escenario base, acotada por la ejecución ya observada. La amplitud es prudencial y recoge el error histórico del modelo y la volatilidad de las partidas menores. El presupuesto vigente puede modificarse entre agosto y diciembre.</t>
  </si>
  <si>
    <t>Indice</t>
  </si>
  <si>
    <t>Indice Ajuste Presupuestario</t>
  </si>
  <si>
    <t>IAP</t>
  </si>
  <si>
    <t>Tasa Corrección Presupuestaria</t>
  </si>
  <si>
    <t>TCP</t>
  </si>
  <si>
    <t>Tasa Ejecución P.Vigente</t>
  </si>
  <si>
    <t>TEV</t>
  </si>
  <si>
    <t>Tasa Ejecución P.Ley</t>
  </si>
  <si>
    <t>TEL</t>
  </si>
  <si>
    <t>Indice Consistencia Presupuestaria</t>
  </si>
  <si>
    <t>ICP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</si>
</sst>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
    <numFmt numFmtId="165" formatCode="_-* #,##0_-;\-* #,##0_-;_-* &quot;-&quot;_-;_-@"/>
    <numFmt numFmtId="166" formatCode="0.0%"/>
    <numFmt numFmtId="167" formatCode="#,##0.0;[Red]\(#,##0.0\);\-"/>
    <numFmt numFmtId="168" formatCode="0.0"/>
  </numFmts>
  <fonts count="32">
    <font>
      <sz val="11"/>
      <color theme="1"/>
      <name val="Calibri"/>
      <scheme val="minor"/>
    </font>
    <font>
      <sz val="11"/>
      <color theme="1"/>
      <name val="Carlito"/>
    </font>
    <font>
      <b/>
      <sz val="9"/>
      <color rgb="FFFFFFFF"/>
      <name val="Arial"/>
    </font>
    <font>
      <sz val="9"/>
      <color theme="1"/>
      <name val="Arial"/>
    </font>
    <font>
      <sz val="11"/>
      <color theme="1"/>
      <name val="Calibri"/>
    </font>
    <font>
      <sz val="11"/>
      <color theme="1"/>
      <name val="Calibri"/>
      <scheme val="minor"/>
    </font>
    <font>
      <b/>
      <sz val="12"/>
      <color theme="1"/>
      <name val="Calibri"/>
    </font>
    <font>
      <i/>
      <sz val="10"/>
      <color rgb="FF595959"/>
      <name val="Calibri"/>
    </font>
    <font>
      <b/>
      <sz val="14"/>
      <color theme="1"/>
      <name val="Calibri"/>
    </font>
    <font>
      <b/>
      <sz val="16"/>
      <color rgb="FF1B365D"/>
      <name val="Calibri"/>
    </font>
    <font>
      <sz val="12"/>
      <color theme="1"/>
      <name val="Calibri"/>
    </font>
    <font>
      <b/>
      <sz val="10"/>
      <color rgb="FF000000"/>
      <name val="Calibri"/>
    </font>
    <font>
      <b/>
      <sz val="13"/>
      <color rgb="FFB25900"/>
      <name val="Calibri"/>
    </font>
    <font>
      <sz val="10"/>
      <color rgb="FF000000"/>
      <name val="Calibri"/>
    </font>
    <font>
      <b/>
      <sz val="9"/>
      <color rgb="FF595959"/>
      <name val="Calibri"/>
    </font>
    <font>
      <b/>
      <sz val="15"/>
      <color rgb="FF1B365D"/>
      <name val="Calibri"/>
    </font>
    <font>
      <b/>
      <sz val="15"/>
      <color rgb="FF007A3D"/>
      <name val="Calibri"/>
    </font>
    <font>
      <b/>
      <sz val="16"/>
      <color rgb="FF007A3D"/>
      <name val="Calibri"/>
    </font>
    <font>
      <b/>
      <sz val="15"/>
      <color rgb="FFB25900"/>
      <name val="Calibri"/>
    </font>
    <font>
      <i/>
      <sz val="8"/>
      <color rgb="FF7F7F7F"/>
      <name val="Calibri"/>
    </font>
    <font>
      <b/>
      <sz val="11"/>
      <color rgb="FF1B365D"/>
      <name val="Calibri"/>
    </font>
    <font>
      <b/>
      <sz val="10"/>
      <color rgb="FFFFFFFF"/>
      <name val="Calibri"/>
    </font>
    <font>
      <b/>
      <sz val="15"/>
      <color rgb="FF17365D"/>
      <name val="Arial"/>
    </font>
    <font>
      <sz val="10"/>
      <color theme="1"/>
      <name val="Arial"/>
    </font>
    <font>
      <b/>
      <sz val="10"/>
      <color rgb="FF0070C0"/>
      <name val="Arial"/>
    </font>
    <font>
      <b/>
      <sz val="9"/>
      <color rgb="FF17365D"/>
      <name val="Arial"/>
    </font>
    <font>
      <b/>
      <sz val="14"/>
      <color rgb="FF17365D"/>
      <name val="Arial"/>
    </font>
    <font>
      <sz val="9"/>
      <color rgb="FF008000"/>
      <name val="Arial"/>
    </font>
    <font>
      <sz val="9"/>
      <color rgb="FF000000"/>
      <name val="Arial"/>
    </font>
    <font>
      <b/>
      <sz val="8"/>
      <color rgb="FF17365D"/>
      <name val="Arial"/>
    </font>
    <font>
      <sz val="8"/>
      <color theme="1"/>
      <name val="Arial"/>
    </font>
    <font>
      <i/>
      <sz val="9"/>
      <color rgb="FF595959"/>
      <name val="Arial"/>
    </font>
  </fonts>
  <fills count="16">
    <fill>
      <patternFill patternType="none"/>
    </fill>
    <fill>
      <patternFill patternType="gray125"/>
    </fill>
    <fill>
      <patternFill patternType="solid">
        <fgColor rgb="FF17365D"/>
        <bgColor rgb="FF17365D"/>
      </patternFill>
    </fill>
    <fill>
      <patternFill patternType="solid">
        <fgColor rgb="FFFDE9D9"/>
        <bgColor rgb="FFFDE9D9"/>
      </patternFill>
    </fill>
    <fill>
      <patternFill patternType="solid">
        <fgColor rgb="FFD6E3BC"/>
        <bgColor rgb="FFD6E3BC"/>
      </patternFill>
    </fill>
    <fill>
      <patternFill patternType="solid">
        <fgColor rgb="FFEAF1DD"/>
        <bgColor rgb="FFEAF1DD"/>
      </patternFill>
    </fill>
    <fill>
      <patternFill patternType="solid">
        <fgColor rgb="FFD9E1F2"/>
        <bgColor rgb="FFD9E1F2"/>
      </patternFill>
    </fill>
    <fill>
      <patternFill patternType="solid">
        <fgColor rgb="FFFFF2CC"/>
        <bgColor rgb="FFFFF2CC"/>
      </patternFill>
    </fill>
    <fill>
      <patternFill patternType="solid">
        <fgColor rgb="FFF2F4F8"/>
        <bgColor rgb="FFF2F4F8"/>
      </patternFill>
    </fill>
    <fill>
      <patternFill patternType="solid">
        <fgColor rgb="FF1B365D"/>
        <bgColor rgb="FF1B365D"/>
      </patternFill>
    </fill>
    <fill>
      <patternFill patternType="solid">
        <fgColor rgb="FF2C3E50"/>
        <bgColor rgb="FF2C3E50"/>
      </patternFill>
    </fill>
    <fill>
      <patternFill patternType="solid">
        <fgColor rgb="FFF9FAFC"/>
        <bgColor rgb="FFF9FAFC"/>
      </patternFill>
    </fill>
    <fill>
      <patternFill patternType="solid">
        <fgColor rgb="FFD9E2F3"/>
        <bgColor rgb="FFD9E2F3"/>
      </patternFill>
    </fill>
    <fill>
      <patternFill patternType="solid">
        <fgColor rgb="FFF2F6FA"/>
        <bgColor rgb="FFF2F6FA"/>
      </patternFill>
    </fill>
    <fill>
      <patternFill patternType="solid">
        <fgColor rgb="FFE2F0D9"/>
        <bgColor rgb="FFE2F0D9"/>
      </patternFill>
    </fill>
    <fill>
      <patternFill patternType="solid">
        <fgColor rgb="FF44546A"/>
        <bgColor rgb="FF44546A"/>
      </patternFill>
    </fill>
  </fills>
  <borders count="55">
    <border>
      <left/>
      <right/>
      <top/>
      <bottom/>
      <diagonal/>
    </border>
    <border>
      <left/>
      <right style="thin">
        <color rgb="FFE7E6E6"/>
      </right>
      <top/>
      <bottom style="thin">
        <color rgb="FFE7E6E6"/>
      </bottom>
      <diagonal/>
    </border>
    <border>
      <left style="thin">
        <color rgb="FFE7E6E6"/>
      </left>
      <right style="thin">
        <color rgb="FFE7E6E6"/>
      </right>
      <top/>
      <bottom style="thin">
        <color rgb="FFE7E6E6"/>
      </bottom>
      <diagonal/>
    </border>
    <border>
      <left style="thin">
        <color rgb="FFE7E6E6"/>
      </left>
      <right/>
      <top/>
      <bottom style="thin">
        <color rgb="FFE7E6E6"/>
      </bottom>
      <diagonal/>
    </border>
    <border>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medium">
        <color rgb="FF1B365D"/>
      </left>
      <right style="medium">
        <color rgb="FF1B365D"/>
      </right>
      <top style="medium">
        <color rgb="FF1B365D"/>
      </top>
      <bottom style="medium">
        <color rgb="FF1B365D"/>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top style="thin">
        <color rgb="FFE7E6E6"/>
      </top>
      <bottom/>
      <diagonal/>
    </border>
    <border>
      <left style="thin">
        <color rgb="FFD9D9D9"/>
      </left>
      <right style="thin">
        <color rgb="FFD9D9D9"/>
      </right>
      <top style="thin">
        <color rgb="FFD9D9D9"/>
      </top>
      <bottom style="double">
        <color rgb="FF1B365D"/>
      </bottom>
      <diagonal/>
    </border>
    <border>
      <left/>
      <right/>
      <top/>
      <bottom style="medium">
        <color rgb="FF17365D"/>
      </bottom>
      <diagonal/>
    </border>
    <border>
      <left style="dotted">
        <color rgb="FFBF9000"/>
      </left>
      <right style="dotted">
        <color rgb="FFBF9000"/>
      </right>
      <top style="dotted">
        <color rgb="FFBF9000"/>
      </top>
      <bottom style="dotted">
        <color rgb="FFBF9000"/>
      </bottom>
      <diagonal/>
    </border>
    <border>
      <left/>
      <right style="thin">
        <color rgb="FF9EADBF"/>
      </right>
      <top style="thin">
        <color rgb="FF9EADBF"/>
      </top>
      <bottom/>
      <diagonal/>
    </border>
    <border>
      <left style="thin">
        <color rgb="FF9EADBF"/>
      </left>
      <right/>
      <top/>
      <bottom style="thin">
        <color rgb="FF9EADBF"/>
      </bottom>
      <diagonal/>
    </border>
    <border>
      <left/>
      <right style="thin">
        <color rgb="FF9EADBF"/>
      </right>
      <top/>
      <bottom style="thin">
        <color rgb="FF9EADBF"/>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D9D9D9"/>
      </left>
      <right style="thin">
        <color rgb="FFD9D9D9"/>
      </right>
      <top style="medium">
        <color rgb="FF1B365D"/>
      </top>
      <bottom/>
      <diagonal/>
    </border>
    <border>
      <left/>
      <right/>
      <top style="medium">
        <color rgb="FF1B365D"/>
      </top>
      <bottom/>
      <diagonal/>
    </border>
    <border>
      <left/>
      <right style="thin">
        <color rgb="FFD9D9D9"/>
      </right>
      <top style="medium">
        <color rgb="FF1B365D"/>
      </top>
      <bottom/>
      <diagonal/>
    </border>
    <border>
      <left style="thin">
        <color rgb="FFD9D9D9"/>
      </left>
      <right style="thin">
        <color rgb="FFD9D9D9"/>
      </right>
      <top/>
      <bottom style="thin">
        <color rgb="FFD9D9D9"/>
      </bottom>
      <diagonal/>
    </border>
    <border>
      <left/>
      <right style="thin">
        <color rgb="FFD9D9D9"/>
      </right>
      <top/>
      <bottom/>
      <diagonal/>
    </border>
    <border>
      <left/>
      <right style="thin">
        <color rgb="FFD9D9D9"/>
      </right>
      <top/>
      <bottom style="thin">
        <color rgb="FFD9D9D9"/>
      </bottom>
      <diagonal/>
    </border>
    <border>
      <left style="thin">
        <color rgb="FFD9D9D9"/>
      </left>
      <right style="thin">
        <color rgb="FFD9D9D9"/>
      </right>
      <top/>
      <bottom/>
      <diagonal/>
    </border>
    <border>
      <left style="thin">
        <color rgb="FFD9D9D9"/>
      </left>
      <right/>
      <top/>
      <bottom/>
      <diagonal/>
    </border>
    <border>
      <left/>
      <right/>
      <top/>
      <bottom style="thin">
        <color rgb="FFD9D9D9"/>
      </bottom>
      <diagonal/>
    </border>
    <border>
      <left/>
      <right style="thin">
        <color rgb="FF9EADBF"/>
      </right>
      <top style="thin">
        <color rgb="FF9EADBF"/>
      </top>
      <bottom style="thin">
        <color rgb="FF9EADBF"/>
      </bottom>
      <diagonal/>
    </border>
    <border>
      <left/>
      <right/>
      <top style="thin">
        <color rgb="FF9EADBF"/>
      </top>
      <bottom/>
      <diagonal/>
    </border>
    <border>
      <left/>
      <right/>
      <top/>
      <bottom style="thin">
        <color rgb="FF9EADBF"/>
      </bottom>
      <diagonal/>
    </border>
    <border>
      <left style="thin">
        <color rgb="FF9EADBF"/>
      </left>
      <right/>
      <top style="thin">
        <color rgb="FF9EADBF"/>
      </top>
      <bottom style="thin">
        <color rgb="FF9EADBF"/>
      </bottom>
      <diagonal/>
    </border>
    <border>
      <left/>
      <right/>
      <top style="thin">
        <color rgb="FF9EADBF"/>
      </top>
      <bottom style="thin">
        <color rgb="FF9EADBF"/>
      </bottom>
      <diagonal/>
    </border>
  </borders>
  <cellStyleXfs count="1">
    <xf numFmtId="0" fontId="0" fillId="0" borderId="0"/>
  </cellStyleXfs>
  <cellXfs count="136">
    <xf numFmtId="0" fontId="0" fillId="0" borderId="0" xfId="0" applyAlignment="1"/>
    <xf numFmtId="0" fontId="1" fillId="0" borderId="0" xfId="0" applyFont="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4" xfId="0" applyFont="1" applyBorder="1" applyAlignment="1">
      <alignment horizontal="center"/>
    </xf>
    <xf numFmtId="0" fontId="3" fillId="0" borderId="5" xfId="0" applyFont="1" applyBorder="1" applyAlignment="1">
      <alignment horizontal="center"/>
    </xf>
    <xf numFmtId="0" fontId="3" fillId="0" borderId="5" xfId="0" applyFont="1" applyBorder="1"/>
    <xf numFmtId="164" fontId="3" fillId="0" borderId="5" xfId="0" applyNumberFormat="1" applyFont="1" applyBorder="1"/>
    <xf numFmtId="164" fontId="3" fillId="0" borderId="6" xfId="0" applyNumberFormat="1" applyFont="1" applyBorder="1"/>
    <xf numFmtId="0" fontId="4" fillId="0" borderId="0" xfId="0" applyFont="1"/>
    <xf numFmtId="0" fontId="5" fillId="0" borderId="0" xfId="0" applyFont="1"/>
    <xf numFmtId="0" fontId="6" fillId="0" borderId="0" xfId="0" applyFont="1" applyAlignment="1">
      <alignment vertical="center"/>
    </xf>
    <xf numFmtId="0" fontId="6" fillId="0" borderId="0" xfId="0" applyFont="1" applyAlignment="1">
      <alignment horizontal="center"/>
    </xf>
    <xf numFmtId="0" fontId="4" fillId="4" borderId="7" xfId="0" applyFont="1" applyFill="1" applyBorder="1"/>
    <xf numFmtId="0" fontId="6" fillId="5" borderId="7" xfId="0" applyFont="1" applyFill="1" applyBorder="1" applyAlignment="1">
      <alignment horizontal="left" vertical="center"/>
    </xf>
    <xf numFmtId="0" fontId="6" fillId="5" borderId="7" xfId="0" applyFont="1" applyFill="1" applyBorder="1" applyAlignment="1">
      <alignment horizontal="center" vertical="center"/>
    </xf>
    <xf numFmtId="0" fontId="9" fillId="0" borderId="0" xfId="0" applyFont="1"/>
    <xf numFmtId="0" fontId="7" fillId="0" borderId="0" xfId="0" applyFont="1"/>
    <xf numFmtId="0" fontId="10" fillId="0" borderId="0" xfId="0" applyFont="1" applyAlignment="1">
      <alignment horizontal="left" vertical="center"/>
    </xf>
    <xf numFmtId="165" fontId="10" fillId="0" borderId="0" xfId="0" applyNumberFormat="1" applyFont="1" applyAlignment="1">
      <alignment horizontal="center" vertical="center"/>
    </xf>
    <xf numFmtId="0" fontId="11" fillId="6" borderId="9" xfId="0" applyFont="1" applyFill="1" applyBorder="1" applyAlignment="1">
      <alignment horizontal="right" vertical="center"/>
    </xf>
    <xf numFmtId="0" fontId="12" fillId="7" borderId="10" xfId="0" applyFont="1" applyFill="1" applyBorder="1" applyAlignment="1">
      <alignment horizontal="center" vertical="center"/>
    </xf>
    <xf numFmtId="0" fontId="20" fillId="0" borderId="0" xfId="0" applyFont="1"/>
    <xf numFmtId="0" fontId="3" fillId="0" borderId="13" xfId="0" applyFont="1" applyBorder="1" applyAlignment="1">
      <alignment horizontal="center"/>
    </xf>
    <xf numFmtId="0" fontId="21" fillId="9" borderId="9" xfId="0" applyFont="1" applyFill="1" applyBorder="1" applyAlignment="1">
      <alignment horizontal="center" vertical="center" wrapText="1"/>
    </xf>
    <xf numFmtId="0" fontId="3" fillId="0" borderId="14" xfId="0" applyFont="1" applyBorder="1" applyAlignment="1">
      <alignment horizontal="center"/>
    </xf>
    <xf numFmtId="0" fontId="3" fillId="0" borderId="14" xfId="0" applyFont="1" applyBorder="1"/>
    <xf numFmtId="164" fontId="3" fillId="0" borderId="14" xfId="0" applyNumberFormat="1" applyFont="1" applyBorder="1"/>
    <xf numFmtId="164" fontId="3" fillId="0" borderId="15" xfId="0" applyNumberFormat="1" applyFont="1" applyBorder="1"/>
    <xf numFmtId="0" fontId="13" fillId="0" borderId="9" xfId="0" applyFont="1" applyBorder="1"/>
    <xf numFmtId="0" fontId="13" fillId="0" borderId="9" xfId="0" applyFont="1" applyBorder="1" applyAlignment="1">
      <alignment horizontal="center"/>
    </xf>
    <xf numFmtId="165" fontId="13" fillId="0" borderId="9" xfId="0" applyNumberFormat="1" applyFont="1" applyBorder="1" applyAlignment="1">
      <alignment horizontal="right"/>
    </xf>
    <xf numFmtId="166" fontId="13" fillId="0" borderId="9" xfId="0" applyNumberFormat="1" applyFont="1" applyBorder="1" applyAlignment="1">
      <alignment horizontal="right"/>
    </xf>
    <xf numFmtId="0" fontId="11" fillId="6" borderId="16" xfId="0" applyFont="1" applyFill="1" applyBorder="1"/>
    <xf numFmtId="0" fontId="11" fillId="6" borderId="16" xfId="0" applyFont="1" applyFill="1" applyBorder="1" applyAlignment="1">
      <alignment horizontal="center"/>
    </xf>
    <xf numFmtId="165" fontId="11" fillId="6" borderId="16" xfId="0" applyNumberFormat="1" applyFont="1" applyFill="1" applyBorder="1" applyAlignment="1">
      <alignment horizontal="right"/>
    </xf>
    <xf numFmtId="166" fontId="11" fillId="6" borderId="16" xfId="0" applyNumberFormat="1" applyFont="1" applyFill="1" applyBorder="1" applyAlignment="1">
      <alignment horizontal="right"/>
    </xf>
    <xf numFmtId="165" fontId="6" fillId="5" borderId="7" xfId="0" applyNumberFormat="1" applyFont="1" applyFill="1" applyBorder="1" applyAlignment="1">
      <alignment horizontal="center" vertical="center"/>
    </xf>
    <xf numFmtId="0" fontId="21" fillId="10" borderId="9" xfId="0" applyFont="1" applyFill="1" applyBorder="1" applyAlignment="1">
      <alignment horizontal="center" vertical="center" wrapText="1"/>
    </xf>
    <xf numFmtId="0" fontId="13" fillId="11" borderId="9" xfId="0" applyFont="1" applyFill="1" applyBorder="1"/>
    <xf numFmtId="165" fontId="13" fillId="11" borderId="9" xfId="0" applyNumberFormat="1" applyFont="1" applyFill="1" applyBorder="1" applyAlignment="1">
      <alignment horizontal="right"/>
    </xf>
    <xf numFmtId="166" fontId="13" fillId="11" borderId="9" xfId="0" applyNumberFormat="1" applyFont="1" applyFill="1" applyBorder="1" applyAlignment="1">
      <alignment horizontal="right"/>
    </xf>
    <xf numFmtId="0" fontId="21" fillId="9" borderId="9" xfId="0" applyFont="1" applyFill="1" applyBorder="1" applyAlignment="1">
      <alignment horizontal="center" vertical="center"/>
    </xf>
    <xf numFmtId="165" fontId="13" fillId="6" borderId="9" xfId="0" applyNumberFormat="1" applyFont="1" applyFill="1" applyBorder="1" applyAlignment="1">
      <alignment horizontal="right"/>
    </xf>
    <xf numFmtId="0" fontId="11" fillId="0" borderId="9" xfId="0" applyFont="1" applyBorder="1"/>
    <xf numFmtId="165" fontId="11" fillId="0" borderId="9" xfId="0" applyNumberFormat="1" applyFont="1" applyBorder="1" applyAlignment="1">
      <alignment horizontal="right"/>
    </xf>
    <xf numFmtId="0" fontId="22" fillId="0" borderId="0" xfId="0" applyFont="1" applyAlignment="1">
      <alignment horizontal="left" vertical="center"/>
    </xf>
    <xf numFmtId="0" fontId="1" fillId="0" borderId="0" xfId="0" applyFont="1" applyAlignment="1">
      <alignment vertical="center"/>
    </xf>
    <xf numFmtId="0" fontId="1" fillId="0" borderId="17" xfId="0" applyFont="1" applyBorder="1" applyAlignment="1">
      <alignment vertical="center"/>
    </xf>
    <xf numFmtId="0" fontId="23" fillId="0" borderId="0" xfId="0" applyFont="1" applyAlignment="1">
      <alignment vertical="center"/>
    </xf>
    <xf numFmtId="0" fontId="24" fillId="7" borderId="18" xfId="0" applyFont="1" applyFill="1" applyBorder="1" applyAlignment="1">
      <alignment horizontal="center" vertical="center"/>
    </xf>
    <xf numFmtId="165" fontId="11" fillId="6" borderId="9" xfId="0" applyNumberFormat="1" applyFont="1" applyFill="1" applyBorder="1" applyAlignment="1">
      <alignment horizontal="right"/>
    </xf>
    <xf numFmtId="0" fontId="11" fillId="0" borderId="16" xfId="0" applyFont="1" applyBorder="1"/>
    <xf numFmtId="166" fontId="11" fillId="0" borderId="16" xfId="0" applyNumberFormat="1" applyFont="1" applyBorder="1" applyAlignment="1">
      <alignment horizontal="right"/>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11" fillId="11" borderId="9" xfId="0" applyFont="1" applyFill="1" applyBorder="1" applyAlignment="1">
      <alignment horizontal="center"/>
    </xf>
    <xf numFmtId="0" fontId="2" fillId="2" borderId="24" xfId="0" applyFont="1" applyFill="1" applyBorder="1" applyAlignment="1">
      <alignment horizontal="center" vertical="center" wrapText="1"/>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13" fillId="11" borderId="9" xfId="0" applyFont="1" applyFill="1" applyBorder="1" applyAlignment="1">
      <alignment horizontal="right"/>
    </xf>
    <xf numFmtId="164" fontId="27" fillId="0" borderId="26" xfId="0" applyNumberFormat="1" applyFont="1" applyBorder="1" applyAlignment="1">
      <alignment vertical="center"/>
    </xf>
    <xf numFmtId="0" fontId="11" fillId="0" borderId="9" xfId="0" applyFont="1" applyBorder="1" applyAlignment="1">
      <alignment horizontal="center"/>
    </xf>
    <xf numFmtId="166" fontId="27" fillId="0" borderId="26" xfId="0" applyNumberFormat="1" applyFont="1" applyBorder="1" applyAlignment="1">
      <alignment vertical="center"/>
    </xf>
    <xf numFmtId="167" fontId="28" fillId="0" borderId="26" xfId="0" applyNumberFormat="1" applyFont="1" applyBorder="1" applyAlignment="1">
      <alignment vertical="center"/>
    </xf>
    <xf numFmtId="164" fontId="28" fillId="0" borderId="26" xfId="0" applyNumberFormat="1" applyFont="1" applyBorder="1" applyAlignment="1">
      <alignment vertical="center"/>
    </xf>
    <xf numFmtId="164" fontId="28" fillId="14" borderId="28" xfId="0" applyNumberFormat="1" applyFont="1" applyFill="1" applyBorder="1" applyAlignment="1">
      <alignment vertical="center"/>
    </xf>
    <xf numFmtId="0" fontId="25" fillId="12" borderId="29" xfId="0" applyFont="1" applyFill="1" applyBorder="1" applyAlignment="1">
      <alignment vertical="center"/>
    </xf>
    <xf numFmtId="0" fontId="25" fillId="12" borderId="30" xfId="0" applyFont="1" applyFill="1" applyBorder="1" applyAlignment="1">
      <alignment vertical="center"/>
    </xf>
    <xf numFmtId="164" fontId="25" fillId="12" borderId="30" xfId="0" applyNumberFormat="1" applyFont="1" applyFill="1" applyBorder="1" applyAlignment="1">
      <alignment vertical="center"/>
    </xf>
    <xf numFmtId="164" fontId="25" fillId="14" borderId="31" xfId="0" applyNumberFormat="1" applyFont="1" applyFill="1" applyBorder="1" applyAlignment="1">
      <alignment vertical="center"/>
    </xf>
    <xf numFmtId="0" fontId="2" fillId="15" borderId="32" xfId="0" applyFont="1" applyFill="1" applyBorder="1" applyAlignment="1">
      <alignment horizontal="center" vertical="center"/>
    </xf>
    <xf numFmtId="0" fontId="3" fillId="0" borderId="0" xfId="0" applyFont="1" applyAlignment="1">
      <alignment vertical="center"/>
    </xf>
    <xf numFmtId="164" fontId="3" fillId="0" borderId="0" xfId="0" applyNumberFormat="1" applyFont="1" applyAlignment="1">
      <alignment vertical="center"/>
    </xf>
    <xf numFmtId="166" fontId="3" fillId="0" borderId="0" xfId="0" applyNumberFormat="1" applyFont="1" applyAlignment="1">
      <alignment vertical="center"/>
    </xf>
    <xf numFmtId="0" fontId="2" fillId="2" borderId="32" xfId="0" applyFont="1" applyFill="1" applyBorder="1" applyAlignment="1">
      <alignment horizontal="center" vertical="center"/>
    </xf>
    <xf numFmtId="0" fontId="6" fillId="0" borderId="0" xfId="0" applyFont="1"/>
    <xf numFmtId="0" fontId="6" fillId="5" borderId="33" xfId="0" applyFont="1" applyFill="1" applyBorder="1" applyAlignment="1">
      <alignment horizontal="center" vertical="center"/>
    </xf>
    <xf numFmtId="0" fontId="6" fillId="5" borderId="34" xfId="0" applyFont="1" applyFill="1" applyBorder="1" applyAlignment="1">
      <alignment horizontal="center" vertical="center"/>
    </xf>
    <xf numFmtId="0" fontId="6" fillId="5" borderId="35" xfId="0" applyFont="1" applyFill="1" applyBorder="1" applyAlignment="1">
      <alignment horizontal="center" vertical="center"/>
    </xf>
    <xf numFmtId="0" fontId="4" fillId="0" borderId="36" xfId="0" applyFont="1" applyBorder="1"/>
    <xf numFmtId="168" fontId="4" fillId="0" borderId="0" xfId="0" applyNumberFormat="1" applyFont="1" applyAlignment="1">
      <alignment horizontal="center" vertical="center"/>
    </xf>
    <xf numFmtId="168" fontId="4" fillId="0" borderId="37" xfId="0" applyNumberFormat="1" applyFont="1" applyBorder="1" applyAlignment="1">
      <alignment horizontal="center" vertical="center"/>
    </xf>
    <xf numFmtId="166" fontId="4" fillId="0" borderId="0" xfId="0" applyNumberFormat="1" applyFont="1" applyAlignment="1">
      <alignment horizontal="center"/>
    </xf>
    <xf numFmtId="166" fontId="4" fillId="0" borderId="37" xfId="0" applyNumberFormat="1" applyFont="1" applyBorder="1" applyAlignment="1">
      <alignment horizontal="center"/>
    </xf>
    <xf numFmtId="0" fontId="4" fillId="0" borderId="38" xfId="0" applyFont="1" applyBorder="1"/>
    <xf numFmtId="0" fontId="6" fillId="0" borderId="39" xfId="0" applyFont="1" applyBorder="1" applyAlignment="1">
      <alignment horizontal="center"/>
    </xf>
    <xf numFmtId="168" fontId="4" fillId="0" borderId="39" xfId="0" applyNumberFormat="1" applyFont="1" applyBorder="1" applyAlignment="1">
      <alignment horizontal="center"/>
    </xf>
    <xf numFmtId="168" fontId="4" fillId="0" borderId="40" xfId="0" applyNumberFormat="1" applyFont="1" applyBorder="1" applyAlignment="1">
      <alignment horizontal="center"/>
    </xf>
    <xf numFmtId="0" fontId="29" fillId="12" borderId="32" xfId="0" applyFont="1" applyFill="1" applyBorder="1" applyAlignment="1">
      <alignment horizontal="center" vertical="center"/>
    </xf>
    <xf numFmtId="0" fontId="30" fillId="0" borderId="0" xfId="0" applyFont="1" applyAlignment="1">
      <alignment vertical="center"/>
    </xf>
    <xf numFmtId="166" fontId="30" fillId="0" borderId="0" xfId="0" applyNumberFormat="1" applyFont="1" applyAlignment="1">
      <alignment vertical="center"/>
    </xf>
    <xf numFmtId="165" fontId="4" fillId="0" borderId="0" xfId="0" applyNumberFormat="1" applyFont="1"/>
    <xf numFmtId="0" fontId="29" fillId="13" borderId="32" xfId="0" applyFont="1" applyFill="1" applyBorder="1" applyAlignment="1">
      <alignment vertical="center"/>
    </xf>
    <xf numFmtId="166" fontId="29" fillId="13" borderId="32" xfId="0" applyNumberFormat="1" applyFont="1" applyFill="1" applyBorder="1" applyAlignment="1">
      <alignment vertical="center"/>
    </xf>
    <xf numFmtId="166" fontId="1" fillId="0" borderId="0" xfId="0" applyNumberFormat="1" applyFont="1" applyAlignment="1">
      <alignment vertical="center"/>
    </xf>
    <xf numFmtId="0" fontId="25" fillId="0" borderId="0" xfId="0" applyFont="1" applyAlignment="1">
      <alignment vertical="center"/>
    </xf>
    <xf numFmtId="0" fontId="0" fillId="0" borderId="0" xfId="0"/>
    <xf numFmtId="0" fontId="6" fillId="4" borderId="7" xfId="0" applyFont="1" applyFill="1" applyBorder="1" applyAlignment="1">
      <alignment horizontal="center" vertical="center"/>
    </xf>
    <xf numFmtId="0" fontId="0" fillId="0" borderId="8" xfId="0" applyBorder="1"/>
    <xf numFmtId="0" fontId="6" fillId="0" borderId="0" xfId="0" applyFont="1" applyAlignment="1">
      <alignment horizontal="center"/>
    </xf>
    <xf numFmtId="0" fontId="0" fillId="0" borderId="0" xfId="0"/>
    <xf numFmtId="0" fontId="8" fillId="3" borderId="32" xfId="0" applyFont="1" applyFill="1" applyBorder="1" applyAlignment="1">
      <alignment vertical="center"/>
    </xf>
    <xf numFmtId="0" fontId="7" fillId="0" borderId="0" xfId="0" applyFont="1" applyAlignment="1">
      <alignment vertical="center"/>
    </xf>
    <xf numFmtId="0" fontId="11" fillId="0" borderId="9" xfId="0" applyFont="1" applyBorder="1" applyAlignment="1">
      <alignment horizontal="center" vertical="center"/>
    </xf>
    <xf numFmtId="0" fontId="0" fillId="0" borderId="11" xfId="0" applyBorder="1"/>
    <xf numFmtId="0" fontId="14" fillId="8" borderId="41" xfId="0" applyFont="1" applyFill="1" applyBorder="1" applyAlignment="1">
      <alignment horizontal="center" vertical="center"/>
    </xf>
    <xf numFmtId="0" fontId="0" fillId="0" borderId="42" xfId="0" applyBorder="1"/>
    <xf numFmtId="0" fontId="0" fillId="0" borderId="43" xfId="0" applyBorder="1"/>
    <xf numFmtId="165" fontId="15" fillId="8" borderId="47" xfId="0" applyNumberFormat="1" applyFont="1" applyFill="1" applyBorder="1" applyAlignment="1">
      <alignment horizontal="center" vertical="center"/>
    </xf>
    <xf numFmtId="0" fontId="0" fillId="0" borderId="45" xfId="0" applyBorder="1"/>
    <xf numFmtId="0" fontId="0" fillId="0" borderId="48" xfId="0" applyBorder="1"/>
    <xf numFmtId="166" fontId="17" fillId="8" borderId="47" xfId="0" applyNumberFormat="1" applyFont="1" applyFill="1" applyBorder="1" applyAlignment="1">
      <alignment horizontal="center" vertical="center"/>
    </xf>
    <xf numFmtId="0" fontId="13" fillId="0" borderId="9" xfId="0" applyFont="1" applyBorder="1" applyAlignment="1">
      <alignment horizontal="center" vertical="center"/>
    </xf>
    <xf numFmtId="0" fontId="0" fillId="0" borderId="12" xfId="0" applyBorder="1"/>
    <xf numFmtId="0" fontId="11" fillId="6" borderId="9" xfId="0" applyFont="1" applyFill="1" applyBorder="1" applyAlignment="1">
      <alignment horizontal="right" vertical="center"/>
    </xf>
    <xf numFmtId="0" fontId="19" fillId="8" borderId="44" xfId="0" applyFont="1" applyFill="1" applyBorder="1" applyAlignment="1">
      <alignment horizontal="center" vertical="center"/>
    </xf>
    <xf numFmtId="0" fontId="0" fillId="0" borderId="46" xfId="0" applyBorder="1"/>
    <xf numFmtId="165" fontId="16" fillId="8" borderId="47" xfId="0" applyNumberFormat="1" applyFont="1" applyFill="1" applyBorder="1" applyAlignment="1">
      <alignment horizontal="center" vertical="center"/>
    </xf>
    <xf numFmtId="165" fontId="18" fillId="8" borderId="47" xfId="0" applyNumberFormat="1" applyFont="1" applyFill="1" applyBorder="1" applyAlignment="1">
      <alignment horizontal="center" vertical="center"/>
    </xf>
    <xf numFmtId="0" fontId="0" fillId="0" borderId="49" xfId="0" applyBorder="1"/>
    <xf numFmtId="0" fontId="25" fillId="12" borderId="32" xfId="0" applyFont="1" applyFill="1" applyBorder="1" applyAlignment="1">
      <alignment horizontal="center" vertical="center"/>
    </xf>
    <xf numFmtId="0" fontId="31" fillId="0" borderId="0" xfId="0" applyFont="1" applyAlignment="1">
      <alignment vertical="center" wrapText="1"/>
    </xf>
    <xf numFmtId="164" fontId="26" fillId="13" borderId="54" xfId="0" applyNumberFormat="1" applyFont="1" applyFill="1" applyBorder="1" applyAlignment="1">
      <alignment horizontal="center" vertical="center"/>
    </xf>
    <xf numFmtId="0" fontId="0" fillId="0" borderId="51" xfId="0" applyBorder="1"/>
    <xf numFmtId="0" fontId="0" fillId="0" borderId="52" xfId="0" applyBorder="1"/>
    <xf numFmtId="164" fontId="26" fillId="13" borderId="53" xfId="0" applyNumberFormat="1" applyFont="1" applyFill="1" applyBorder="1" applyAlignment="1">
      <alignment horizontal="center" vertical="center"/>
    </xf>
    <xf numFmtId="0" fontId="0" fillId="0" borderId="20" xfId="0" applyBorder="1"/>
    <xf numFmtId="164" fontId="26" fillId="13" borderId="50" xfId="0" applyNumberFormat="1" applyFont="1" applyFill="1" applyBorder="1" applyAlignment="1">
      <alignment horizontal="center" vertical="center"/>
    </xf>
    <xf numFmtId="0" fontId="0" fillId="0" borderId="19" xfId="0" applyBorder="1"/>
    <xf numFmtId="0" fontId="0" fillId="0" borderId="21" xfId="0" applyBorder="1"/>
    <xf numFmtId="166" fontId="26" fillId="13" borderId="54"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Presupuesto Vigente vs Ejecución Acumulada por Dirección</a:t>
            </a:r>
          </a:p>
        </c:rich>
      </c:tx>
      <c:overlay val="0"/>
    </c:title>
    <c:autoTitleDeleted val="0"/>
    <c:plotArea>
      <c:layout/>
      <c:barChart>
        <c:barDir val="col"/>
        <c:grouping val="clustered"/>
        <c:varyColors val="1"/>
        <c:ser>
          <c:idx val="0"/>
          <c:order val="0"/>
          <c:tx>
            <c:v>Total Vigente</c:v>
          </c:tx>
          <c:spPr>
            <a:solidFill>
              <a:srgbClr val="4F81BD"/>
            </a:solidFill>
            <a:ln cmpd="sng">
              <a:noFill/>
              <a:prstDash val="solid"/>
            </a:ln>
          </c:spPr>
          <c:invertIfNegative val="1"/>
          <c:cat>
            <c:strRef>
              <c:f>Dashboard!$B$22:$B$27</c:f>
              <c:strCache>
                <c:ptCount val="6"/>
                <c:pt idx="0">
                  <c:v>Dirección de Vialidad</c:v>
                </c:pt>
                <c:pt idx="1">
                  <c:v>Dirección de Obras Hidráulicas</c:v>
                </c:pt>
                <c:pt idx="2">
                  <c:v>Subdirección de APR</c:v>
                </c:pt>
                <c:pt idx="3">
                  <c:v>Dirección de Obras Portuarias</c:v>
                </c:pt>
                <c:pt idx="4">
                  <c:v>Dirección de Aeropuertos</c:v>
                </c:pt>
                <c:pt idx="5">
                  <c:v>Dirección de Arquitectura</c:v>
                </c:pt>
              </c:strCache>
            </c:strRef>
          </c:cat>
          <c:val>
            <c:numRef>
              <c:f>Dashboard!$I$22:$I$27</c:f>
              <c:numCache>
                <c:formatCode>_-* #,##0_-;\-* #,##0_-;_-* "-"_-;_-@</c:formatCode>
                <c:ptCount val="6"/>
                <c:pt idx="0">
                  <c:v>1802863028</c:v>
                </c:pt>
                <c:pt idx="1">
                  <c:v>202825397</c:v>
                </c:pt>
                <c:pt idx="2">
                  <c:v>273899315</c:v>
                </c:pt>
                <c:pt idx="3">
                  <c:v>108683501</c:v>
                </c:pt>
                <c:pt idx="4">
                  <c:v>124638149</c:v>
                </c:pt>
                <c:pt idx="5">
                  <c:v>29946308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0-C6A3-4AE5-B02E-8B0B036B100D}"/>
            </c:ext>
          </c:extLst>
        </c:ser>
        <c:ser>
          <c:idx val="1"/>
          <c:order val="1"/>
          <c:tx>
            <c:v>Total Ejecución</c:v>
          </c:tx>
          <c:spPr>
            <a:solidFill>
              <a:srgbClr val="C0504D"/>
            </a:solidFill>
            <a:ln cmpd="sng">
              <a:noFill/>
              <a:prstDash val="solid"/>
            </a:ln>
          </c:spPr>
          <c:invertIfNegative val="1"/>
          <c:cat>
            <c:strRef>
              <c:f>Dashboard!$B$22:$B$27</c:f>
              <c:strCache>
                <c:ptCount val="6"/>
                <c:pt idx="0">
                  <c:v>Dirección de Vialidad</c:v>
                </c:pt>
                <c:pt idx="1">
                  <c:v>Dirección de Obras Hidráulicas</c:v>
                </c:pt>
                <c:pt idx="2">
                  <c:v>Subdirección de APR</c:v>
                </c:pt>
                <c:pt idx="3">
                  <c:v>Dirección de Obras Portuarias</c:v>
                </c:pt>
                <c:pt idx="4">
                  <c:v>Dirección de Aeropuertos</c:v>
                </c:pt>
                <c:pt idx="5">
                  <c:v>Dirección de Arquitectura</c:v>
                </c:pt>
              </c:strCache>
            </c:strRef>
          </c:cat>
          <c:val>
            <c:numRef>
              <c:f>Dashboard!$J$22:$J$27</c:f>
              <c:numCache>
                <c:formatCode>_-* #,##0_-;\-* #,##0_-;_-* "-"_-;_-@</c:formatCode>
                <c:ptCount val="6"/>
                <c:pt idx="0">
                  <c:v>909491842</c:v>
                </c:pt>
                <c:pt idx="1">
                  <c:v>74103632</c:v>
                </c:pt>
                <c:pt idx="2">
                  <c:v>120167720</c:v>
                </c:pt>
                <c:pt idx="3">
                  <c:v>65382319</c:v>
                </c:pt>
                <c:pt idx="4">
                  <c:v>55484200</c:v>
                </c:pt>
                <c:pt idx="5">
                  <c:v>13631144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1-C6A3-4AE5-B02E-8B0B036B100D}"/>
            </c:ext>
          </c:extLst>
        </c:ser>
        <c:dLbls>
          <c:showLegendKey val="0"/>
          <c:showVal val="0"/>
          <c:showCatName val="0"/>
          <c:showSerName val="0"/>
          <c:showPercent val="0"/>
          <c:showBubbleSize val="0"/>
        </c:dLbls>
        <c:gapWidth val="150"/>
        <c:axId val="2138009253"/>
        <c:axId val="2083098520"/>
      </c:barChart>
      <c:catAx>
        <c:axId val="21380092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rot="1500000"/>
          <a:lstStyle/>
          <a:p>
            <a:pPr lvl="0">
              <a:defRPr sz="800" b="0" i="0">
                <a:solidFill>
                  <a:srgbClr val="000000"/>
                </a:solidFill>
                <a:latin typeface="+mn-lt"/>
              </a:defRPr>
            </a:pPr>
            <a:endParaRPr lang="es-CL"/>
          </a:p>
        </c:txPr>
        <c:crossAx val="2083098520"/>
        <c:crosses val="autoZero"/>
        <c:auto val="1"/>
        <c:lblAlgn val="ctr"/>
        <c:lblOffset val="100"/>
        <c:noMultiLvlLbl val="1"/>
      </c:catAx>
      <c:valAx>
        <c:axId val="208309852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_-* #,##0_-;\-* #,##0_-;_-* &quot;-&quot;_-;_-@" sourceLinked="1"/>
        <c:majorTickMark val="none"/>
        <c:minorTickMark val="none"/>
        <c:tickLblPos val="nextTo"/>
        <c:spPr>
          <a:ln>
            <a:noFill/>
            <a:prstDash val="solid"/>
          </a:ln>
        </c:spPr>
        <c:txPr>
          <a:bodyPr/>
          <a:lstStyle/>
          <a:p>
            <a:pPr lvl="0">
              <a:defRPr sz="900" b="0" i="0">
                <a:solidFill>
                  <a:srgbClr val="000000"/>
                </a:solidFill>
                <a:latin typeface="+mn-lt"/>
              </a:defRPr>
            </a:pPr>
            <a:endParaRPr lang="es-CL"/>
          </a:p>
        </c:txPr>
        <c:crossAx val="2138009253"/>
        <c:crosses val="autoZero"/>
        <c:crossBetween val="between"/>
      </c:valAx>
    </c:plotArea>
    <c:legend>
      <c:legendPos val="t"/>
      <c:overlay val="0"/>
      <c:txPr>
        <a:bodyPr/>
        <a:lstStyle/>
        <a:p>
          <a:pPr lvl="0">
            <a:defRPr sz="900" b="0" i="0">
              <a:solidFill>
                <a:srgbClr val="1A1A1A"/>
              </a:solidFill>
              <a:latin typeface="+mn-lt"/>
            </a:defRPr>
          </a:pPr>
          <a:endParaRPr lang="es-CL"/>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Evolución Mensual de la Inversión (Enero a Diciembre)</a:t>
            </a:r>
          </a:p>
        </c:rich>
      </c:tx>
      <c:overlay val="0"/>
    </c:title>
    <c:autoTitleDeleted val="0"/>
    <c:plotArea>
      <c:layout/>
      <c:lineChart>
        <c:grouping val="standard"/>
        <c:varyColors val="1"/>
        <c:ser>
          <c:idx val="0"/>
          <c:order val="0"/>
          <c:tx>
            <c:v>Presupuesto Vigente</c:v>
          </c:tx>
          <c:spPr>
            <a:ln w="28575" cmpd="sng">
              <a:solidFill>
                <a:schemeClr val="accent1"/>
              </a:solidFill>
              <a:prstDash val="solid"/>
            </a:ln>
          </c:spPr>
          <c:marker>
            <c:symbol val="none"/>
          </c:marker>
          <c:cat>
            <c:strRef>
              <c:f>Dashboard!$C$32:$N$32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Dashboard!$C$34:$N$34</c:f>
              <c:numCache>
                <c:formatCode>_-* #,##0_-;\-* #,##0_-;_-* "-"_-;_-@</c:formatCode>
                <c:ptCount val="12"/>
                <c:pt idx="0">
                  <c:v>2710709303</c:v>
                </c:pt>
                <c:pt idx="1">
                  <c:v>2710709303</c:v>
                </c:pt>
                <c:pt idx="2">
                  <c:v>2653421266</c:v>
                </c:pt>
                <c:pt idx="3">
                  <c:v>2653421266</c:v>
                </c:pt>
                <c:pt idx="4">
                  <c:v>2543410698</c:v>
                </c:pt>
                <c:pt idx="5">
                  <c:v>2542855698</c:v>
                </c:pt>
                <c:pt idx="6">
                  <c:v>2542855698</c:v>
                </c:pt>
                <c:pt idx="7">
                  <c:v>0</c:v>
                </c:pt>
                <c:pt idx="8">
                  <c:v>0</c:v>
                </c:pt>
                <c:pt idx="9">
                  <c:v>0</c:v>
                </c:pt>
                <c:pt idx="10">
                  <c:v>0</c:v>
                </c:pt>
                <c:pt idx="11">
                  <c:v>0</c:v>
                </c:pt>
              </c:numCache>
            </c:numRef>
          </c:val>
          <c:smooth val="0"/>
          <c:extLst>
            <c:ext xmlns:c16="http://schemas.microsoft.com/office/drawing/2014/chart" uri="{C3380CC4-5D6E-409C-BE32-E72D297353CC}">
              <c16:uniqueId val="{00000000-4BC0-4FEC-8EB5-4C56ACF868E0}"/>
            </c:ext>
          </c:extLst>
        </c:ser>
        <c:ser>
          <c:idx val="1"/>
          <c:order val="1"/>
          <c:tx>
            <c:v>Ejecución Acumulada</c:v>
          </c:tx>
          <c:spPr>
            <a:ln w="28575" cmpd="sng">
              <a:solidFill>
                <a:schemeClr val="accent2"/>
              </a:solidFill>
              <a:prstDash val="solid"/>
            </a:ln>
          </c:spPr>
          <c:marker>
            <c:symbol val="none"/>
          </c:marker>
          <c:cat>
            <c:strRef>
              <c:f>Dashboard!$C$32:$N$32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Dashboard!$C$35:$N$35</c:f>
              <c:numCache>
                <c:formatCode>_-* #,##0_-;\-* #,##0_-;_-* "-"_-;_-@</c:formatCode>
                <c:ptCount val="12"/>
                <c:pt idx="0">
                  <c:v>14517665</c:v>
                </c:pt>
                <c:pt idx="1">
                  <c:v>235585109</c:v>
                </c:pt>
                <c:pt idx="2">
                  <c:v>451375737</c:v>
                </c:pt>
                <c:pt idx="3">
                  <c:v>645745968</c:v>
                </c:pt>
                <c:pt idx="4">
                  <c:v>838968524</c:v>
                </c:pt>
                <c:pt idx="5">
                  <c:v>1056784592</c:v>
                </c:pt>
                <c:pt idx="6">
                  <c:v>1238260857</c:v>
                </c:pt>
                <c:pt idx="7">
                  <c:v>0</c:v>
                </c:pt>
                <c:pt idx="8">
                  <c:v>0</c:v>
                </c:pt>
                <c:pt idx="9">
                  <c:v>0</c:v>
                </c:pt>
                <c:pt idx="10">
                  <c:v>0</c:v>
                </c:pt>
                <c:pt idx="11">
                  <c:v>0</c:v>
                </c:pt>
              </c:numCache>
            </c:numRef>
          </c:val>
          <c:smooth val="0"/>
          <c:extLst>
            <c:ext xmlns:c16="http://schemas.microsoft.com/office/drawing/2014/chart" uri="{C3380CC4-5D6E-409C-BE32-E72D297353CC}">
              <c16:uniqueId val="{00000001-4BC0-4FEC-8EB5-4C56ACF868E0}"/>
            </c:ext>
          </c:extLst>
        </c:ser>
        <c:dLbls>
          <c:showLegendKey val="0"/>
          <c:showVal val="0"/>
          <c:showCatName val="0"/>
          <c:showSerName val="0"/>
          <c:showPercent val="0"/>
          <c:showBubbleSize val="0"/>
        </c:dLbls>
        <c:smooth val="0"/>
        <c:axId val="1820728805"/>
        <c:axId val="262152291"/>
      </c:lineChart>
      <c:catAx>
        <c:axId val="18207288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sz="900" b="0" i="0">
                <a:solidFill>
                  <a:srgbClr val="000000"/>
                </a:solidFill>
                <a:latin typeface="+mn-lt"/>
              </a:defRPr>
            </a:pPr>
            <a:endParaRPr lang="es-CL"/>
          </a:p>
        </c:txPr>
        <c:crossAx val="262152291"/>
        <c:crosses val="autoZero"/>
        <c:auto val="1"/>
        <c:lblAlgn val="ctr"/>
        <c:lblOffset val="100"/>
        <c:noMultiLvlLbl val="1"/>
      </c:catAx>
      <c:valAx>
        <c:axId val="262152291"/>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_-* #,##0_-;\-* #,##0_-;_-* &quot;-&quot;_-;_-@" sourceLinked="1"/>
        <c:majorTickMark val="none"/>
        <c:minorTickMark val="none"/>
        <c:tickLblPos val="nextTo"/>
        <c:spPr>
          <a:ln>
            <a:noFill/>
            <a:prstDash val="solid"/>
          </a:ln>
        </c:spPr>
        <c:txPr>
          <a:bodyPr/>
          <a:lstStyle/>
          <a:p>
            <a:pPr lvl="0">
              <a:defRPr sz="900" b="0" i="0">
                <a:solidFill>
                  <a:srgbClr val="000000"/>
                </a:solidFill>
                <a:latin typeface="+mn-lt"/>
              </a:defRPr>
            </a:pPr>
            <a:endParaRPr lang="es-CL"/>
          </a:p>
        </c:txPr>
        <c:crossAx val="1820728805"/>
        <c:crosses val="autoZero"/>
        <c:crossBetween val="between"/>
      </c:valAx>
    </c:plotArea>
    <c:legend>
      <c:legendPos val="b"/>
      <c:overlay val="0"/>
      <c:txPr>
        <a:bodyPr/>
        <a:lstStyle/>
        <a:p>
          <a:pPr lvl="0">
            <a:defRPr sz="900" b="0" i="0">
              <a:solidFill>
                <a:srgbClr val="1A1A1A"/>
              </a:solidFill>
              <a:latin typeface="+mn-lt"/>
            </a:defRPr>
          </a:pPr>
          <a:endParaRPr lang="es-CL"/>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Composición de la Inversión Vigente por Subtítulo</a:t>
            </a:r>
          </a:p>
        </c:rich>
      </c:tx>
      <c:overlay val="0"/>
    </c:title>
    <c:autoTitleDeleted val="0"/>
    <c:plotArea>
      <c:layout/>
      <c:doughnutChart>
        <c:varyColors val="1"/>
        <c:ser>
          <c:idx val="0"/>
          <c:order val="0"/>
          <c:spPr>
            <a:ln>
              <a:prstDash val="solid"/>
            </a:ln>
          </c:spPr>
          <c:dPt>
            <c:idx val="0"/>
            <c:bubble3D val="0"/>
            <c:spPr>
              <a:solidFill>
                <a:schemeClr val="accent1"/>
              </a:solidFill>
              <a:ln>
                <a:prstDash val="solid"/>
              </a:ln>
            </c:spPr>
            <c:extLst>
              <c:ext xmlns:c16="http://schemas.microsoft.com/office/drawing/2014/chart" uri="{C3380CC4-5D6E-409C-BE32-E72D297353CC}">
                <c16:uniqueId val="{00000001-6F9B-43BB-83D6-9EF882CC892D}"/>
              </c:ext>
            </c:extLst>
          </c:dPt>
          <c:dPt>
            <c:idx val="1"/>
            <c:bubble3D val="0"/>
            <c:spPr>
              <a:solidFill>
                <a:schemeClr val="accent2"/>
              </a:solidFill>
              <a:ln>
                <a:prstDash val="solid"/>
              </a:ln>
            </c:spPr>
            <c:extLst>
              <c:ext xmlns:c16="http://schemas.microsoft.com/office/drawing/2014/chart" uri="{C3380CC4-5D6E-409C-BE32-E72D297353CC}">
                <c16:uniqueId val="{00000003-6F9B-43BB-83D6-9EF882CC892D}"/>
              </c:ext>
            </c:extLst>
          </c:dPt>
          <c:dPt>
            <c:idx val="2"/>
            <c:bubble3D val="0"/>
            <c:spPr>
              <a:solidFill>
                <a:schemeClr val="accent3"/>
              </a:solidFill>
              <a:ln>
                <a:prstDash val="solid"/>
              </a:ln>
            </c:spPr>
            <c:extLst>
              <c:ext xmlns:c16="http://schemas.microsoft.com/office/drawing/2014/chart" uri="{C3380CC4-5D6E-409C-BE32-E72D297353CC}">
                <c16:uniqueId val="{00000005-6F9B-43BB-83D6-9EF882CC892D}"/>
              </c:ext>
            </c:extLst>
          </c:dPt>
          <c:cat>
            <c:strRef>
              <c:f>Dashboard!$B$14:$B$16</c:f>
              <c:strCache>
                <c:ptCount val="3"/>
                <c:pt idx="0">
                  <c:v>Subtítulo 31 – Iniciativas de Inversión</c:v>
                </c:pt>
                <c:pt idx="1">
                  <c:v>Subtítulo 29 – Activos No Financieros</c:v>
                </c:pt>
                <c:pt idx="2">
                  <c:v>Subtítulo 33 – Transferencias de Capital</c:v>
                </c:pt>
              </c:strCache>
            </c:strRef>
          </c:cat>
          <c:val>
            <c:numRef>
              <c:f>Dashboard!$E$14:$E$16</c:f>
              <c:numCache>
                <c:formatCode>_-* #,##0_-;\-* #,##0_-;_-* "-"_-;_-@</c:formatCode>
                <c:ptCount val="3"/>
                <c:pt idx="0">
                  <c:v>2537552997</c:v>
                </c:pt>
                <c:pt idx="1">
                  <c:v>5302701</c:v>
                </c:pt>
                <c:pt idx="2">
                  <c:v>0</c:v>
                </c:pt>
              </c:numCache>
            </c:numRef>
          </c:val>
          <c:extLst>
            <c:ext xmlns:c16="http://schemas.microsoft.com/office/drawing/2014/chart" uri="{C3380CC4-5D6E-409C-BE32-E72D297353CC}">
              <c16:uniqueId val="{00000006-6F9B-43BB-83D6-9EF882CC892D}"/>
            </c:ext>
          </c:extLst>
        </c:ser>
        <c:dLbls>
          <c:showLegendKey val="0"/>
          <c:showVal val="0"/>
          <c:showCatName val="0"/>
          <c:showSerName val="0"/>
          <c:showPercent val="0"/>
          <c:showBubbleSize val="0"/>
          <c:showLeaderLines val="1"/>
        </c:dLbls>
        <c:firstSliceAng val="0"/>
        <c:holeSize val="75"/>
      </c:doughnutChart>
    </c:plotArea>
    <c:legend>
      <c:legendPos val="r"/>
      <c:overlay val="0"/>
      <c:txPr>
        <a:bodyPr/>
        <a:lstStyle/>
        <a:p>
          <a:pPr lvl="0">
            <a:defRPr sz="900" b="0" i="0">
              <a:solidFill>
                <a:srgbClr val="1A1A1A"/>
              </a:solidFill>
              <a:latin typeface="+mn-lt"/>
            </a:defRPr>
          </a:pPr>
          <a:endParaRPr lang="es-CL"/>
        </a:p>
      </c:txPr>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Trayectoria acumulada 2025 y proyección 2026</a:t>
            </a:r>
          </a:p>
        </c:rich>
      </c:tx>
      <c:overlay val="0"/>
    </c:title>
    <c:autoTitleDeleted val="0"/>
    <c:plotArea>
      <c:layout/>
      <c:lineChart>
        <c:grouping val="standard"/>
        <c:varyColors val="1"/>
        <c:ser>
          <c:idx val="0"/>
          <c:order val="0"/>
          <c:tx>
            <c:v>Ejecución 2025</c:v>
          </c:tx>
          <c:spPr>
            <a:ln w="19050" cmpd="sng">
              <a:solidFill>
                <a:srgbClr val="A5A5A5"/>
              </a:solidFill>
              <a:prstDash val="solid"/>
            </a:ln>
          </c:spPr>
          <c:marker>
            <c:symbol val="none"/>
          </c:marker>
          <c:cat>
            <c:strRef>
              <c:f>'Modelo 2026'!$B$41:$B$52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'Modelo 2026'!$C$41:$C$52</c:f>
              <c:numCache>
                <c:formatCode>#,##0;[Red]\(#,##0\);\-</c:formatCode>
                <c:ptCount val="12"/>
                <c:pt idx="0">
                  <c:v>23332450</c:v>
                </c:pt>
                <c:pt idx="1">
                  <c:v>341529754</c:v>
                </c:pt>
                <c:pt idx="2">
                  <c:v>626121070</c:v>
                </c:pt>
                <c:pt idx="3">
                  <c:v>881149354</c:v>
                </c:pt>
                <c:pt idx="4">
                  <c:v>1113611191</c:v>
                </c:pt>
                <c:pt idx="5">
                  <c:v>1319074096</c:v>
                </c:pt>
                <c:pt idx="6">
                  <c:v>1498042281</c:v>
                </c:pt>
                <c:pt idx="7">
                  <c:v>1667213694</c:v>
                </c:pt>
                <c:pt idx="8">
                  <c:v>1880739636</c:v>
                </c:pt>
                <c:pt idx="9">
                  <c:v>2074564176</c:v>
                </c:pt>
                <c:pt idx="10">
                  <c:v>2292119853</c:v>
                </c:pt>
                <c:pt idx="11">
                  <c:v>2769768945</c:v>
                </c:pt>
              </c:numCache>
            </c:numRef>
          </c:val>
          <c:smooth val="0"/>
          <c:extLst>
            <c:ext xmlns:c16="http://schemas.microsoft.com/office/drawing/2014/chart" uri="{C3380CC4-5D6E-409C-BE32-E72D297353CC}">
              <c16:uniqueId val="{00000000-62DE-4A16-9665-73FEE8D3B2BA}"/>
            </c:ext>
          </c:extLst>
        </c:ser>
        <c:ser>
          <c:idx val="1"/>
          <c:order val="1"/>
          <c:tx>
            <c:v>Ejecución 2026 / Proyección</c:v>
          </c:tx>
          <c:spPr>
            <a:ln w="19050" cmpd="sng">
              <a:solidFill>
                <a:srgbClr val="4472C4"/>
              </a:solidFill>
              <a:prstDash val="solid"/>
            </a:ln>
          </c:spPr>
          <c:marker>
            <c:symbol val="none"/>
          </c:marker>
          <c:cat>
            <c:strRef>
              <c:f>'Modelo 2026'!$B$41:$B$52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'Modelo 2026'!$D$41:$D$52</c:f>
              <c:numCache>
                <c:formatCode>#,##0;[Red]\(#,##0\);\-</c:formatCode>
                <c:ptCount val="12"/>
                <c:pt idx="0">
                  <c:v>14517665</c:v>
                </c:pt>
                <c:pt idx="1">
                  <c:v>235585109</c:v>
                </c:pt>
                <c:pt idx="2">
                  <c:v>451375737</c:v>
                </c:pt>
                <c:pt idx="3">
                  <c:v>645745968</c:v>
                </c:pt>
                <c:pt idx="4">
                  <c:v>838968524</c:v>
                </c:pt>
                <c:pt idx="5">
                  <c:v>1056784592</c:v>
                </c:pt>
                <c:pt idx="6">
                  <c:v>1238260857</c:v>
                </c:pt>
                <c:pt idx="7">
                  <c:v>1444641109.9815698</c:v>
                </c:pt>
                <c:pt idx="8">
                  <c:v>1629058711.3133011</c:v>
                </c:pt>
                <c:pt idx="9">
                  <c:v>1804095737.5701885</c:v>
                </c:pt>
                <c:pt idx="10">
                  <c:v>2036299127.7880509</c:v>
                </c:pt>
                <c:pt idx="11">
                  <c:v>2500254014.392045</c:v>
                </c:pt>
              </c:numCache>
            </c:numRef>
          </c:val>
          <c:smooth val="0"/>
          <c:extLst>
            <c:ext xmlns:c16="http://schemas.microsoft.com/office/drawing/2014/chart" uri="{C3380CC4-5D6E-409C-BE32-E72D297353CC}">
              <c16:uniqueId val="{00000001-62DE-4A16-9665-73FEE8D3B2BA}"/>
            </c:ext>
          </c:extLst>
        </c:ser>
        <c:dLbls>
          <c:showLegendKey val="0"/>
          <c:showVal val="0"/>
          <c:showCatName val="0"/>
          <c:showSerName val="0"/>
          <c:showPercent val="0"/>
          <c:showBubbleSize val="0"/>
        </c:dLbls>
        <c:smooth val="0"/>
        <c:axId val="1139098267"/>
        <c:axId val="2038846348"/>
      </c:lineChart>
      <c:catAx>
        <c:axId val="11390982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s-CL"/>
          </a:p>
        </c:txPr>
        <c:crossAx val="2038846348"/>
        <c:crosses val="autoZero"/>
        <c:auto val="1"/>
        <c:lblAlgn val="ctr"/>
        <c:lblOffset val="100"/>
        <c:noMultiLvlLbl val="1"/>
      </c:catAx>
      <c:valAx>
        <c:axId val="2038846348"/>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0;[Red]\(#,##0\);\-" sourceLinked="1"/>
        <c:majorTickMark val="none"/>
        <c:minorTickMark val="none"/>
        <c:tickLblPos val="nextTo"/>
        <c:spPr>
          <a:ln>
            <a:noFill/>
            <a:prstDash val="solid"/>
          </a:ln>
        </c:spPr>
        <c:txPr>
          <a:bodyPr/>
          <a:lstStyle/>
          <a:p>
            <a:pPr lvl="0">
              <a:defRPr b="0">
                <a:solidFill>
                  <a:srgbClr val="000000"/>
                </a:solidFill>
                <a:latin typeface="+mn-lt"/>
              </a:defRPr>
            </a:pPr>
            <a:endParaRPr lang="es-CL"/>
          </a:p>
        </c:txPr>
        <c:crossAx val="1139098267"/>
        <c:crosses val="autoZero"/>
        <c:crossBetween val="between"/>
      </c:valAx>
    </c:plotArea>
    <c:legend>
      <c:legendPos val="b"/>
      <c:overlay val="0"/>
      <c:txPr>
        <a:bodyPr/>
        <a:lstStyle/>
        <a:p>
          <a:pPr lvl="0">
            <a:defRPr b="0">
              <a:solidFill>
                <a:srgbClr val="1A1A1A"/>
              </a:solidFill>
              <a:latin typeface="+mn-lt"/>
            </a:defRPr>
          </a:pPr>
          <a:endParaRPr lang="es-CL"/>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16</xdr:col>
      <xdr:colOff>0</xdr:colOff>
      <xdr:row>10</xdr:row>
      <xdr:rowOff>0</xdr:rowOff>
    </xdr:from>
    <xdr:ext cx="5629275" cy="296227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16</xdr:col>
      <xdr:colOff>0</xdr:colOff>
      <xdr:row>28</xdr:row>
      <xdr:rowOff>57150</xdr:rowOff>
    </xdr:from>
    <xdr:ext cx="5629275" cy="2714625"/>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16</xdr:col>
      <xdr:colOff>0</xdr:colOff>
      <xdr:row>44</xdr:row>
      <xdr:rowOff>0</xdr:rowOff>
    </xdr:from>
    <xdr:ext cx="4438650" cy="2886075"/>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39</xdr:row>
      <xdr:rowOff>0</xdr:rowOff>
    </xdr:from>
    <xdr:ext cx="6600825" cy="27432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O163"/>
  <sheetViews>
    <sheetView tabSelected="1" workbookViewId="0">
      <pane xSplit="2" ySplit="3" topLeftCell="C4" activePane="bottomRight" state="frozen"/>
      <selection pane="topRight" activeCell="C1" sqref="C1"/>
      <selection pane="bottomLeft" activeCell="A4" sqref="A4"/>
      <selection pane="bottomRight" activeCell="B4" sqref="B4:FO4"/>
    </sheetView>
  </sheetViews>
  <sheetFormatPr baseColWidth="10" defaultColWidth="14.44140625" defaultRowHeight="15" customHeight="1" outlineLevelCol="1"/>
  <cols>
    <col min="1" max="1" width="4.44140625" style="101" customWidth="1"/>
    <col min="2" max="2" width="34" style="101" customWidth="1"/>
    <col min="3" max="14" width="15.44140625" style="101" customWidth="1" outlineLevel="1"/>
    <col min="15" max="15" width="18" style="101" customWidth="1"/>
    <col min="16" max="27" width="15.44140625" style="101" customWidth="1" outlineLevel="1"/>
    <col min="28" max="28" width="18" style="101" customWidth="1"/>
    <col min="29" max="40" width="15.44140625" style="101" customWidth="1" outlineLevel="1"/>
    <col min="41" max="41" width="18" style="101" customWidth="1"/>
    <col min="42" max="53" width="15.44140625" style="101" customWidth="1" outlineLevel="1"/>
    <col min="54" max="54" width="18" style="101" customWidth="1"/>
    <col min="55" max="66" width="15.44140625" style="101" customWidth="1" outlineLevel="1"/>
    <col min="67" max="67" width="18" style="101" customWidth="1"/>
    <col min="68" max="79" width="15.44140625" style="101" customWidth="1" outlineLevel="1"/>
    <col min="80" max="80" width="18" style="101" customWidth="1"/>
    <col min="81" max="92" width="15.44140625" style="101" customWidth="1" outlineLevel="1"/>
    <col min="93" max="93" width="18" style="101" customWidth="1"/>
    <col min="94" max="105" width="15.44140625" style="101" customWidth="1" outlineLevel="1"/>
    <col min="106" max="106" width="18" style="101" customWidth="1"/>
    <col min="107" max="118" width="15.44140625" style="101" customWidth="1" outlineLevel="1"/>
    <col min="119" max="119" width="18" style="101" customWidth="1"/>
    <col min="120" max="131" width="15.44140625" style="101" customWidth="1" outlineLevel="1"/>
    <col min="132" max="132" width="18" style="101" customWidth="1"/>
    <col min="133" max="144" width="15.44140625" style="101" customWidth="1" outlineLevel="1"/>
    <col min="145" max="145" width="18" style="101" customWidth="1"/>
    <col min="146" max="157" width="15.44140625" style="101" customWidth="1" outlineLevel="1"/>
    <col min="158" max="158" width="18" style="101" customWidth="1"/>
    <col min="159" max="170" width="15.44140625" style="101" customWidth="1" outlineLevel="1"/>
    <col min="171" max="171" width="18" style="101" customWidth="1"/>
  </cols>
  <sheetData>
    <row r="1" spans="1:171" ht="15" customHeight="1">
      <c r="C1" s="10">
        <v>1.620347026546048</v>
      </c>
      <c r="D1" s="10">
        <v>1.620347026546048</v>
      </c>
      <c r="E1" s="10">
        <v>1.620347026546048</v>
      </c>
      <c r="F1" s="10">
        <v>1.620347026546048</v>
      </c>
      <c r="G1" s="10">
        <v>1.620347026546048</v>
      </c>
      <c r="H1" s="10">
        <v>1.620347026546048</v>
      </c>
      <c r="I1" s="10">
        <v>1.620347026546048</v>
      </c>
      <c r="J1" s="10">
        <v>1.620347026546048</v>
      </c>
      <c r="K1" s="10">
        <v>1.620347026546048</v>
      </c>
      <c r="L1" s="10">
        <v>1.620347026546048</v>
      </c>
      <c r="M1" s="10">
        <v>1.620347026546048</v>
      </c>
      <c r="N1" s="10">
        <v>1.620347026546048</v>
      </c>
      <c r="P1" s="10">
        <v>1.552209120613723</v>
      </c>
      <c r="Q1" s="10">
        <v>1.552209120613723</v>
      </c>
      <c r="R1" s="10">
        <v>1.552209120613723</v>
      </c>
      <c r="S1" s="10">
        <v>1.552209120613723</v>
      </c>
      <c r="T1" s="10">
        <v>1.552209120613723</v>
      </c>
      <c r="U1" s="10">
        <v>1.552209120613723</v>
      </c>
      <c r="V1" s="10">
        <v>1.552209120613723</v>
      </c>
      <c r="W1" s="10">
        <v>1.552209120613723</v>
      </c>
      <c r="X1" s="10">
        <v>1.552209120613723</v>
      </c>
      <c r="Y1" s="10">
        <v>1.552209120613723</v>
      </c>
      <c r="Z1" s="10">
        <v>1.552209120613723</v>
      </c>
      <c r="AA1" s="10">
        <v>1.552209120613723</v>
      </c>
      <c r="AC1" s="11">
        <v>1.51141236685572</v>
      </c>
      <c r="AD1" s="11">
        <v>1.51141236685572</v>
      </c>
      <c r="AE1" s="11">
        <v>1.51141236685572</v>
      </c>
      <c r="AF1" s="11">
        <v>1.51141236685572</v>
      </c>
      <c r="AG1" s="11">
        <v>1.51141236685572</v>
      </c>
      <c r="AH1" s="11">
        <v>1.51141236685572</v>
      </c>
      <c r="AI1" s="11">
        <v>1.51141236685572</v>
      </c>
      <c r="AJ1" s="11">
        <v>1.51141236685572</v>
      </c>
      <c r="AK1" s="11">
        <v>1.51141236685572</v>
      </c>
      <c r="AL1" s="11">
        <v>1.51141236685572</v>
      </c>
      <c r="AM1" s="11">
        <v>1.51141236685572</v>
      </c>
      <c r="AN1" s="11">
        <v>1.51141236685572</v>
      </c>
      <c r="AP1" s="11">
        <v>1.477884485323955</v>
      </c>
      <c r="AQ1" s="11">
        <v>1.477884485323955</v>
      </c>
      <c r="AR1" s="11">
        <v>1.477884485323955</v>
      </c>
      <c r="AS1" s="11">
        <v>1.477884485323955</v>
      </c>
      <c r="AT1" s="11">
        <v>1.477884485323955</v>
      </c>
      <c r="AU1" s="11">
        <v>1.477884485323955</v>
      </c>
      <c r="AV1" s="11">
        <v>1.477884485323955</v>
      </c>
      <c r="AW1" s="11">
        <v>1.477884485323955</v>
      </c>
      <c r="AX1" s="11">
        <v>1.477884485323955</v>
      </c>
      <c r="AY1" s="11">
        <v>1.477884485323955</v>
      </c>
      <c r="AZ1" s="11">
        <v>1.477884485323955</v>
      </c>
      <c r="BA1" s="11">
        <v>1.477884485323955</v>
      </c>
      <c r="BC1" s="11">
        <v>1.440854543056838</v>
      </c>
      <c r="BD1" s="11">
        <v>1.440854543056838</v>
      </c>
      <c r="BE1" s="11">
        <v>1.440854543056838</v>
      </c>
      <c r="BF1" s="11">
        <v>1.440854543056838</v>
      </c>
      <c r="BG1" s="11">
        <v>1.440854543056838</v>
      </c>
      <c r="BH1" s="11">
        <v>1.440854543056838</v>
      </c>
      <c r="BI1" s="11">
        <v>1.440854543056838</v>
      </c>
      <c r="BJ1" s="11">
        <v>1.440854543056838</v>
      </c>
      <c r="BK1" s="11">
        <v>1.440854543056838</v>
      </c>
      <c r="BL1" s="11">
        <v>1.440854543056838</v>
      </c>
      <c r="BM1" s="11">
        <v>1.440854543056838</v>
      </c>
      <c r="BN1" s="11">
        <v>1.440854543056838</v>
      </c>
      <c r="BP1" s="11">
        <v>1.398975672215109</v>
      </c>
      <c r="BQ1" s="11">
        <v>1.398975672215109</v>
      </c>
      <c r="BR1" s="11">
        <v>1.398975672215109</v>
      </c>
      <c r="BS1" s="11">
        <v>1.398975672215109</v>
      </c>
      <c r="BT1" s="11">
        <v>1.398975672215109</v>
      </c>
      <c r="BU1" s="11">
        <v>1.398975672215109</v>
      </c>
      <c r="BV1" s="11">
        <v>1.398975672215109</v>
      </c>
      <c r="BW1" s="11">
        <v>1.398975672215109</v>
      </c>
      <c r="BX1" s="11">
        <v>1.398975672215109</v>
      </c>
      <c r="BY1" s="11">
        <v>1.398975672215109</v>
      </c>
      <c r="BZ1" s="11">
        <v>1.398975672215109</v>
      </c>
      <c r="CA1" s="11">
        <v>1.398975672215109</v>
      </c>
      <c r="CC1" s="11">
        <v>1.3584483401715779</v>
      </c>
      <c r="CD1" s="11">
        <v>1.3584483401715779</v>
      </c>
      <c r="CE1" s="11">
        <v>1.3584483401715779</v>
      </c>
      <c r="CF1" s="11">
        <v>1.3584483401715779</v>
      </c>
      <c r="CG1" s="11">
        <v>1.3584483401715779</v>
      </c>
      <c r="CH1" s="11">
        <v>1.3584483401715779</v>
      </c>
      <c r="CI1" s="11">
        <v>1.3584483401715779</v>
      </c>
      <c r="CJ1" s="11">
        <v>1.3584483401715779</v>
      </c>
      <c r="CK1" s="11">
        <v>1.3584483401715779</v>
      </c>
      <c r="CL1" s="11">
        <v>1.3584483401715779</v>
      </c>
      <c r="CM1" s="11">
        <v>1.3584483401715779</v>
      </c>
      <c r="CN1" s="11">
        <v>1.3584483401715779</v>
      </c>
      <c r="CP1" s="11">
        <v>1.2675174013921111</v>
      </c>
      <c r="CQ1" s="11">
        <v>1.2675174013921111</v>
      </c>
      <c r="CR1" s="11">
        <v>1.2675174013921111</v>
      </c>
      <c r="CS1" s="11">
        <v>1.2675174013921111</v>
      </c>
      <c r="CT1" s="11">
        <v>1.2675174013921111</v>
      </c>
      <c r="CU1" s="11">
        <v>1.2675174013921111</v>
      </c>
      <c r="CV1" s="11">
        <v>1.2675174013921111</v>
      </c>
      <c r="CW1" s="11">
        <v>1.2675174013921111</v>
      </c>
      <c r="CX1" s="11">
        <v>1.2675174013921111</v>
      </c>
      <c r="CY1" s="11">
        <v>1.2675174013921111</v>
      </c>
      <c r="CZ1" s="11">
        <v>1.2675174013921111</v>
      </c>
      <c r="DA1" s="11">
        <v>1.2675174013921111</v>
      </c>
      <c r="DC1" s="11">
        <v>1.1239584404896621</v>
      </c>
      <c r="DD1" s="11">
        <v>1.1239584404896621</v>
      </c>
      <c r="DE1" s="11">
        <v>1.1239584404896621</v>
      </c>
      <c r="DF1" s="11">
        <v>1.1239584404896621</v>
      </c>
      <c r="DG1" s="11">
        <v>1.1239584404896621</v>
      </c>
      <c r="DH1" s="11">
        <v>1.1239584404896621</v>
      </c>
      <c r="DI1" s="11">
        <v>1.1239584404896621</v>
      </c>
      <c r="DJ1" s="11">
        <v>1.1239584404896621</v>
      </c>
      <c r="DK1" s="11">
        <v>1.1239584404896621</v>
      </c>
      <c r="DL1" s="11">
        <v>1.1239584404896621</v>
      </c>
      <c r="DM1" s="11">
        <v>1.1239584404896621</v>
      </c>
      <c r="DN1" s="11">
        <v>1.1239584404896621</v>
      </c>
      <c r="DP1" s="11">
        <v>1.0813539192399051</v>
      </c>
      <c r="DQ1" s="11">
        <v>1.0813539192399051</v>
      </c>
      <c r="DR1" s="11">
        <v>1.0813539192399051</v>
      </c>
      <c r="DS1" s="11">
        <v>1.0813539192399051</v>
      </c>
      <c r="DT1" s="11">
        <v>1.0813539192399051</v>
      </c>
      <c r="DU1" s="11">
        <v>1.0813539192399051</v>
      </c>
      <c r="DV1" s="11">
        <v>1.0813539192399051</v>
      </c>
      <c r="DW1" s="11">
        <v>1.0813539192399051</v>
      </c>
      <c r="DX1" s="11">
        <v>1.0813539192399051</v>
      </c>
      <c r="DY1" s="11">
        <v>1.0813539192399051</v>
      </c>
      <c r="DZ1" s="11">
        <v>1.0813539192399051</v>
      </c>
      <c r="EA1" s="11">
        <v>1.0813539192399051</v>
      </c>
      <c r="EC1" s="11">
        <v>1.034463169854194</v>
      </c>
      <c r="ED1" s="11">
        <v>1.034463169854194</v>
      </c>
      <c r="EE1" s="11">
        <v>1.034463169854194</v>
      </c>
      <c r="EF1" s="11">
        <v>1.034463169854194</v>
      </c>
      <c r="EG1" s="11">
        <v>1.034463169854194</v>
      </c>
      <c r="EH1" s="11">
        <v>1.034463169854194</v>
      </c>
      <c r="EI1" s="11">
        <v>1.034463169854194</v>
      </c>
      <c r="EJ1" s="11">
        <v>1.034463169854194</v>
      </c>
      <c r="EK1" s="11">
        <v>1.034463169854194</v>
      </c>
      <c r="EL1" s="11">
        <v>1.034463169854194</v>
      </c>
      <c r="EM1" s="11">
        <v>1.034463169854194</v>
      </c>
      <c r="EN1" s="11">
        <v>1.034463169854194</v>
      </c>
      <c r="EP1" s="11">
        <v>1</v>
      </c>
      <c r="EQ1" s="11">
        <v>1</v>
      </c>
      <c r="ER1" s="11">
        <v>1</v>
      </c>
      <c r="ES1" s="11">
        <v>1</v>
      </c>
      <c r="ET1" s="11">
        <v>1</v>
      </c>
      <c r="EU1" s="11">
        <v>1</v>
      </c>
      <c r="EV1" s="11">
        <v>1</v>
      </c>
      <c r="EW1" s="11">
        <v>1</v>
      </c>
      <c r="EX1" s="11">
        <v>1</v>
      </c>
      <c r="EY1" s="11">
        <v>1</v>
      </c>
      <c r="EZ1" s="11">
        <v>1</v>
      </c>
      <c r="FA1" s="11">
        <v>1</v>
      </c>
    </row>
    <row r="2" spans="1:171" ht="15" customHeight="1">
      <c r="C2" s="10"/>
      <c r="D2" s="10"/>
      <c r="E2" s="10"/>
      <c r="F2" s="10"/>
      <c r="G2" s="10"/>
      <c r="H2" s="10"/>
      <c r="I2" s="10"/>
      <c r="J2" s="10"/>
      <c r="K2" s="10"/>
      <c r="L2" s="10"/>
      <c r="M2" s="10"/>
      <c r="N2" s="10"/>
    </row>
    <row r="3" spans="1:171" ht="15.75" customHeight="1">
      <c r="A3" s="10"/>
      <c r="B3" s="12" t="s">
        <v>0</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row>
    <row r="4" spans="1:171" ht="14.25" customHeight="1">
      <c r="A4" s="10"/>
      <c r="B4" s="107" t="s">
        <v>1</v>
      </c>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105"/>
      <c r="BO4" s="105"/>
      <c r="BP4" s="105"/>
      <c r="BQ4" s="105"/>
      <c r="BR4" s="105"/>
      <c r="BS4" s="105"/>
      <c r="BT4" s="105"/>
      <c r="BU4" s="105"/>
      <c r="BV4" s="105"/>
      <c r="BW4" s="105"/>
      <c r="BX4" s="105"/>
      <c r="BY4" s="105"/>
      <c r="BZ4" s="105"/>
      <c r="CA4" s="105"/>
      <c r="CB4" s="105"/>
      <c r="CC4" s="105"/>
      <c r="CD4" s="105"/>
      <c r="CE4" s="105"/>
      <c r="CF4" s="105"/>
      <c r="CG4" s="105"/>
      <c r="CH4" s="105"/>
      <c r="CI4" s="105"/>
      <c r="CJ4" s="105"/>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5"/>
      <c r="DY4" s="105"/>
      <c r="DZ4" s="105"/>
      <c r="EA4" s="105"/>
      <c r="EB4" s="105"/>
      <c r="EC4" s="105"/>
      <c r="ED4" s="105"/>
      <c r="EE4" s="105"/>
      <c r="EF4" s="105"/>
      <c r="EG4" s="105"/>
      <c r="EH4" s="105"/>
      <c r="EI4" s="105"/>
      <c r="EJ4" s="105"/>
      <c r="EK4" s="105"/>
      <c r="EL4" s="105"/>
      <c r="EM4" s="105"/>
      <c r="EN4" s="105"/>
      <c r="EO4" s="105"/>
      <c r="EP4" s="105"/>
      <c r="EQ4" s="105"/>
      <c r="ER4" s="105"/>
      <c r="ES4" s="105"/>
      <c r="ET4" s="105"/>
      <c r="EU4" s="105"/>
      <c r="EV4" s="105"/>
      <c r="EW4" s="105"/>
      <c r="EX4" s="105"/>
      <c r="EY4" s="105"/>
      <c r="EZ4" s="105"/>
      <c r="FA4" s="105"/>
      <c r="FB4" s="105"/>
      <c r="FC4" s="105"/>
      <c r="FD4" s="105"/>
      <c r="FE4" s="105"/>
      <c r="FF4" s="105"/>
      <c r="FG4" s="105"/>
      <c r="FH4" s="105"/>
      <c r="FI4" s="105"/>
      <c r="FJ4" s="105"/>
      <c r="FK4" s="105"/>
      <c r="FL4" s="105"/>
      <c r="FM4" s="105"/>
      <c r="FN4" s="105"/>
      <c r="FO4" s="105"/>
    </row>
    <row r="5" spans="1:171" ht="25.5" customHeight="1">
      <c r="A5" s="10"/>
      <c r="B5" s="106" t="s">
        <v>2</v>
      </c>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c r="BM5" s="105"/>
      <c r="BN5" s="105"/>
      <c r="BO5" s="105"/>
      <c r="BP5" s="105"/>
      <c r="BQ5" s="105"/>
      <c r="BR5" s="105"/>
      <c r="BS5" s="105"/>
      <c r="BT5" s="105"/>
      <c r="BU5" s="105"/>
      <c r="BV5" s="105"/>
      <c r="BW5" s="105"/>
      <c r="BX5" s="105"/>
      <c r="BY5" s="105"/>
      <c r="BZ5" s="105"/>
      <c r="CA5" s="105"/>
      <c r="CB5" s="105"/>
      <c r="CC5" s="105"/>
      <c r="CD5" s="105"/>
      <c r="CE5" s="105"/>
      <c r="CF5" s="105"/>
      <c r="CG5" s="105"/>
      <c r="CH5" s="105"/>
      <c r="CI5" s="105"/>
      <c r="CJ5" s="105"/>
      <c r="CK5" s="105"/>
      <c r="CL5" s="105"/>
      <c r="CM5" s="105"/>
      <c r="CN5" s="105"/>
      <c r="CO5" s="105"/>
      <c r="CP5" s="105"/>
      <c r="CQ5" s="105"/>
      <c r="CR5" s="105"/>
      <c r="CS5" s="105"/>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5"/>
      <c r="DY5" s="105"/>
      <c r="DZ5" s="105"/>
      <c r="EA5" s="105"/>
      <c r="EB5" s="105"/>
      <c r="EC5" s="105"/>
      <c r="ED5" s="105"/>
      <c r="EE5" s="105"/>
      <c r="EF5" s="105"/>
      <c r="EG5" s="105"/>
      <c r="EH5" s="105"/>
      <c r="EI5" s="105"/>
      <c r="EJ5" s="105"/>
      <c r="EK5" s="105"/>
      <c r="EL5" s="105"/>
      <c r="EM5" s="105"/>
      <c r="EN5" s="105"/>
      <c r="EO5" s="105"/>
      <c r="EP5" s="105"/>
      <c r="EQ5" s="105"/>
      <c r="ER5" s="105"/>
      <c r="ES5" s="105"/>
      <c r="ET5" s="105"/>
      <c r="EU5" s="105"/>
      <c r="EV5" s="105"/>
      <c r="EW5" s="105"/>
      <c r="EX5" s="105"/>
      <c r="EY5" s="105"/>
      <c r="EZ5" s="105"/>
      <c r="FA5" s="105"/>
      <c r="FB5" s="105"/>
      <c r="FC5" s="105"/>
      <c r="FD5" s="105"/>
      <c r="FE5" s="105"/>
      <c r="FF5" s="105"/>
      <c r="FG5" s="105"/>
      <c r="FH5" s="105"/>
      <c r="FI5" s="105"/>
      <c r="FJ5" s="105"/>
      <c r="FK5" s="105"/>
      <c r="FL5" s="105"/>
      <c r="FM5" s="105"/>
      <c r="FN5" s="105"/>
      <c r="FO5" s="105"/>
    </row>
    <row r="6" spans="1:171" ht="14.25"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row>
    <row r="7" spans="1:171" ht="15.75" customHeight="1">
      <c r="A7" s="10"/>
      <c r="B7" s="104" t="s">
        <v>3</v>
      </c>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105"/>
      <c r="BO7" s="105"/>
      <c r="BP7" s="105"/>
      <c r="BQ7" s="105"/>
      <c r="BR7" s="105"/>
      <c r="BS7" s="105"/>
      <c r="BT7" s="105"/>
      <c r="BU7" s="105"/>
      <c r="BV7" s="105"/>
      <c r="BW7" s="105"/>
      <c r="BX7" s="105"/>
      <c r="BY7" s="105"/>
      <c r="BZ7" s="105"/>
      <c r="CA7" s="105"/>
      <c r="CB7" s="105"/>
      <c r="CC7" s="105"/>
      <c r="CD7" s="105"/>
      <c r="CE7" s="105"/>
      <c r="CF7" s="105"/>
      <c r="CG7" s="105"/>
      <c r="CH7" s="105"/>
      <c r="CI7" s="105"/>
      <c r="CJ7" s="105"/>
      <c r="CK7" s="105"/>
      <c r="CL7" s="105"/>
      <c r="CM7" s="105"/>
      <c r="CN7" s="105"/>
      <c r="CO7" s="105"/>
      <c r="CP7" s="105"/>
      <c r="CQ7" s="105"/>
      <c r="CR7" s="105"/>
      <c r="CS7" s="105"/>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5"/>
      <c r="DY7" s="105"/>
      <c r="DZ7" s="105"/>
      <c r="EA7" s="105"/>
      <c r="EB7" s="105"/>
      <c r="EC7" s="105"/>
      <c r="ED7" s="105"/>
      <c r="EE7" s="105"/>
      <c r="EF7" s="105"/>
      <c r="EG7" s="105"/>
      <c r="EH7" s="105"/>
      <c r="EI7" s="105"/>
      <c r="EJ7" s="105"/>
      <c r="EK7" s="105"/>
      <c r="EL7" s="105"/>
      <c r="EM7" s="105"/>
      <c r="EN7" s="105"/>
      <c r="EO7" s="105"/>
      <c r="EP7" s="105"/>
      <c r="EQ7" s="105"/>
      <c r="ER7" s="105"/>
      <c r="ES7" s="105"/>
      <c r="ET7" s="105"/>
      <c r="EU7" s="105"/>
      <c r="EV7" s="105"/>
      <c r="EW7" s="105"/>
      <c r="EX7" s="105"/>
      <c r="EY7" s="105"/>
      <c r="EZ7" s="105"/>
      <c r="FA7" s="105"/>
      <c r="FB7" s="105"/>
      <c r="FC7" s="105"/>
      <c r="FD7" s="105"/>
      <c r="FE7" s="105"/>
      <c r="FF7" s="105"/>
      <c r="FG7" s="105"/>
      <c r="FH7" s="105"/>
      <c r="FI7" s="105"/>
      <c r="FJ7" s="105"/>
      <c r="FK7" s="105"/>
      <c r="FL7" s="105"/>
      <c r="FM7" s="105"/>
      <c r="FN7" s="105"/>
      <c r="FO7" s="105"/>
    </row>
    <row r="8" spans="1:171" ht="21.75" customHeight="1">
      <c r="A8" s="10"/>
      <c r="B8" s="14"/>
      <c r="C8" s="102" t="s">
        <v>4</v>
      </c>
      <c r="D8" s="103"/>
      <c r="E8" s="103"/>
      <c r="F8" s="103"/>
      <c r="G8" s="103"/>
      <c r="H8" s="103"/>
      <c r="I8" s="103"/>
      <c r="J8" s="103"/>
      <c r="K8" s="103"/>
      <c r="L8" s="103"/>
      <c r="M8" s="103"/>
      <c r="N8" s="103"/>
      <c r="O8" s="103"/>
      <c r="P8" s="102" t="s">
        <v>5</v>
      </c>
      <c r="Q8" s="103"/>
      <c r="R8" s="103"/>
      <c r="S8" s="103"/>
      <c r="T8" s="103"/>
      <c r="U8" s="103"/>
      <c r="V8" s="103"/>
      <c r="W8" s="103"/>
      <c r="X8" s="103"/>
      <c r="Y8" s="103"/>
      <c r="Z8" s="103"/>
      <c r="AA8" s="103"/>
      <c r="AB8" s="103"/>
      <c r="AC8" s="102" t="s">
        <v>6</v>
      </c>
      <c r="AD8" s="103"/>
      <c r="AE8" s="103"/>
      <c r="AF8" s="103"/>
      <c r="AG8" s="103"/>
      <c r="AH8" s="103"/>
      <c r="AI8" s="103"/>
      <c r="AJ8" s="103"/>
      <c r="AK8" s="103"/>
      <c r="AL8" s="103"/>
      <c r="AM8" s="103"/>
      <c r="AN8" s="103"/>
      <c r="AO8" s="103"/>
      <c r="AP8" s="102" t="s">
        <v>7</v>
      </c>
      <c r="AQ8" s="103"/>
      <c r="AR8" s="103"/>
      <c r="AS8" s="103"/>
      <c r="AT8" s="103"/>
      <c r="AU8" s="103"/>
      <c r="AV8" s="103"/>
      <c r="AW8" s="103"/>
      <c r="AX8" s="103"/>
      <c r="AY8" s="103"/>
      <c r="AZ8" s="103"/>
      <c r="BA8" s="103"/>
      <c r="BB8" s="103"/>
      <c r="BC8" s="102" t="s">
        <v>8</v>
      </c>
      <c r="BD8" s="103"/>
      <c r="BE8" s="103"/>
      <c r="BF8" s="103"/>
      <c r="BG8" s="103"/>
      <c r="BH8" s="103"/>
      <c r="BI8" s="103"/>
      <c r="BJ8" s="103"/>
      <c r="BK8" s="103"/>
      <c r="BL8" s="103"/>
      <c r="BM8" s="103"/>
      <c r="BN8" s="103"/>
      <c r="BO8" s="103"/>
      <c r="BP8" s="102" t="s">
        <v>9</v>
      </c>
      <c r="BQ8" s="103"/>
      <c r="BR8" s="103"/>
      <c r="BS8" s="103"/>
      <c r="BT8" s="103"/>
      <c r="BU8" s="103"/>
      <c r="BV8" s="103"/>
      <c r="BW8" s="103"/>
      <c r="BX8" s="103"/>
      <c r="BY8" s="103"/>
      <c r="BZ8" s="103"/>
      <c r="CA8" s="103"/>
      <c r="CB8" s="103"/>
      <c r="CC8" s="102" t="s">
        <v>10</v>
      </c>
      <c r="CD8" s="103"/>
      <c r="CE8" s="103"/>
      <c r="CF8" s="103"/>
      <c r="CG8" s="103"/>
      <c r="CH8" s="103"/>
      <c r="CI8" s="103"/>
      <c r="CJ8" s="103"/>
      <c r="CK8" s="103"/>
      <c r="CL8" s="103"/>
      <c r="CM8" s="103"/>
      <c r="CN8" s="103"/>
      <c r="CO8" s="103"/>
      <c r="CP8" s="102" t="s">
        <v>11</v>
      </c>
      <c r="CQ8" s="103"/>
      <c r="CR8" s="103"/>
      <c r="CS8" s="103"/>
      <c r="CT8" s="103"/>
      <c r="CU8" s="103"/>
      <c r="CV8" s="103"/>
      <c r="CW8" s="103"/>
      <c r="CX8" s="103"/>
      <c r="CY8" s="103"/>
      <c r="CZ8" s="103"/>
      <c r="DA8" s="103"/>
      <c r="DB8" s="103"/>
      <c r="DC8" s="102" t="s">
        <v>12</v>
      </c>
      <c r="DD8" s="103"/>
      <c r="DE8" s="103"/>
      <c r="DF8" s="103"/>
      <c r="DG8" s="103"/>
      <c r="DH8" s="103"/>
      <c r="DI8" s="103"/>
      <c r="DJ8" s="103"/>
      <c r="DK8" s="103"/>
      <c r="DL8" s="103"/>
      <c r="DM8" s="103"/>
      <c r="DN8" s="103"/>
      <c r="DO8" s="103"/>
      <c r="DP8" s="102" t="s">
        <v>13</v>
      </c>
      <c r="DQ8" s="103"/>
      <c r="DR8" s="103"/>
      <c r="DS8" s="103"/>
      <c r="DT8" s="103"/>
      <c r="DU8" s="103"/>
      <c r="DV8" s="103"/>
      <c r="DW8" s="103"/>
      <c r="DX8" s="103"/>
      <c r="DY8" s="103"/>
      <c r="DZ8" s="103"/>
      <c r="EA8" s="103"/>
      <c r="EB8" s="103"/>
      <c r="EC8" s="102" t="s">
        <v>14</v>
      </c>
      <c r="ED8" s="103"/>
      <c r="EE8" s="103"/>
      <c r="EF8" s="103"/>
      <c r="EG8" s="103"/>
      <c r="EH8" s="103"/>
      <c r="EI8" s="103"/>
      <c r="EJ8" s="103"/>
      <c r="EK8" s="103"/>
      <c r="EL8" s="103"/>
      <c r="EM8" s="103"/>
      <c r="EN8" s="103"/>
      <c r="EO8" s="103"/>
      <c r="EP8" s="102" t="s">
        <v>15</v>
      </c>
      <c r="EQ8" s="103"/>
      <c r="ER8" s="103"/>
      <c r="ES8" s="103"/>
      <c r="ET8" s="103"/>
      <c r="EU8" s="103"/>
      <c r="EV8" s="103"/>
      <c r="EW8" s="103"/>
      <c r="EX8" s="103"/>
      <c r="EY8" s="103"/>
      <c r="EZ8" s="103"/>
      <c r="FA8" s="103"/>
      <c r="FB8" s="103"/>
      <c r="FC8" s="102" t="s">
        <v>16</v>
      </c>
      <c r="FD8" s="103"/>
      <c r="FE8" s="103"/>
      <c r="FF8" s="103"/>
      <c r="FG8" s="103"/>
      <c r="FH8" s="103"/>
      <c r="FI8" s="103"/>
      <c r="FJ8" s="103"/>
      <c r="FK8" s="103"/>
      <c r="FL8" s="103"/>
      <c r="FM8" s="103"/>
      <c r="FN8" s="103"/>
      <c r="FO8" s="103"/>
    </row>
    <row r="9" spans="1:171" ht="27.75" customHeight="1">
      <c r="A9" s="10"/>
      <c r="B9" s="15" t="s">
        <v>17</v>
      </c>
      <c r="C9" s="16" t="s">
        <v>18</v>
      </c>
      <c r="D9" s="16" t="s">
        <v>19</v>
      </c>
      <c r="E9" s="16" t="s">
        <v>20</v>
      </c>
      <c r="F9" s="16" t="s">
        <v>21</v>
      </c>
      <c r="G9" s="16" t="s">
        <v>22</v>
      </c>
      <c r="H9" s="16" t="s">
        <v>23</v>
      </c>
      <c r="I9" s="16" t="s">
        <v>24</v>
      </c>
      <c r="J9" s="16" t="s">
        <v>25</v>
      </c>
      <c r="K9" s="16" t="s">
        <v>26</v>
      </c>
      <c r="L9" s="16" t="s">
        <v>27</v>
      </c>
      <c r="M9" s="16" t="s">
        <v>28</v>
      </c>
      <c r="N9" s="16" t="s">
        <v>29</v>
      </c>
      <c r="O9" s="16" t="s">
        <v>30</v>
      </c>
      <c r="P9" s="16" t="s">
        <v>18</v>
      </c>
      <c r="Q9" s="16" t="s">
        <v>19</v>
      </c>
      <c r="R9" s="16" t="s">
        <v>20</v>
      </c>
      <c r="S9" s="16" t="s">
        <v>21</v>
      </c>
      <c r="T9" s="16" t="s">
        <v>22</v>
      </c>
      <c r="U9" s="16" t="s">
        <v>23</v>
      </c>
      <c r="V9" s="16" t="s">
        <v>24</v>
      </c>
      <c r="W9" s="16" t="s">
        <v>25</v>
      </c>
      <c r="X9" s="16" t="s">
        <v>26</v>
      </c>
      <c r="Y9" s="16" t="s">
        <v>27</v>
      </c>
      <c r="Z9" s="16" t="s">
        <v>28</v>
      </c>
      <c r="AA9" s="16" t="s">
        <v>29</v>
      </c>
      <c r="AB9" s="16" t="s">
        <v>31</v>
      </c>
      <c r="AC9" s="16" t="s">
        <v>18</v>
      </c>
      <c r="AD9" s="16" t="s">
        <v>19</v>
      </c>
      <c r="AE9" s="16" t="s">
        <v>20</v>
      </c>
      <c r="AF9" s="16" t="s">
        <v>21</v>
      </c>
      <c r="AG9" s="16" t="s">
        <v>22</v>
      </c>
      <c r="AH9" s="16" t="s">
        <v>23</v>
      </c>
      <c r="AI9" s="16" t="s">
        <v>24</v>
      </c>
      <c r="AJ9" s="16" t="s">
        <v>25</v>
      </c>
      <c r="AK9" s="16" t="s">
        <v>26</v>
      </c>
      <c r="AL9" s="16" t="s">
        <v>27</v>
      </c>
      <c r="AM9" s="16" t="s">
        <v>28</v>
      </c>
      <c r="AN9" s="16" t="s">
        <v>29</v>
      </c>
      <c r="AO9" s="16" t="s">
        <v>32</v>
      </c>
      <c r="AP9" s="16" t="s">
        <v>18</v>
      </c>
      <c r="AQ9" s="16" t="s">
        <v>19</v>
      </c>
      <c r="AR9" s="16" t="s">
        <v>20</v>
      </c>
      <c r="AS9" s="16" t="s">
        <v>21</v>
      </c>
      <c r="AT9" s="16" t="s">
        <v>22</v>
      </c>
      <c r="AU9" s="16" t="s">
        <v>23</v>
      </c>
      <c r="AV9" s="16" t="s">
        <v>24</v>
      </c>
      <c r="AW9" s="16" t="s">
        <v>25</v>
      </c>
      <c r="AX9" s="16" t="s">
        <v>26</v>
      </c>
      <c r="AY9" s="16" t="s">
        <v>27</v>
      </c>
      <c r="AZ9" s="16" t="s">
        <v>28</v>
      </c>
      <c r="BA9" s="16" t="s">
        <v>29</v>
      </c>
      <c r="BB9" s="16" t="s">
        <v>33</v>
      </c>
      <c r="BC9" s="16" t="s">
        <v>18</v>
      </c>
      <c r="BD9" s="16" t="s">
        <v>19</v>
      </c>
      <c r="BE9" s="16" t="s">
        <v>20</v>
      </c>
      <c r="BF9" s="16" t="s">
        <v>21</v>
      </c>
      <c r="BG9" s="16" t="s">
        <v>22</v>
      </c>
      <c r="BH9" s="16" t="s">
        <v>23</v>
      </c>
      <c r="BI9" s="16" t="s">
        <v>24</v>
      </c>
      <c r="BJ9" s="16" t="s">
        <v>25</v>
      </c>
      <c r="BK9" s="16" t="s">
        <v>26</v>
      </c>
      <c r="BL9" s="16" t="s">
        <v>27</v>
      </c>
      <c r="BM9" s="16" t="s">
        <v>28</v>
      </c>
      <c r="BN9" s="16" t="s">
        <v>29</v>
      </c>
      <c r="BO9" s="16" t="s">
        <v>34</v>
      </c>
      <c r="BP9" s="16" t="s">
        <v>18</v>
      </c>
      <c r="BQ9" s="16" t="s">
        <v>19</v>
      </c>
      <c r="BR9" s="16" t="s">
        <v>20</v>
      </c>
      <c r="BS9" s="16" t="s">
        <v>21</v>
      </c>
      <c r="BT9" s="16" t="s">
        <v>22</v>
      </c>
      <c r="BU9" s="16" t="s">
        <v>23</v>
      </c>
      <c r="BV9" s="16" t="s">
        <v>24</v>
      </c>
      <c r="BW9" s="16" t="s">
        <v>25</v>
      </c>
      <c r="BX9" s="16" t="s">
        <v>26</v>
      </c>
      <c r="BY9" s="16" t="s">
        <v>27</v>
      </c>
      <c r="BZ9" s="16" t="s">
        <v>28</v>
      </c>
      <c r="CA9" s="16" t="s">
        <v>29</v>
      </c>
      <c r="CB9" s="16" t="s">
        <v>35</v>
      </c>
      <c r="CC9" s="16" t="s">
        <v>18</v>
      </c>
      <c r="CD9" s="16" t="s">
        <v>19</v>
      </c>
      <c r="CE9" s="16" t="s">
        <v>20</v>
      </c>
      <c r="CF9" s="16" t="s">
        <v>21</v>
      </c>
      <c r="CG9" s="16" t="s">
        <v>22</v>
      </c>
      <c r="CH9" s="16" t="s">
        <v>23</v>
      </c>
      <c r="CI9" s="16" t="s">
        <v>24</v>
      </c>
      <c r="CJ9" s="16" t="s">
        <v>25</v>
      </c>
      <c r="CK9" s="16" t="s">
        <v>26</v>
      </c>
      <c r="CL9" s="16" t="s">
        <v>27</v>
      </c>
      <c r="CM9" s="16" t="s">
        <v>28</v>
      </c>
      <c r="CN9" s="16" t="s">
        <v>29</v>
      </c>
      <c r="CO9" s="16" t="s">
        <v>36</v>
      </c>
      <c r="CP9" s="16" t="s">
        <v>18</v>
      </c>
      <c r="CQ9" s="16" t="s">
        <v>19</v>
      </c>
      <c r="CR9" s="16" t="s">
        <v>20</v>
      </c>
      <c r="CS9" s="16" t="s">
        <v>21</v>
      </c>
      <c r="CT9" s="16" t="s">
        <v>22</v>
      </c>
      <c r="CU9" s="16" t="s">
        <v>23</v>
      </c>
      <c r="CV9" s="16" t="s">
        <v>24</v>
      </c>
      <c r="CW9" s="16" t="s">
        <v>25</v>
      </c>
      <c r="CX9" s="16" t="s">
        <v>26</v>
      </c>
      <c r="CY9" s="16" t="s">
        <v>27</v>
      </c>
      <c r="CZ9" s="16" t="s">
        <v>28</v>
      </c>
      <c r="DA9" s="16" t="s">
        <v>29</v>
      </c>
      <c r="DB9" s="16" t="s">
        <v>37</v>
      </c>
      <c r="DC9" s="16" t="s">
        <v>18</v>
      </c>
      <c r="DD9" s="16" t="s">
        <v>19</v>
      </c>
      <c r="DE9" s="16" t="s">
        <v>20</v>
      </c>
      <c r="DF9" s="16" t="s">
        <v>21</v>
      </c>
      <c r="DG9" s="16" t="s">
        <v>22</v>
      </c>
      <c r="DH9" s="16" t="s">
        <v>23</v>
      </c>
      <c r="DI9" s="16" t="s">
        <v>24</v>
      </c>
      <c r="DJ9" s="16" t="s">
        <v>25</v>
      </c>
      <c r="DK9" s="16" t="s">
        <v>26</v>
      </c>
      <c r="DL9" s="16" t="s">
        <v>27</v>
      </c>
      <c r="DM9" s="16" t="s">
        <v>28</v>
      </c>
      <c r="DN9" s="16" t="s">
        <v>29</v>
      </c>
      <c r="DO9" s="16" t="s">
        <v>38</v>
      </c>
      <c r="DP9" s="16" t="s">
        <v>18</v>
      </c>
      <c r="DQ9" s="16" t="s">
        <v>19</v>
      </c>
      <c r="DR9" s="16" t="s">
        <v>20</v>
      </c>
      <c r="DS9" s="16" t="s">
        <v>21</v>
      </c>
      <c r="DT9" s="16" t="s">
        <v>22</v>
      </c>
      <c r="DU9" s="16" t="s">
        <v>23</v>
      </c>
      <c r="DV9" s="16" t="s">
        <v>24</v>
      </c>
      <c r="DW9" s="16" t="s">
        <v>25</v>
      </c>
      <c r="DX9" s="16" t="s">
        <v>26</v>
      </c>
      <c r="DY9" s="16" t="s">
        <v>27</v>
      </c>
      <c r="DZ9" s="16" t="s">
        <v>28</v>
      </c>
      <c r="EA9" s="16" t="s">
        <v>29</v>
      </c>
      <c r="EB9" s="16" t="s">
        <v>39</v>
      </c>
      <c r="EC9" s="16" t="s">
        <v>18</v>
      </c>
      <c r="ED9" s="16" t="s">
        <v>19</v>
      </c>
      <c r="EE9" s="16" t="s">
        <v>20</v>
      </c>
      <c r="EF9" s="16" t="s">
        <v>21</v>
      </c>
      <c r="EG9" s="16" t="s">
        <v>22</v>
      </c>
      <c r="EH9" s="16" t="s">
        <v>23</v>
      </c>
      <c r="EI9" s="16" t="s">
        <v>24</v>
      </c>
      <c r="EJ9" s="16" t="s">
        <v>25</v>
      </c>
      <c r="EK9" s="16" t="s">
        <v>26</v>
      </c>
      <c r="EL9" s="16" t="s">
        <v>27</v>
      </c>
      <c r="EM9" s="16" t="s">
        <v>28</v>
      </c>
      <c r="EN9" s="16" t="s">
        <v>29</v>
      </c>
      <c r="EO9" s="16" t="s">
        <v>40</v>
      </c>
      <c r="EP9" s="16" t="s">
        <v>18</v>
      </c>
      <c r="EQ9" s="16" t="s">
        <v>19</v>
      </c>
      <c r="ER9" s="16" t="s">
        <v>20</v>
      </c>
      <c r="ES9" s="16" t="s">
        <v>21</v>
      </c>
      <c r="ET9" s="16" t="s">
        <v>22</v>
      </c>
      <c r="EU9" s="16" t="s">
        <v>23</v>
      </c>
      <c r="EV9" s="16" t="s">
        <v>24</v>
      </c>
      <c r="EW9" s="16" t="s">
        <v>25</v>
      </c>
      <c r="EX9" s="16" t="s">
        <v>26</v>
      </c>
      <c r="EY9" s="16" t="s">
        <v>27</v>
      </c>
      <c r="EZ9" s="16" t="s">
        <v>28</v>
      </c>
      <c r="FA9" s="16" t="s">
        <v>29</v>
      </c>
      <c r="FB9" s="16" t="s">
        <v>41</v>
      </c>
      <c r="FC9" s="16" t="s">
        <v>18</v>
      </c>
      <c r="FD9" s="16" t="s">
        <v>19</v>
      </c>
      <c r="FE9" s="16" t="s">
        <v>20</v>
      </c>
      <c r="FF9" s="16" t="s">
        <v>21</v>
      </c>
      <c r="FG9" s="16" t="s">
        <v>22</v>
      </c>
      <c r="FH9" s="16" t="s">
        <v>23</v>
      </c>
      <c r="FI9" s="16" t="s">
        <v>24</v>
      </c>
      <c r="FJ9" s="16" t="s">
        <v>25</v>
      </c>
      <c r="FK9" s="16" t="s">
        <v>26</v>
      </c>
      <c r="FL9" s="16" t="s">
        <v>27</v>
      </c>
      <c r="FM9" s="16" t="s">
        <v>28</v>
      </c>
      <c r="FN9" s="16" t="s">
        <v>29</v>
      </c>
      <c r="FO9" s="16" t="s">
        <v>42</v>
      </c>
    </row>
    <row r="10" spans="1:171" ht="27.75" customHeight="1">
      <c r="A10" s="10"/>
      <c r="B10" s="19" t="s">
        <v>43</v>
      </c>
      <c r="C10" s="20">
        <v>806907228</v>
      </c>
      <c r="D10" s="20">
        <v>806907228</v>
      </c>
      <c r="E10" s="20">
        <v>806907228</v>
      </c>
      <c r="F10" s="20">
        <v>806907228</v>
      </c>
      <c r="G10" s="20">
        <v>806907228</v>
      </c>
      <c r="H10" s="20">
        <v>806907228</v>
      </c>
      <c r="I10" s="20">
        <v>806907228</v>
      </c>
      <c r="J10" s="20">
        <v>806907228</v>
      </c>
      <c r="K10" s="20">
        <v>806907228</v>
      </c>
      <c r="L10" s="20">
        <v>806907228</v>
      </c>
      <c r="M10" s="20">
        <v>806907228</v>
      </c>
      <c r="N10" s="20">
        <v>806907228</v>
      </c>
      <c r="O10" s="20">
        <f t="shared" ref="O10:O15" si="0">N10</f>
        <v>806907228</v>
      </c>
      <c r="P10" s="20">
        <v>957407656</v>
      </c>
      <c r="Q10" s="20">
        <v>957407656</v>
      </c>
      <c r="R10" s="20">
        <v>957407656</v>
      </c>
      <c r="S10" s="20">
        <v>957407656</v>
      </c>
      <c r="T10" s="20">
        <v>957407656</v>
      </c>
      <c r="U10" s="20">
        <v>957407656</v>
      </c>
      <c r="V10" s="20">
        <v>957407656</v>
      </c>
      <c r="W10" s="20">
        <v>957407656</v>
      </c>
      <c r="X10" s="20">
        <v>957407656</v>
      </c>
      <c r="Y10" s="20">
        <v>957407656</v>
      </c>
      <c r="Z10" s="20">
        <v>957407656</v>
      </c>
      <c r="AA10" s="20">
        <v>957407656</v>
      </c>
      <c r="AB10" s="20">
        <f t="shared" ref="AB10:AB15" si="1">AA10</f>
        <v>957407656</v>
      </c>
      <c r="AC10" s="20">
        <v>937156766</v>
      </c>
      <c r="AD10" s="20">
        <v>937156766</v>
      </c>
      <c r="AE10" s="20">
        <v>937156766</v>
      </c>
      <c r="AF10" s="20">
        <v>937156766</v>
      </c>
      <c r="AG10" s="20">
        <v>937156766</v>
      </c>
      <c r="AH10" s="20">
        <v>937156766</v>
      </c>
      <c r="AI10" s="20">
        <v>937156766</v>
      </c>
      <c r="AJ10" s="20">
        <v>937156766</v>
      </c>
      <c r="AK10" s="20">
        <v>937156766</v>
      </c>
      <c r="AL10" s="20">
        <v>937156766</v>
      </c>
      <c r="AM10" s="20">
        <v>937156766</v>
      </c>
      <c r="AN10" s="20">
        <v>937156766</v>
      </c>
      <c r="AO10" s="20">
        <f t="shared" ref="AO10:AO15" si="2">AN10</f>
        <v>937156766</v>
      </c>
      <c r="AP10" s="20">
        <v>982538421</v>
      </c>
      <c r="AQ10" s="20">
        <v>982538421</v>
      </c>
      <c r="AR10" s="20">
        <v>982538421</v>
      </c>
      <c r="AS10" s="20">
        <v>982538421</v>
      </c>
      <c r="AT10" s="20">
        <v>982538421</v>
      </c>
      <c r="AU10" s="20">
        <v>982538421</v>
      </c>
      <c r="AV10" s="20">
        <v>982538421</v>
      </c>
      <c r="AW10" s="20">
        <v>982538421</v>
      </c>
      <c r="AX10" s="20">
        <v>982538421</v>
      </c>
      <c r="AY10" s="20">
        <v>982538421</v>
      </c>
      <c r="AZ10" s="20">
        <v>982538421</v>
      </c>
      <c r="BA10" s="20">
        <v>982538421</v>
      </c>
      <c r="BB10" s="20">
        <f t="shared" ref="BB10:BB15" si="3">BA10</f>
        <v>982538421</v>
      </c>
      <c r="BC10" s="20">
        <v>998447263</v>
      </c>
      <c r="BD10" s="20">
        <v>998447263</v>
      </c>
      <c r="BE10" s="20">
        <v>998447263</v>
      </c>
      <c r="BF10" s="20">
        <v>998447263</v>
      </c>
      <c r="BG10" s="20">
        <v>998447263</v>
      </c>
      <c r="BH10" s="20">
        <v>998447263</v>
      </c>
      <c r="BI10" s="20">
        <v>998447263</v>
      </c>
      <c r="BJ10" s="20">
        <v>998447263</v>
      </c>
      <c r="BK10" s="20">
        <v>998447263</v>
      </c>
      <c r="BL10" s="20">
        <v>998447263</v>
      </c>
      <c r="BM10" s="20">
        <v>998447263</v>
      </c>
      <c r="BN10" s="20">
        <v>998447263</v>
      </c>
      <c r="BO10" s="20">
        <f t="shared" ref="BO10:BO15" si="4">BN10</f>
        <v>998447263</v>
      </c>
      <c r="BP10" s="20">
        <v>1056398949</v>
      </c>
      <c r="BQ10" s="20">
        <v>1056398949</v>
      </c>
      <c r="BR10" s="20">
        <v>1056398949</v>
      </c>
      <c r="BS10" s="20">
        <v>1056398949</v>
      </c>
      <c r="BT10" s="20">
        <v>1056398949</v>
      </c>
      <c r="BU10" s="20">
        <v>1056398949</v>
      </c>
      <c r="BV10" s="20">
        <v>1056398949</v>
      </c>
      <c r="BW10" s="20">
        <v>1056398949</v>
      </c>
      <c r="BX10" s="20">
        <v>1056398949</v>
      </c>
      <c r="BY10" s="20">
        <v>1056398949</v>
      </c>
      <c r="BZ10" s="20">
        <v>1056398949</v>
      </c>
      <c r="CA10" s="20">
        <v>1056398949</v>
      </c>
      <c r="CB10" s="20">
        <f t="shared" ref="CB10:CB15" si="5">CA10</f>
        <v>1056398949</v>
      </c>
      <c r="CC10" s="20">
        <v>1148358839</v>
      </c>
      <c r="CD10" s="20">
        <v>1148358839</v>
      </c>
      <c r="CE10" s="20">
        <v>1148358839</v>
      </c>
      <c r="CF10" s="20">
        <v>1148358839</v>
      </c>
      <c r="CG10" s="20">
        <v>1148358839</v>
      </c>
      <c r="CH10" s="20">
        <v>1148358839</v>
      </c>
      <c r="CI10" s="20">
        <v>1148358839</v>
      </c>
      <c r="CJ10" s="20">
        <v>1148358839</v>
      </c>
      <c r="CK10" s="20">
        <v>1148358839</v>
      </c>
      <c r="CL10" s="20">
        <v>1148358839</v>
      </c>
      <c r="CM10" s="20">
        <v>1148358839</v>
      </c>
      <c r="CN10" s="20">
        <v>1148358839</v>
      </c>
      <c r="CO10" s="20">
        <f t="shared" ref="CO10:CO15" si="6">CN10</f>
        <v>1148358839</v>
      </c>
      <c r="CP10" s="20">
        <f t="shared" ref="CP10:DA10" si="7">1224421462+380805877</f>
        <v>1605227339</v>
      </c>
      <c r="CQ10" s="20">
        <f t="shared" si="7"/>
        <v>1605227339</v>
      </c>
      <c r="CR10" s="20">
        <f t="shared" si="7"/>
        <v>1605227339</v>
      </c>
      <c r="CS10" s="20">
        <f t="shared" si="7"/>
        <v>1605227339</v>
      </c>
      <c r="CT10" s="20">
        <f t="shared" si="7"/>
        <v>1605227339</v>
      </c>
      <c r="CU10" s="20">
        <f t="shared" si="7"/>
        <v>1605227339</v>
      </c>
      <c r="CV10" s="20">
        <f t="shared" si="7"/>
        <v>1605227339</v>
      </c>
      <c r="CW10" s="20">
        <f t="shared" si="7"/>
        <v>1605227339</v>
      </c>
      <c r="CX10" s="20">
        <f t="shared" si="7"/>
        <v>1605227339</v>
      </c>
      <c r="CY10" s="20">
        <f t="shared" si="7"/>
        <v>1605227339</v>
      </c>
      <c r="CZ10" s="20">
        <f t="shared" si="7"/>
        <v>1605227339</v>
      </c>
      <c r="DA10" s="20">
        <f t="shared" si="7"/>
        <v>1605227339</v>
      </c>
      <c r="DB10" s="20">
        <f t="shared" ref="DB10:DB15" si="8">DA10</f>
        <v>1605227339</v>
      </c>
      <c r="DC10" s="20">
        <f t="shared" ref="DC10:DN10" si="9">1220635546+581829225</f>
        <v>1802464771</v>
      </c>
      <c r="DD10" s="20">
        <f t="shared" si="9"/>
        <v>1802464771</v>
      </c>
      <c r="DE10" s="20">
        <f t="shared" si="9"/>
        <v>1802464771</v>
      </c>
      <c r="DF10" s="20">
        <f t="shared" si="9"/>
        <v>1802464771</v>
      </c>
      <c r="DG10" s="20">
        <f t="shared" si="9"/>
        <v>1802464771</v>
      </c>
      <c r="DH10" s="20">
        <f t="shared" si="9"/>
        <v>1802464771</v>
      </c>
      <c r="DI10" s="20">
        <f t="shared" si="9"/>
        <v>1802464771</v>
      </c>
      <c r="DJ10" s="20">
        <f t="shared" si="9"/>
        <v>1802464771</v>
      </c>
      <c r="DK10" s="20">
        <f t="shared" si="9"/>
        <v>1802464771</v>
      </c>
      <c r="DL10" s="20">
        <f t="shared" si="9"/>
        <v>1802464771</v>
      </c>
      <c r="DM10" s="20">
        <f t="shared" si="9"/>
        <v>1802464771</v>
      </c>
      <c r="DN10" s="20">
        <f t="shared" si="9"/>
        <v>1802464771</v>
      </c>
      <c r="DO10" s="20">
        <f t="shared" ref="DO10:DO15" si="10">DN10</f>
        <v>1802464771</v>
      </c>
      <c r="DP10" s="20">
        <v>1913855137</v>
      </c>
      <c r="DQ10" s="20">
        <v>1913855137</v>
      </c>
      <c r="DR10" s="20">
        <v>1913855137</v>
      </c>
      <c r="DS10" s="20">
        <v>1913855137</v>
      </c>
      <c r="DT10" s="20">
        <v>1913855137</v>
      </c>
      <c r="DU10" s="20">
        <v>1913855137</v>
      </c>
      <c r="DV10" s="20">
        <v>1913855137</v>
      </c>
      <c r="DW10" s="20">
        <v>1913855137</v>
      </c>
      <c r="DX10" s="20">
        <v>1913855137</v>
      </c>
      <c r="DY10" s="20">
        <v>1913855137</v>
      </c>
      <c r="DZ10" s="20">
        <v>1913855137</v>
      </c>
      <c r="EA10" s="20">
        <v>1913855137</v>
      </c>
      <c r="EB10" s="20">
        <f t="shared" ref="EB10:EB15" si="11">EA10</f>
        <v>1913855137</v>
      </c>
      <c r="EC10" s="20">
        <v>2012684680</v>
      </c>
      <c r="ED10" s="20">
        <v>2012684680</v>
      </c>
      <c r="EE10" s="20">
        <v>2012684680</v>
      </c>
      <c r="EF10" s="20">
        <v>2012684680</v>
      </c>
      <c r="EG10" s="20">
        <v>2012684680</v>
      </c>
      <c r="EH10" s="20">
        <v>2012684680</v>
      </c>
      <c r="EI10" s="20">
        <v>2012684680</v>
      </c>
      <c r="EJ10" s="20">
        <v>2012684680</v>
      </c>
      <c r="EK10" s="20">
        <v>2012684680</v>
      </c>
      <c r="EL10" s="20">
        <v>2012684680</v>
      </c>
      <c r="EM10" s="20">
        <v>2012684680</v>
      </c>
      <c r="EN10" s="20">
        <v>2012684680</v>
      </c>
      <c r="EO10" s="20">
        <f t="shared" ref="EO10:EO15" si="12">EN10</f>
        <v>2012684680</v>
      </c>
      <c r="EP10" s="20">
        <v>2083103023</v>
      </c>
      <c r="EQ10" s="20">
        <v>2083103023</v>
      </c>
      <c r="ER10" s="20">
        <v>2083103023</v>
      </c>
      <c r="ES10" s="20">
        <v>2083103023</v>
      </c>
      <c r="ET10" s="20">
        <v>2083103023</v>
      </c>
      <c r="EU10" s="20">
        <v>2083103023</v>
      </c>
      <c r="EV10" s="20">
        <v>2083103023</v>
      </c>
      <c r="EW10" s="20">
        <v>2083103023</v>
      </c>
      <c r="EX10" s="20">
        <v>2083103023</v>
      </c>
      <c r="EY10" s="20">
        <v>2083103023</v>
      </c>
      <c r="EZ10" s="20">
        <v>2083103023</v>
      </c>
      <c r="FA10" s="20">
        <v>2083103023</v>
      </c>
      <c r="FB10" s="20">
        <f t="shared" ref="FB10:FB15" si="13">FA10</f>
        <v>2083103023</v>
      </c>
      <c r="FC10" s="20">
        <v>1951485600</v>
      </c>
      <c r="FD10" s="20">
        <v>1951485600</v>
      </c>
      <c r="FE10" s="20">
        <v>1951485600</v>
      </c>
      <c r="FF10" s="20">
        <v>1951485600</v>
      </c>
      <c r="FG10" s="20">
        <v>1951485600</v>
      </c>
      <c r="FH10" s="20">
        <v>1951485600</v>
      </c>
      <c r="FI10" s="20">
        <v>1951485600</v>
      </c>
      <c r="FJ10" s="10"/>
      <c r="FK10" s="10"/>
      <c r="FL10" s="10"/>
      <c r="FM10" s="10"/>
      <c r="FN10" s="10"/>
      <c r="FO10" s="20">
        <f t="shared" ref="FO10:FO15" si="14">FI10</f>
        <v>1951485600</v>
      </c>
    </row>
    <row r="11" spans="1:171" ht="27.75" customHeight="1">
      <c r="A11" s="10"/>
      <c r="B11" s="19" t="s">
        <v>44</v>
      </c>
      <c r="C11" s="20">
        <v>101236706</v>
      </c>
      <c r="D11" s="20">
        <v>101236706</v>
      </c>
      <c r="E11" s="20">
        <v>101236706</v>
      </c>
      <c r="F11" s="20">
        <v>101236706</v>
      </c>
      <c r="G11" s="20">
        <v>101236706</v>
      </c>
      <c r="H11" s="20">
        <v>101236706</v>
      </c>
      <c r="I11" s="20">
        <v>101236706</v>
      </c>
      <c r="J11" s="20">
        <v>101236706</v>
      </c>
      <c r="K11" s="20">
        <v>101236706</v>
      </c>
      <c r="L11" s="20">
        <v>101236706</v>
      </c>
      <c r="M11" s="20">
        <v>101236706</v>
      </c>
      <c r="N11" s="20">
        <v>101236706</v>
      </c>
      <c r="O11" s="20">
        <f t="shared" si="0"/>
        <v>101236706</v>
      </c>
      <c r="P11" s="20">
        <v>117398169</v>
      </c>
      <c r="Q11" s="20">
        <v>117398169</v>
      </c>
      <c r="R11" s="20">
        <v>117398169</v>
      </c>
      <c r="S11" s="20">
        <v>117398169</v>
      </c>
      <c r="T11" s="20">
        <v>117398169</v>
      </c>
      <c r="U11" s="20">
        <v>117398169</v>
      </c>
      <c r="V11" s="20">
        <v>117398169</v>
      </c>
      <c r="W11" s="20">
        <v>117398169</v>
      </c>
      <c r="X11" s="20">
        <v>117398169</v>
      </c>
      <c r="Y11" s="20">
        <v>117398169</v>
      </c>
      <c r="Z11" s="20">
        <v>117398169</v>
      </c>
      <c r="AA11" s="20">
        <v>117398169</v>
      </c>
      <c r="AB11" s="20">
        <f t="shared" si="1"/>
        <v>117398169</v>
      </c>
      <c r="AC11" s="20">
        <v>127292924</v>
      </c>
      <c r="AD11" s="20">
        <v>127292924</v>
      </c>
      <c r="AE11" s="20">
        <v>127292924</v>
      </c>
      <c r="AF11" s="20">
        <v>127292924</v>
      </c>
      <c r="AG11" s="20">
        <v>127292924</v>
      </c>
      <c r="AH11" s="20">
        <v>127292924</v>
      </c>
      <c r="AI11" s="20">
        <v>127292924</v>
      </c>
      <c r="AJ11" s="20">
        <v>127292924</v>
      </c>
      <c r="AK11" s="20">
        <v>127292924</v>
      </c>
      <c r="AL11" s="20">
        <v>127292924</v>
      </c>
      <c r="AM11" s="20">
        <v>127292924</v>
      </c>
      <c r="AN11" s="20">
        <v>127292924</v>
      </c>
      <c r="AO11" s="20">
        <f t="shared" si="2"/>
        <v>127292924</v>
      </c>
      <c r="AP11" s="20">
        <v>121635713</v>
      </c>
      <c r="AQ11" s="20">
        <v>121635713</v>
      </c>
      <c r="AR11" s="20">
        <v>121635713</v>
      </c>
      <c r="AS11" s="20">
        <v>121635713</v>
      </c>
      <c r="AT11" s="20">
        <v>121635713</v>
      </c>
      <c r="AU11" s="20">
        <v>121635713</v>
      </c>
      <c r="AV11" s="20">
        <v>121635713</v>
      </c>
      <c r="AW11" s="20">
        <v>121635713</v>
      </c>
      <c r="AX11" s="20">
        <v>121635713</v>
      </c>
      <c r="AY11" s="20">
        <v>121635713</v>
      </c>
      <c r="AZ11" s="20">
        <v>121635713</v>
      </c>
      <c r="BA11" s="20">
        <v>121635713</v>
      </c>
      <c r="BB11" s="20">
        <f t="shared" si="3"/>
        <v>121635713</v>
      </c>
      <c r="BC11" s="20">
        <v>119785354</v>
      </c>
      <c r="BD11" s="20">
        <v>119785354</v>
      </c>
      <c r="BE11" s="20">
        <v>119785354</v>
      </c>
      <c r="BF11" s="20">
        <v>119785354</v>
      </c>
      <c r="BG11" s="20">
        <v>119785354</v>
      </c>
      <c r="BH11" s="20">
        <v>119785354</v>
      </c>
      <c r="BI11" s="20">
        <v>119785354</v>
      </c>
      <c r="BJ11" s="20">
        <v>119785354</v>
      </c>
      <c r="BK11" s="20">
        <v>119785354</v>
      </c>
      <c r="BL11" s="20">
        <v>119785354</v>
      </c>
      <c r="BM11" s="20">
        <v>119785354</v>
      </c>
      <c r="BN11" s="20">
        <v>119785354</v>
      </c>
      <c r="BO11" s="20">
        <f t="shared" si="4"/>
        <v>119785354</v>
      </c>
      <c r="BP11" s="20">
        <v>129182602</v>
      </c>
      <c r="BQ11" s="20">
        <v>129182602</v>
      </c>
      <c r="BR11" s="20">
        <v>129182602</v>
      </c>
      <c r="BS11" s="20">
        <v>129182602</v>
      </c>
      <c r="BT11" s="20">
        <v>129182602</v>
      </c>
      <c r="BU11" s="20">
        <v>129182602</v>
      </c>
      <c r="BV11" s="20">
        <v>129182602</v>
      </c>
      <c r="BW11" s="20">
        <v>129182602</v>
      </c>
      <c r="BX11" s="20">
        <v>129182602</v>
      </c>
      <c r="BY11" s="20">
        <v>129182602</v>
      </c>
      <c r="BZ11" s="20">
        <v>129182602</v>
      </c>
      <c r="CA11" s="20">
        <v>129182602</v>
      </c>
      <c r="CB11" s="20">
        <f t="shared" si="5"/>
        <v>129182602</v>
      </c>
      <c r="CC11" s="20">
        <v>137671350</v>
      </c>
      <c r="CD11" s="20">
        <v>137671350</v>
      </c>
      <c r="CE11" s="20">
        <v>137671350</v>
      </c>
      <c r="CF11" s="20">
        <v>137671350</v>
      </c>
      <c r="CG11" s="20">
        <v>137671350</v>
      </c>
      <c r="CH11" s="20">
        <v>137671350</v>
      </c>
      <c r="CI11" s="20">
        <v>137671350</v>
      </c>
      <c r="CJ11" s="20">
        <v>137671350</v>
      </c>
      <c r="CK11" s="20">
        <v>137671350</v>
      </c>
      <c r="CL11" s="20">
        <v>137671350</v>
      </c>
      <c r="CM11" s="20">
        <v>137671350</v>
      </c>
      <c r="CN11" s="20">
        <v>137671350</v>
      </c>
      <c r="CO11" s="20">
        <f t="shared" si="6"/>
        <v>137671350</v>
      </c>
      <c r="CP11" s="20">
        <f t="shared" ref="CP11:DA11" si="15">140801596+100700947</f>
        <v>241502543</v>
      </c>
      <c r="CQ11" s="20">
        <f t="shared" si="15"/>
        <v>241502543</v>
      </c>
      <c r="CR11" s="20">
        <f t="shared" si="15"/>
        <v>241502543</v>
      </c>
      <c r="CS11" s="20">
        <f t="shared" si="15"/>
        <v>241502543</v>
      </c>
      <c r="CT11" s="20">
        <f t="shared" si="15"/>
        <v>241502543</v>
      </c>
      <c r="CU11" s="20">
        <f t="shared" si="15"/>
        <v>241502543</v>
      </c>
      <c r="CV11" s="20">
        <f t="shared" si="15"/>
        <v>241502543</v>
      </c>
      <c r="CW11" s="20">
        <f t="shared" si="15"/>
        <v>241502543</v>
      </c>
      <c r="CX11" s="20">
        <f t="shared" si="15"/>
        <v>241502543</v>
      </c>
      <c r="CY11" s="20">
        <f t="shared" si="15"/>
        <v>241502543</v>
      </c>
      <c r="CZ11" s="20">
        <f t="shared" si="15"/>
        <v>241502543</v>
      </c>
      <c r="DA11" s="20">
        <f t="shared" si="15"/>
        <v>241502543</v>
      </c>
      <c r="DB11" s="20">
        <f t="shared" si="8"/>
        <v>241502543</v>
      </c>
      <c r="DC11" s="20">
        <f t="shared" ref="DC11:DN11" si="16">147022684+130812721</f>
        <v>277835405</v>
      </c>
      <c r="DD11" s="20">
        <f t="shared" si="16"/>
        <v>277835405</v>
      </c>
      <c r="DE11" s="20">
        <f t="shared" si="16"/>
        <v>277835405</v>
      </c>
      <c r="DF11" s="20">
        <f t="shared" si="16"/>
        <v>277835405</v>
      </c>
      <c r="DG11" s="20">
        <f t="shared" si="16"/>
        <v>277835405</v>
      </c>
      <c r="DH11" s="20">
        <f t="shared" si="16"/>
        <v>277835405</v>
      </c>
      <c r="DI11" s="20">
        <f t="shared" si="16"/>
        <v>277835405</v>
      </c>
      <c r="DJ11" s="20">
        <f t="shared" si="16"/>
        <v>277835405</v>
      </c>
      <c r="DK11" s="20">
        <f t="shared" si="16"/>
        <v>277835405</v>
      </c>
      <c r="DL11" s="20">
        <f t="shared" si="16"/>
        <v>277835405</v>
      </c>
      <c r="DM11" s="20">
        <f t="shared" si="16"/>
        <v>277835405</v>
      </c>
      <c r="DN11" s="20">
        <f t="shared" si="16"/>
        <v>277835405</v>
      </c>
      <c r="DO11" s="20">
        <f t="shared" si="10"/>
        <v>277835405</v>
      </c>
      <c r="DP11" s="20">
        <v>293591805</v>
      </c>
      <c r="DQ11" s="20">
        <v>293591805</v>
      </c>
      <c r="DR11" s="20">
        <v>293591805</v>
      </c>
      <c r="DS11" s="20">
        <v>293591805</v>
      </c>
      <c r="DT11" s="20">
        <v>293591805</v>
      </c>
      <c r="DU11" s="20">
        <v>293591805</v>
      </c>
      <c r="DV11" s="20">
        <v>293591805</v>
      </c>
      <c r="DW11" s="20">
        <v>293591805</v>
      </c>
      <c r="DX11" s="20">
        <v>293591805</v>
      </c>
      <c r="DY11" s="20">
        <v>293591805</v>
      </c>
      <c r="DZ11" s="20">
        <v>293591805</v>
      </c>
      <c r="EA11" s="20">
        <v>293591805</v>
      </c>
      <c r="EB11" s="20">
        <f t="shared" si="11"/>
        <v>293591805</v>
      </c>
      <c r="EC11" s="20">
        <v>295701947</v>
      </c>
      <c r="ED11" s="20">
        <v>295701947</v>
      </c>
      <c r="EE11" s="20">
        <v>295701947</v>
      </c>
      <c r="EF11" s="20">
        <v>295701947</v>
      </c>
      <c r="EG11" s="20">
        <v>295701947</v>
      </c>
      <c r="EH11" s="20">
        <v>295701947</v>
      </c>
      <c r="EI11" s="20">
        <v>295701947</v>
      </c>
      <c r="EJ11" s="20">
        <v>295701947</v>
      </c>
      <c r="EK11" s="20">
        <v>295701947</v>
      </c>
      <c r="EL11" s="20">
        <v>295701947</v>
      </c>
      <c r="EM11" s="20">
        <v>295701947</v>
      </c>
      <c r="EN11" s="20">
        <v>295701947</v>
      </c>
      <c r="EO11" s="20">
        <f t="shared" si="12"/>
        <v>295701947</v>
      </c>
      <c r="EP11" s="20">
        <v>308121429</v>
      </c>
      <c r="EQ11" s="20">
        <v>308121429</v>
      </c>
      <c r="ER11" s="20">
        <v>308121429</v>
      </c>
      <c r="ES11" s="20">
        <v>308121429</v>
      </c>
      <c r="ET11" s="20">
        <v>308121429</v>
      </c>
      <c r="EU11" s="20">
        <v>308121429</v>
      </c>
      <c r="EV11" s="20">
        <v>308121429</v>
      </c>
      <c r="EW11" s="20">
        <v>308121429</v>
      </c>
      <c r="EX11" s="20">
        <v>308121429</v>
      </c>
      <c r="EY11" s="20">
        <v>308121429</v>
      </c>
      <c r="EZ11" s="20">
        <v>308121429</v>
      </c>
      <c r="FA11" s="20">
        <v>308121429</v>
      </c>
      <c r="FB11" s="20">
        <f t="shared" si="13"/>
        <v>308121429</v>
      </c>
      <c r="FC11" s="20">
        <v>195906100</v>
      </c>
      <c r="FD11" s="20">
        <v>195906100</v>
      </c>
      <c r="FE11" s="20">
        <v>195906100</v>
      </c>
      <c r="FF11" s="20">
        <v>195906100</v>
      </c>
      <c r="FG11" s="20">
        <v>195906100</v>
      </c>
      <c r="FH11" s="20">
        <v>195906100</v>
      </c>
      <c r="FI11" s="20">
        <v>195906100</v>
      </c>
      <c r="FJ11" s="10"/>
      <c r="FK11" s="10"/>
      <c r="FL11" s="10"/>
      <c r="FM11" s="10"/>
      <c r="FN11" s="10"/>
      <c r="FO11" s="20">
        <f t="shared" si="14"/>
        <v>195906100</v>
      </c>
    </row>
    <row r="12" spans="1:171" ht="27.75" customHeight="1">
      <c r="A12" s="10"/>
      <c r="B12" s="19" t="s">
        <v>45</v>
      </c>
      <c r="C12" s="20">
        <v>49407947</v>
      </c>
      <c r="D12" s="20">
        <v>49407947</v>
      </c>
      <c r="E12" s="20">
        <v>49407947</v>
      </c>
      <c r="F12" s="20">
        <v>49407947</v>
      </c>
      <c r="G12" s="20">
        <v>49407947</v>
      </c>
      <c r="H12" s="20">
        <v>49407947</v>
      </c>
      <c r="I12" s="20">
        <v>49407947</v>
      </c>
      <c r="J12" s="20">
        <v>49407947</v>
      </c>
      <c r="K12" s="20">
        <v>49407947</v>
      </c>
      <c r="L12" s="20">
        <v>49407947</v>
      </c>
      <c r="M12" s="20">
        <v>49407947</v>
      </c>
      <c r="N12" s="20">
        <v>49407947</v>
      </c>
      <c r="O12" s="20">
        <f t="shared" si="0"/>
        <v>49407947</v>
      </c>
      <c r="P12" s="20">
        <v>68884752</v>
      </c>
      <c r="Q12" s="20">
        <v>68884752</v>
      </c>
      <c r="R12" s="20">
        <v>68884752</v>
      </c>
      <c r="S12" s="20">
        <v>68884752</v>
      </c>
      <c r="T12" s="20">
        <v>68884752</v>
      </c>
      <c r="U12" s="20">
        <v>68884752</v>
      </c>
      <c r="V12" s="20">
        <v>68884752</v>
      </c>
      <c r="W12" s="20">
        <v>68884752</v>
      </c>
      <c r="X12" s="20">
        <v>68884752</v>
      </c>
      <c r="Y12" s="20">
        <v>68884752</v>
      </c>
      <c r="Z12" s="20">
        <v>68884752</v>
      </c>
      <c r="AA12" s="20">
        <v>68884752</v>
      </c>
      <c r="AB12" s="20">
        <f t="shared" si="1"/>
        <v>68884752</v>
      </c>
      <c r="AC12" s="20">
        <v>71502372</v>
      </c>
      <c r="AD12" s="20">
        <v>71502372</v>
      </c>
      <c r="AE12" s="20">
        <v>71502372</v>
      </c>
      <c r="AF12" s="20">
        <v>71502372</v>
      </c>
      <c r="AG12" s="20">
        <v>71502372</v>
      </c>
      <c r="AH12" s="20">
        <v>71502372</v>
      </c>
      <c r="AI12" s="20">
        <v>71502372</v>
      </c>
      <c r="AJ12" s="20">
        <v>71502372</v>
      </c>
      <c r="AK12" s="20">
        <v>71502372</v>
      </c>
      <c r="AL12" s="20">
        <v>71502372</v>
      </c>
      <c r="AM12" s="20">
        <v>71502372</v>
      </c>
      <c r="AN12" s="20">
        <v>71502372</v>
      </c>
      <c r="AO12" s="20">
        <f t="shared" si="2"/>
        <v>71502372</v>
      </c>
      <c r="AP12" s="20">
        <v>89991483</v>
      </c>
      <c r="AQ12" s="20">
        <v>89991483</v>
      </c>
      <c r="AR12" s="20">
        <v>89991483</v>
      </c>
      <c r="AS12" s="20">
        <v>89991483</v>
      </c>
      <c r="AT12" s="20">
        <v>89991483</v>
      </c>
      <c r="AU12" s="20">
        <v>89991483</v>
      </c>
      <c r="AV12" s="20">
        <v>89991483</v>
      </c>
      <c r="AW12" s="20">
        <v>89991483</v>
      </c>
      <c r="AX12" s="20">
        <v>89991483</v>
      </c>
      <c r="AY12" s="20">
        <v>89991483</v>
      </c>
      <c r="AZ12" s="20">
        <v>89991483</v>
      </c>
      <c r="BA12" s="20">
        <v>89991483</v>
      </c>
      <c r="BB12" s="20">
        <f t="shared" si="3"/>
        <v>89991483</v>
      </c>
      <c r="BC12" s="20">
        <v>102433801</v>
      </c>
      <c r="BD12" s="20">
        <v>102433801</v>
      </c>
      <c r="BE12" s="20">
        <v>102433801</v>
      </c>
      <c r="BF12" s="20">
        <v>102433801</v>
      </c>
      <c r="BG12" s="20">
        <v>102433801</v>
      </c>
      <c r="BH12" s="20">
        <v>102433801</v>
      </c>
      <c r="BI12" s="20">
        <v>102433801</v>
      </c>
      <c r="BJ12" s="20">
        <v>102433801</v>
      </c>
      <c r="BK12" s="20">
        <v>102433801</v>
      </c>
      <c r="BL12" s="20">
        <v>102433801</v>
      </c>
      <c r="BM12" s="20">
        <v>102433801</v>
      </c>
      <c r="BN12" s="20">
        <v>102433801</v>
      </c>
      <c r="BO12" s="20">
        <f t="shared" si="4"/>
        <v>102433801</v>
      </c>
      <c r="BP12" s="20">
        <v>114691671</v>
      </c>
      <c r="BQ12" s="20">
        <v>114691671</v>
      </c>
      <c r="BR12" s="20">
        <v>114691671</v>
      </c>
      <c r="BS12" s="20">
        <v>114691671</v>
      </c>
      <c r="BT12" s="20">
        <v>114691671</v>
      </c>
      <c r="BU12" s="20">
        <v>114691671</v>
      </c>
      <c r="BV12" s="20">
        <v>114691671</v>
      </c>
      <c r="BW12" s="20">
        <v>114691671</v>
      </c>
      <c r="BX12" s="20">
        <v>114691671</v>
      </c>
      <c r="BY12" s="20">
        <v>114691671</v>
      </c>
      <c r="BZ12" s="20">
        <v>114691671</v>
      </c>
      <c r="CA12" s="20">
        <v>114691671</v>
      </c>
      <c r="CB12" s="20">
        <f t="shared" si="5"/>
        <v>114691671</v>
      </c>
      <c r="CC12" s="20">
        <v>135338654</v>
      </c>
      <c r="CD12" s="20">
        <v>135338654</v>
      </c>
      <c r="CE12" s="20">
        <v>135338654</v>
      </c>
      <c r="CF12" s="20">
        <v>135338654</v>
      </c>
      <c r="CG12" s="20">
        <v>135338654</v>
      </c>
      <c r="CH12" s="20">
        <v>135338654</v>
      </c>
      <c r="CI12" s="20">
        <v>135338654</v>
      </c>
      <c r="CJ12" s="20">
        <v>135338654</v>
      </c>
      <c r="CK12" s="20">
        <v>135338654</v>
      </c>
      <c r="CL12" s="20">
        <v>135338654</v>
      </c>
      <c r="CM12" s="20">
        <v>135338654</v>
      </c>
      <c r="CN12" s="20">
        <v>135338654</v>
      </c>
      <c r="CO12" s="20">
        <f t="shared" si="6"/>
        <v>135338654</v>
      </c>
      <c r="CP12" s="20">
        <f t="shared" ref="CP12:DA12" si="17">142048072+104543895</f>
        <v>246591967</v>
      </c>
      <c r="CQ12" s="20">
        <f t="shared" si="17"/>
        <v>246591967</v>
      </c>
      <c r="CR12" s="20">
        <f t="shared" si="17"/>
        <v>246591967</v>
      </c>
      <c r="CS12" s="20">
        <f t="shared" si="17"/>
        <v>246591967</v>
      </c>
      <c r="CT12" s="20">
        <f t="shared" si="17"/>
        <v>246591967</v>
      </c>
      <c r="CU12" s="20">
        <f t="shared" si="17"/>
        <v>246591967</v>
      </c>
      <c r="CV12" s="20">
        <f t="shared" si="17"/>
        <v>246591967</v>
      </c>
      <c r="CW12" s="20">
        <f t="shared" si="17"/>
        <v>246591967</v>
      </c>
      <c r="CX12" s="20">
        <f t="shared" si="17"/>
        <v>246591967</v>
      </c>
      <c r="CY12" s="20">
        <f t="shared" si="17"/>
        <v>246591967</v>
      </c>
      <c r="CZ12" s="20">
        <f t="shared" si="17"/>
        <v>246591967</v>
      </c>
      <c r="DA12" s="20">
        <f t="shared" si="17"/>
        <v>246591967</v>
      </c>
      <c r="DB12" s="20">
        <f t="shared" si="8"/>
        <v>246591967</v>
      </c>
      <c r="DC12" s="20">
        <f t="shared" ref="DC12:DN12" si="18">148440561+129907392</f>
        <v>278347953</v>
      </c>
      <c r="DD12" s="20">
        <f t="shared" si="18"/>
        <v>278347953</v>
      </c>
      <c r="DE12" s="20">
        <f t="shared" si="18"/>
        <v>278347953</v>
      </c>
      <c r="DF12" s="20">
        <f t="shared" si="18"/>
        <v>278347953</v>
      </c>
      <c r="DG12" s="20">
        <f t="shared" si="18"/>
        <v>278347953</v>
      </c>
      <c r="DH12" s="20">
        <f t="shared" si="18"/>
        <v>278347953</v>
      </c>
      <c r="DI12" s="20">
        <f t="shared" si="18"/>
        <v>278347953</v>
      </c>
      <c r="DJ12" s="20">
        <f t="shared" si="18"/>
        <v>278347953</v>
      </c>
      <c r="DK12" s="20">
        <f t="shared" si="18"/>
        <v>278347953</v>
      </c>
      <c r="DL12" s="20">
        <f t="shared" si="18"/>
        <v>278347953</v>
      </c>
      <c r="DM12" s="20">
        <f t="shared" si="18"/>
        <v>278347953</v>
      </c>
      <c r="DN12" s="20">
        <f t="shared" si="18"/>
        <v>278347953</v>
      </c>
      <c r="DO12" s="20">
        <f t="shared" si="10"/>
        <v>278347953</v>
      </c>
      <c r="DP12" s="20">
        <v>295780655</v>
      </c>
      <c r="DQ12" s="20">
        <v>295780655</v>
      </c>
      <c r="DR12" s="20">
        <v>295780655</v>
      </c>
      <c r="DS12" s="20">
        <v>295780655</v>
      </c>
      <c r="DT12" s="20">
        <v>295780655</v>
      </c>
      <c r="DU12" s="20">
        <v>295780655</v>
      </c>
      <c r="DV12" s="20">
        <v>295780655</v>
      </c>
      <c r="DW12" s="20">
        <v>295780655</v>
      </c>
      <c r="DX12" s="20">
        <v>295780655</v>
      </c>
      <c r="DY12" s="20">
        <v>295780655</v>
      </c>
      <c r="DZ12" s="20">
        <v>295780655</v>
      </c>
      <c r="EA12" s="20">
        <v>295780655</v>
      </c>
      <c r="EB12" s="20">
        <f t="shared" si="11"/>
        <v>295780655</v>
      </c>
      <c r="EC12" s="20">
        <v>315696642</v>
      </c>
      <c r="ED12" s="20">
        <v>315696642</v>
      </c>
      <c r="EE12" s="20">
        <v>315696642</v>
      </c>
      <c r="EF12" s="20">
        <v>315696642</v>
      </c>
      <c r="EG12" s="20">
        <v>315696642</v>
      </c>
      <c r="EH12" s="20">
        <v>315696642</v>
      </c>
      <c r="EI12" s="20">
        <v>315696642</v>
      </c>
      <c r="EJ12" s="20">
        <v>315696642</v>
      </c>
      <c r="EK12" s="20">
        <v>315696642</v>
      </c>
      <c r="EL12" s="20">
        <v>315696642</v>
      </c>
      <c r="EM12" s="20">
        <v>315696642</v>
      </c>
      <c r="EN12" s="20">
        <v>315696642</v>
      </c>
      <c r="EO12" s="20">
        <f t="shared" si="12"/>
        <v>315696642</v>
      </c>
      <c r="EP12" s="20">
        <v>329603442</v>
      </c>
      <c r="EQ12" s="20">
        <v>329603442</v>
      </c>
      <c r="ER12" s="20">
        <v>329603442</v>
      </c>
      <c r="ES12" s="20">
        <v>329603442</v>
      </c>
      <c r="ET12" s="20">
        <v>329603442</v>
      </c>
      <c r="EU12" s="20">
        <v>329603442</v>
      </c>
      <c r="EV12" s="20">
        <v>329603442</v>
      </c>
      <c r="EW12" s="20">
        <v>329603442</v>
      </c>
      <c r="EX12" s="20">
        <v>329603442</v>
      </c>
      <c r="EY12" s="20">
        <v>329603442</v>
      </c>
      <c r="EZ12" s="20">
        <v>329603442</v>
      </c>
      <c r="FA12" s="20">
        <v>329603442</v>
      </c>
      <c r="FB12" s="20">
        <f t="shared" si="13"/>
        <v>329603442</v>
      </c>
      <c r="FC12" s="20">
        <v>290113797</v>
      </c>
      <c r="FD12" s="20">
        <v>290113797</v>
      </c>
      <c r="FE12" s="20">
        <v>290113797</v>
      </c>
      <c r="FF12" s="20">
        <v>290113797</v>
      </c>
      <c r="FG12" s="20">
        <v>290113797</v>
      </c>
      <c r="FH12" s="20">
        <v>290113797</v>
      </c>
      <c r="FI12" s="20">
        <v>290113797</v>
      </c>
      <c r="FJ12" s="10"/>
      <c r="FK12" s="10"/>
      <c r="FL12" s="10"/>
      <c r="FM12" s="10"/>
      <c r="FN12" s="10"/>
      <c r="FO12" s="20">
        <f t="shared" si="14"/>
        <v>290113797</v>
      </c>
    </row>
    <row r="13" spans="1:171" ht="27.75" customHeight="1">
      <c r="A13" s="10"/>
      <c r="B13" s="19" t="s">
        <v>46</v>
      </c>
      <c r="C13" s="20">
        <v>55038550</v>
      </c>
      <c r="D13" s="20">
        <v>55038550</v>
      </c>
      <c r="E13" s="20">
        <v>55038550</v>
      </c>
      <c r="F13" s="20">
        <v>55038550</v>
      </c>
      <c r="G13" s="20">
        <v>55038550</v>
      </c>
      <c r="H13" s="20">
        <v>55038550</v>
      </c>
      <c r="I13" s="20">
        <v>55038550</v>
      </c>
      <c r="J13" s="20">
        <v>55038550</v>
      </c>
      <c r="K13" s="20">
        <v>55038550</v>
      </c>
      <c r="L13" s="20">
        <v>55038550</v>
      </c>
      <c r="M13" s="20">
        <v>55038550</v>
      </c>
      <c r="N13" s="20">
        <v>55038550</v>
      </c>
      <c r="O13" s="20">
        <f t="shared" si="0"/>
        <v>55038550</v>
      </c>
      <c r="P13" s="20">
        <v>63737311</v>
      </c>
      <c r="Q13" s="20">
        <v>63737311</v>
      </c>
      <c r="R13" s="20">
        <v>63737311</v>
      </c>
      <c r="S13" s="20">
        <v>63737311</v>
      </c>
      <c r="T13" s="20">
        <v>63737311</v>
      </c>
      <c r="U13" s="20">
        <v>63737311</v>
      </c>
      <c r="V13" s="20">
        <v>63737311</v>
      </c>
      <c r="W13" s="20">
        <v>63737311</v>
      </c>
      <c r="X13" s="20">
        <v>63737311</v>
      </c>
      <c r="Y13" s="20">
        <v>63737311</v>
      </c>
      <c r="Z13" s="20">
        <v>63737311</v>
      </c>
      <c r="AA13" s="20">
        <v>63737311</v>
      </c>
      <c r="AB13" s="20">
        <f t="shared" si="1"/>
        <v>63737311</v>
      </c>
      <c r="AC13" s="20">
        <v>66005341</v>
      </c>
      <c r="AD13" s="20">
        <v>66005341</v>
      </c>
      <c r="AE13" s="20">
        <v>66005341</v>
      </c>
      <c r="AF13" s="20">
        <v>66005341</v>
      </c>
      <c r="AG13" s="20">
        <v>66005341</v>
      </c>
      <c r="AH13" s="20">
        <v>66005341</v>
      </c>
      <c r="AI13" s="20">
        <v>66005341</v>
      </c>
      <c r="AJ13" s="20">
        <v>66005341</v>
      </c>
      <c r="AK13" s="20">
        <v>66005341</v>
      </c>
      <c r="AL13" s="20">
        <v>66005341</v>
      </c>
      <c r="AM13" s="20">
        <v>66005341</v>
      </c>
      <c r="AN13" s="20">
        <v>66005341</v>
      </c>
      <c r="AO13" s="20">
        <f t="shared" si="2"/>
        <v>66005341</v>
      </c>
      <c r="AP13" s="20">
        <v>68152361</v>
      </c>
      <c r="AQ13" s="20">
        <v>68152361</v>
      </c>
      <c r="AR13" s="20">
        <v>68152361</v>
      </c>
      <c r="AS13" s="20">
        <v>68152361</v>
      </c>
      <c r="AT13" s="20">
        <v>68152361</v>
      </c>
      <c r="AU13" s="20">
        <v>68152361</v>
      </c>
      <c r="AV13" s="20">
        <v>68152361</v>
      </c>
      <c r="AW13" s="20">
        <v>68152361</v>
      </c>
      <c r="AX13" s="20">
        <v>68152361</v>
      </c>
      <c r="AY13" s="20">
        <v>68152361</v>
      </c>
      <c r="AZ13" s="20">
        <v>68152361</v>
      </c>
      <c r="BA13" s="20">
        <v>68152361</v>
      </c>
      <c r="BB13" s="20">
        <f t="shared" si="3"/>
        <v>68152361</v>
      </c>
      <c r="BC13" s="20">
        <v>69097793</v>
      </c>
      <c r="BD13" s="20">
        <v>69097793</v>
      </c>
      <c r="BE13" s="20">
        <v>69097793</v>
      </c>
      <c r="BF13" s="20">
        <v>69097793</v>
      </c>
      <c r="BG13" s="20">
        <v>69097793</v>
      </c>
      <c r="BH13" s="20">
        <v>69097793</v>
      </c>
      <c r="BI13" s="20">
        <v>69097793</v>
      </c>
      <c r="BJ13" s="20">
        <v>69097793</v>
      </c>
      <c r="BK13" s="20">
        <v>69097793</v>
      </c>
      <c r="BL13" s="20">
        <v>69097793</v>
      </c>
      <c r="BM13" s="20">
        <v>69097793</v>
      </c>
      <c r="BN13" s="20">
        <v>69097793</v>
      </c>
      <c r="BO13" s="20">
        <f t="shared" si="4"/>
        <v>69097793</v>
      </c>
      <c r="BP13" s="20">
        <v>69888575</v>
      </c>
      <c r="BQ13" s="20">
        <v>69888575</v>
      </c>
      <c r="BR13" s="20">
        <v>69888575</v>
      </c>
      <c r="BS13" s="20">
        <v>69888575</v>
      </c>
      <c r="BT13" s="20">
        <v>69888575</v>
      </c>
      <c r="BU13" s="20">
        <v>69888575</v>
      </c>
      <c r="BV13" s="20">
        <v>69888575</v>
      </c>
      <c r="BW13" s="20">
        <v>69888575</v>
      </c>
      <c r="BX13" s="20">
        <v>69888575</v>
      </c>
      <c r="BY13" s="20">
        <v>69888575</v>
      </c>
      <c r="BZ13" s="20">
        <v>69888575</v>
      </c>
      <c r="CA13" s="20">
        <v>69888575</v>
      </c>
      <c r="CB13" s="20">
        <f t="shared" si="5"/>
        <v>69888575</v>
      </c>
      <c r="CC13" s="20">
        <v>71705676</v>
      </c>
      <c r="CD13" s="20">
        <v>71705676</v>
      </c>
      <c r="CE13" s="20">
        <v>71705676</v>
      </c>
      <c r="CF13" s="20">
        <v>71705676</v>
      </c>
      <c r="CG13" s="20">
        <v>71705676</v>
      </c>
      <c r="CH13" s="20">
        <v>71705676</v>
      </c>
      <c r="CI13" s="20">
        <v>71705676</v>
      </c>
      <c r="CJ13" s="20">
        <v>71705676</v>
      </c>
      <c r="CK13" s="20">
        <v>71705676</v>
      </c>
      <c r="CL13" s="20">
        <v>71705676</v>
      </c>
      <c r="CM13" s="20">
        <v>71705676</v>
      </c>
      <c r="CN13" s="20">
        <v>71705676</v>
      </c>
      <c r="CO13" s="20">
        <f t="shared" si="6"/>
        <v>71705676</v>
      </c>
      <c r="CP13" s="20">
        <f t="shared" ref="CP13:DA13" si="19">73670723+10507533</f>
        <v>84178256</v>
      </c>
      <c r="CQ13" s="20">
        <f t="shared" si="19"/>
        <v>84178256</v>
      </c>
      <c r="CR13" s="20">
        <f t="shared" si="19"/>
        <v>84178256</v>
      </c>
      <c r="CS13" s="20">
        <f t="shared" si="19"/>
        <v>84178256</v>
      </c>
      <c r="CT13" s="20">
        <f t="shared" si="19"/>
        <v>84178256</v>
      </c>
      <c r="CU13" s="20">
        <f t="shared" si="19"/>
        <v>84178256</v>
      </c>
      <c r="CV13" s="20">
        <f t="shared" si="19"/>
        <v>84178256</v>
      </c>
      <c r="CW13" s="20">
        <f t="shared" si="19"/>
        <v>84178256</v>
      </c>
      <c r="CX13" s="20">
        <f t="shared" si="19"/>
        <v>84178256</v>
      </c>
      <c r="CY13" s="20">
        <f t="shared" si="19"/>
        <v>84178256</v>
      </c>
      <c r="CZ13" s="20">
        <f t="shared" si="19"/>
        <v>84178256</v>
      </c>
      <c r="DA13" s="20">
        <f t="shared" si="19"/>
        <v>84178256</v>
      </c>
      <c r="DB13" s="20">
        <f t="shared" si="8"/>
        <v>84178256</v>
      </c>
      <c r="DC13" s="20">
        <f t="shared" ref="DC13:DN13" si="20">76882481+23172423</f>
        <v>100054904</v>
      </c>
      <c r="DD13" s="20">
        <f t="shared" si="20"/>
        <v>100054904</v>
      </c>
      <c r="DE13" s="20">
        <f t="shared" si="20"/>
        <v>100054904</v>
      </c>
      <c r="DF13" s="20">
        <f t="shared" si="20"/>
        <v>100054904</v>
      </c>
      <c r="DG13" s="20">
        <f t="shared" si="20"/>
        <v>100054904</v>
      </c>
      <c r="DH13" s="20">
        <f t="shared" si="20"/>
        <v>100054904</v>
      </c>
      <c r="DI13" s="20">
        <f t="shared" si="20"/>
        <v>100054904</v>
      </c>
      <c r="DJ13" s="20">
        <f t="shared" si="20"/>
        <v>100054904</v>
      </c>
      <c r="DK13" s="20">
        <f t="shared" si="20"/>
        <v>100054904</v>
      </c>
      <c r="DL13" s="20">
        <f t="shared" si="20"/>
        <v>100054904</v>
      </c>
      <c r="DM13" s="20">
        <f t="shared" si="20"/>
        <v>100054904</v>
      </c>
      <c r="DN13" s="20">
        <f t="shared" si="20"/>
        <v>100054904</v>
      </c>
      <c r="DO13" s="20">
        <f t="shared" si="10"/>
        <v>100054904</v>
      </c>
      <c r="DP13" s="20">
        <v>115171552</v>
      </c>
      <c r="DQ13" s="20">
        <v>115171552</v>
      </c>
      <c r="DR13" s="20">
        <v>115171552</v>
      </c>
      <c r="DS13" s="20">
        <v>115171552</v>
      </c>
      <c r="DT13" s="20">
        <v>115171552</v>
      </c>
      <c r="DU13" s="20">
        <v>115171552</v>
      </c>
      <c r="DV13" s="20">
        <v>115171552</v>
      </c>
      <c r="DW13" s="20">
        <v>115171552</v>
      </c>
      <c r="DX13" s="20">
        <v>115171552</v>
      </c>
      <c r="DY13" s="20">
        <v>115171552</v>
      </c>
      <c r="DZ13" s="20">
        <v>115171552</v>
      </c>
      <c r="EA13" s="20">
        <v>115171552</v>
      </c>
      <c r="EB13" s="20">
        <f t="shared" si="11"/>
        <v>115171552</v>
      </c>
      <c r="EC13" s="20">
        <v>127117895</v>
      </c>
      <c r="ED13" s="20">
        <v>127117895</v>
      </c>
      <c r="EE13" s="20">
        <v>127117895</v>
      </c>
      <c r="EF13" s="20">
        <v>127117895</v>
      </c>
      <c r="EG13" s="20">
        <v>127117895</v>
      </c>
      <c r="EH13" s="20">
        <v>127117895</v>
      </c>
      <c r="EI13" s="20">
        <v>127117895</v>
      </c>
      <c r="EJ13" s="20">
        <v>127117895</v>
      </c>
      <c r="EK13" s="20">
        <v>127117895</v>
      </c>
      <c r="EL13" s="20">
        <v>127117895</v>
      </c>
      <c r="EM13" s="20">
        <v>127117895</v>
      </c>
      <c r="EN13" s="20">
        <v>127117895</v>
      </c>
      <c r="EO13" s="20">
        <f t="shared" si="12"/>
        <v>127117895</v>
      </c>
      <c r="EP13" s="20">
        <v>125417585</v>
      </c>
      <c r="EQ13" s="20">
        <v>125417585</v>
      </c>
      <c r="ER13" s="20">
        <v>125417585</v>
      </c>
      <c r="ES13" s="20">
        <v>125417585</v>
      </c>
      <c r="ET13" s="20">
        <v>125417585</v>
      </c>
      <c r="EU13" s="20">
        <v>125417585</v>
      </c>
      <c r="EV13" s="20">
        <v>125417585</v>
      </c>
      <c r="EW13" s="20">
        <v>125417585</v>
      </c>
      <c r="EX13" s="20">
        <v>125417585</v>
      </c>
      <c r="EY13" s="20">
        <v>125417585</v>
      </c>
      <c r="EZ13" s="20">
        <v>125417585</v>
      </c>
      <c r="FA13" s="20">
        <v>125417585</v>
      </c>
      <c r="FB13" s="20">
        <f t="shared" si="13"/>
        <v>125417585</v>
      </c>
      <c r="FC13" s="20">
        <v>109909690</v>
      </c>
      <c r="FD13" s="20">
        <v>109909690</v>
      </c>
      <c r="FE13" s="20">
        <v>109909690</v>
      </c>
      <c r="FF13" s="20">
        <v>109909690</v>
      </c>
      <c r="FG13" s="20">
        <v>109909690</v>
      </c>
      <c r="FH13" s="20">
        <v>109909690</v>
      </c>
      <c r="FI13" s="20">
        <v>109909690</v>
      </c>
      <c r="FJ13" s="10"/>
      <c r="FK13" s="10"/>
      <c r="FL13" s="10"/>
      <c r="FM13" s="10"/>
      <c r="FN13" s="10"/>
      <c r="FO13" s="20">
        <f t="shared" si="14"/>
        <v>109909690</v>
      </c>
    </row>
    <row r="14" spans="1:171" ht="27.75" customHeight="1">
      <c r="A14" s="10"/>
      <c r="B14" s="19" t="s">
        <v>47</v>
      </c>
      <c r="C14" s="20">
        <v>41285665</v>
      </c>
      <c r="D14" s="20">
        <v>41285665</v>
      </c>
      <c r="E14" s="20">
        <v>41285665</v>
      </c>
      <c r="F14" s="20">
        <v>41285665</v>
      </c>
      <c r="G14" s="20">
        <v>41285665</v>
      </c>
      <c r="H14" s="20">
        <v>41285665</v>
      </c>
      <c r="I14" s="20">
        <v>41285665</v>
      </c>
      <c r="J14" s="20">
        <v>41285665</v>
      </c>
      <c r="K14" s="20">
        <v>41285665</v>
      </c>
      <c r="L14" s="20">
        <v>41285665</v>
      </c>
      <c r="M14" s="20">
        <v>41285665</v>
      </c>
      <c r="N14" s="20">
        <v>41285665</v>
      </c>
      <c r="O14" s="20">
        <f t="shared" si="0"/>
        <v>41285665</v>
      </c>
      <c r="P14" s="20">
        <v>41009608</v>
      </c>
      <c r="Q14" s="20">
        <v>41009608</v>
      </c>
      <c r="R14" s="20">
        <v>41009608</v>
      </c>
      <c r="S14" s="20">
        <v>41009608</v>
      </c>
      <c r="T14" s="20">
        <v>41009608</v>
      </c>
      <c r="U14" s="20">
        <v>41009608</v>
      </c>
      <c r="V14" s="20">
        <v>41009608</v>
      </c>
      <c r="W14" s="20">
        <v>41009608</v>
      </c>
      <c r="X14" s="20">
        <v>41009608</v>
      </c>
      <c r="Y14" s="20">
        <v>41009608</v>
      </c>
      <c r="Z14" s="20">
        <v>41009608</v>
      </c>
      <c r="AA14" s="20">
        <v>41009608</v>
      </c>
      <c r="AB14" s="20">
        <f t="shared" si="1"/>
        <v>41009608</v>
      </c>
      <c r="AC14" s="20">
        <v>43953347</v>
      </c>
      <c r="AD14" s="20">
        <v>43953347</v>
      </c>
      <c r="AE14" s="20">
        <v>43953347</v>
      </c>
      <c r="AF14" s="20">
        <v>43953347</v>
      </c>
      <c r="AG14" s="20">
        <v>43953347</v>
      </c>
      <c r="AH14" s="20">
        <v>43953347</v>
      </c>
      <c r="AI14" s="20">
        <v>43953347</v>
      </c>
      <c r="AJ14" s="20">
        <v>43953347</v>
      </c>
      <c r="AK14" s="20">
        <v>43953347</v>
      </c>
      <c r="AL14" s="20">
        <v>43953347</v>
      </c>
      <c r="AM14" s="20">
        <v>43953347</v>
      </c>
      <c r="AN14" s="20">
        <v>43953347</v>
      </c>
      <c r="AO14" s="20">
        <f t="shared" si="2"/>
        <v>43953347</v>
      </c>
      <c r="AP14" s="20">
        <v>45271947</v>
      </c>
      <c r="AQ14" s="20">
        <v>45271947</v>
      </c>
      <c r="AR14" s="20">
        <v>45271947</v>
      </c>
      <c r="AS14" s="20">
        <v>45271947</v>
      </c>
      <c r="AT14" s="20">
        <v>45271947</v>
      </c>
      <c r="AU14" s="20">
        <v>45271947</v>
      </c>
      <c r="AV14" s="20">
        <v>45271947</v>
      </c>
      <c r="AW14" s="20">
        <v>45271947</v>
      </c>
      <c r="AX14" s="20">
        <v>45271947</v>
      </c>
      <c r="AY14" s="20">
        <v>45271947</v>
      </c>
      <c r="AZ14" s="20">
        <v>45271947</v>
      </c>
      <c r="BA14" s="20">
        <v>45271947</v>
      </c>
      <c r="BB14" s="20">
        <f t="shared" si="3"/>
        <v>45271947</v>
      </c>
      <c r="BC14" s="20">
        <v>35602336</v>
      </c>
      <c r="BD14" s="20">
        <v>35602336</v>
      </c>
      <c r="BE14" s="20">
        <v>35602336</v>
      </c>
      <c r="BF14" s="20">
        <v>35602336</v>
      </c>
      <c r="BG14" s="20">
        <v>35602336</v>
      </c>
      <c r="BH14" s="20">
        <v>35602336</v>
      </c>
      <c r="BI14" s="20">
        <v>35602336</v>
      </c>
      <c r="BJ14" s="20">
        <v>35602336</v>
      </c>
      <c r="BK14" s="20">
        <v>35602336</v>
      </c>
      <c r="BL14" s="20">
        <v>35602336</v>
      </c>
      <c r="BM14" s="20">
        <v>35602336</v>
      </c>
      <c r="BN14" s="20">
        <v>35602336</v>
      </c>
      <c r="BO14" s="20">
        <f t="shared" si="4"/>
        <v>35602336</v>
      </c>
      <c r="BP14" s="20">
        <v>53068499</v>
      </c>
      <c r="BQ14" s="20">
        <v>53068499</v>
      </c>
      <c r="BR14" s="20">
        <v>53068499</v>
      </c>
      <c r="BS14" s="20">
        <v>53068499</v>
      </c>
      <c r="BT14" s="20">
        <v>53068499</v>
      </c>
      <c r="BU14" s="20">
        <v>53068499</v>
      </c>
      <c r="BV14" s="20">
        <v>53068499</v>
      </c>
      <c r="BW14" s="20">
        <v>53068499</v>
      </c>
      <c r="BX14" s="20">
        <v>53068499</v>
      </c>
      <c r="BY14" s="20">
        <v>53068499</v>
      </c>
      <c r="BZ14" s="20">
        <v>53068499</v>
      </c>
      <c r="CA14" s="20">
        <v>53068499</v>
      </c>
      <c r="CB14" s="20">
        <f t="shared" si="5"/>
        <v>53068499</v>
      </c>
      <c r="CC14" s="20">
        <v>58584599</v>
      </c>
      <c r="CD14" s="20">
        <v>58584599</v>
      </c>
      <c r="CE14" s="20">
        <v>58584599</v>
      </c>
      <c r="CF14" s="20">
        <v>58584599</v>
      </c>
      <c r="CG14" s="20">
        <v>58584599</v>
      </c>
      <c r="CH14" s="20">
        <v>58584599</v>
      </c>
      <c r="CI14" s="20">
        <v>58584599</v>
      </c>
      <c r="CJ14" s="20">
        <v>58584599</v>
      </c>
      <c r="CK14" s="20">
        <v>58584599</v>
      </c>
      <c r="CL14" s="20">
        <v>58584599</v>
      </c>
      <c r="CM14" s="20">
        <v>58584599</v>
      </c>
      <c r="CN14" s="20">
        <v>58584599</v>
      </c>
      <c r="CO14" s="20">
        <f t="shared" si="6"/>
        <v>58584599</v>
      </c>
      <c r="CP14" s="20">
        <f t="shared" ref="CP14:DA14" si="21">60144148+46830346</f>
        <v>106974494</v>
      </c>
      <c r="CQ14" s="20">
        <f t="shared" si="21"/>
        <v>106974494</v>
      </c>
      <c r="CR14" s="20">
        <f t="shared" si="21"/>
        <v>106974494</v>
      </c>
      <c r="CS14" s="20">
        <f t="shared" si="21"/>
        <v>106974494</v>
      </c>
      <c r="CT14" s="20">
        <f t="shared" si="21"/>
        <v>106974494</v>
      </c>
      <c r="CU14" s="20">
        <f t="shared" si="21"/>
        <v>106974494</v>
      </c>
      <c r="CV14" s="20">
        <f t="shared" si="21"/>
        <v>106974494</v>
      </c>
      <c r="CW14" s="20">
        <f t="shared" si="21"/>
        <v>106974494</v>
      </c>
      <c r="CX14" s="20">
        <f t="shared" si="21"/>
        <v>106974494</v>
      </c>
      <c r="CY14" s="20">
        <f t="shared" si="21"/>
        <v>106974494</v>
      </c>
      <c r="CZ14" s="20">
        <f t="shared" si="21"/>
        <v>106974494</v>
      </c>
      <c r="DA14" s="20">
        <f t="shared" si="21"/>
        <v>106974494</v>
      </c>
      <c r="DB14" s="20">
        <f t="shared" si="8"/>
        <v>106974494</v>
      </c>
      <c r="DC14" s="20">
        <f t="shared" ref="DC14:DN14" si="22">62797413+55033938</f>
        <v>117831351</v>
      </c>
      <c r="DD14" s="20">
        <f t="shared" si="22"/>
        <v>117831351</v>
      </c>
      <c r="DE14" s="20">
        <f t="shared" si="22"/>
        <v>117831351</v>
      </c>
      <c r="DF14" s="20">
        <f t="shared" si="22"/>
        <v>117831351</v>
      </c>
      <c r="DG14" s="20">
        <f t="shared" si="22"/>
        <v>117831351</v>
      </c>
      <c r="DH14" s="20">
        <f t="shared" si="22"/>
        <v>117831351</v>
      </c>
      <c r="DI14" s="20">
        <f t="shared" si="22"/>
        <v>117831351</v>
      </c>
      <c r="DJ14" s="20">
        <f t="shared" si="22"/>
        <v>117831351</v>
      </c>
      <c r="DK14" s="20">
        <f t="shared" si="22"/>
        <v>117831351</v>
      </c>
      <c r="DL14" s="20">
        <f t="shared" si="22"/>
        <v>117831351</v>
      </c>
      <c r="DM14" s="20">
        <f t="shared" si="22"/>
        <v>117831351</v>
      </c>
      <c r="DN14" s="20">
        <f t="shared" si="22"/>
        <v>117831351</v>
      </c>
      <c r="DO14" s="20">
        <f t="shared" si="10"/>
        <v>117831351</v>
      </c>
      <c r="DP14" s="20">
        <v>135318267</v>
      </c>
      <c r="DQ14" s="20">
        <v>135318267</v>
      </c>
      <c r="DR14" s="20">
        <v>135318267</v>
      </c>
      <c r="DS14" s="20">
        <v>135318267</v>
      </c>
      <c r="DT14" s="20">
        <v>135318267</v>
      </c>
      <c r="DU14" s="20">
        <v>135318267</v>
      </c>
      <c r="DV14" s="20">
        <v>135318267</v>
      </c>
      <c r="DW14" s="20">
        <v>135318267</v>
      </c>
      <c r="DX14" s="20">
        <v>135318267</v>
      </c>
      <c r="DY14" s="20">
        <v>135318267</v>
      </c>
      <c r="DZ14" s="20">
        <v>135318267</v>
      </c>
      <c r="EA14" s="20">
        <v>135318267</v>
      </c>
      <c r="EB14" s="20">
        <f t="shared" si="11"/>
        <v>135318267</v>
      </c>
      <c r="EC14" s="20">
        <v>137741639</v>
      </c>
      <c r="ED14" s="20">
        <v>137741639</v>
      </c>
      <c r="EE14" s="20">
        <v>137741639</v>
      </c>
      <c r="EF14" s="20">
        <v>137741639</v>
      </c>
      <c r="EG14" s="20">
        <v>137741639</v>
      </c>
      <c r="EH14" s="20">
        <v>137741639</v>
      </c>
      <c r="EI14" s="20">
        <v>137741639</v>
      </c>
      <c r="EJ14" s="20">
        <v>137741639</v>
      </c>
      <c r="EK14" s="20">
        <v>137741639</v>
      </c>
      <c r="EL14" s="20">
        <v>137741639</v>
      </c>
      <c r="EM14" s="20">
        <v>137741639</v>
      </c>
      <c r="EN14" s="20">
        <v>137741639</v>
      </c>
      <c r="EO14" s="20">
        <f t="shared" si="12"/>
        <v>137741639</v>
      </c>
      <c r="EP14" s="20">
        <v>141825431</v>
      </c>
      <c r="EQ14" s="20">
        <v>141825431</v>
      </c>
      <c r="ER14" s="20">
        <v>141825431</v>
      </c>
      <c r="ES14" s="20">
        <v>141825431</v>
      </c>
      <c r="ET14" s="20">
        <v>141825431</v>
      </c>
      <c r="EU14" s="20">
        <v>141825431</v>
      </c>
      <c r="EV14" s="20">
        <v>141825431</v>
      </c>
      <c r="EW14" s="20">
        <v>141825431</v>
      </c>
      <c r="EX14" s="20">
        <v>141825431</v>
      </c>
      <c r="EY14" s="20">
        <v>141825431</v>
      </c>
      <c r="EZ14" s="20">
        <v>141825431</v>
      </c>
      <c r="FA14" s="20">
        <v>141825431</v>
      </c>
      <c r="FB14" s="20">
        <f t="shared" si="13"/>
        <v>141825431</v>
      </c>
      <c r="FC14" s="20">
        <v>127610750</v>
      </c>
      <c r="FD14" s="20">
        <v>127610750</v>
      </c>
      <c r="FE14" s="20">
        <v>127610750</v>
      </c>
      <c r="FF14" s="20">
        <v>127610750</v>
      </c>
      <c r="FG14" s="20">
        <v>127610750</v>
      </c>
      <c r="FH14" s="20">
        <v>127610750</v>
      </c>
      <c r="FI14" s="20">
        <v>127610750</v>
      </c>
      <c r="FJ14" s="10"/>
      <c r="FK14" s="10"/>
      <c r="FL14" s="10"/>
      <c r="FM14" s="10"/>
      <c r="FN14" s="10"/>
      <c r="FO14" s="20">
        <f t="shared" si="14"/>
        <v>127610750</v>
      </c>
    </row>
    <row r="15" spans="1:171" ht="27.75" customHeight="1">
      <c r="A15" s="10"/>
      <c r="B15" s="19" t="s">
        <v>48</v>
      </c>
      <c r="C15" s="20">
        <v>26272563</v>
      </c>
      <c r="D15" s="20">
        <v>26272563</v>
      </c>
      <c r="E15" s="20">
        <v>26272563</v>
      </c>
      <c r="F15" s="20">
        <v>26272563</v>
      </c>
      <c r="G15" s="20">
        <v>26272563</v>
      </c>
      <c r="H15" s="20">
        <v>26272563</v>
      </c>
      <c r="I15" s="20">
        <v>26272563</v>
      </c>
      <c r="J15" s="20">
        <v>26272563</v>
      </c>
      <c r="K15" s="20">
        <v>26272563</v>
      </c>
      <c r="L15" s="20">
        <v>26272563</v>
      </c>
      <c r="M15" s="20">
        <v>26272563</v>
      </c>
      <c r="N15" s="20">
        <v>26272563</v>
      </c>
      <c r="O15" s="20">
        <f t="shared" si="0"/>
        <v>26272563</v>
      </c>
      <c r="P15" s="20">
        <v>28203580</v>
      </c>
      <c r="Q15" s="20">
        <v>28203580</v>
      </c>
      <c r="R15" s="20">
        <v>28203580</v>
      </c>
      <c r="S15" s="20">
        <v>28203580</v>
      </c>
      <c r="T15" s="20">
        <v>28203580</v>
      </c>
      <c r="U15" s="20">
        <v>28203580</v>
      </c>
      <c r="V15" s="20">
        <v>28203580</v>
      </c>
      <c r="W15" s="20">
        <v>28203580</v>
      </c>
      <c r="X15" s="20">
        <v>28203580</v>
      </c>
      <c r="Y15" s="20">
        <v>28203580</v>
      </c>
      <c r="Z15" s="20">
        <v>28203580</v>
      </c>
      <c r="AA15" s="20">
        <v>28203580</v>
      </c>
      <c r="AB15" s="20">
        <f t="shared" si="1"/>
        <v>28203580</v>
      </c>
      <c r="AC15" s="20">
        <v>25719874</v>
      </c>
      <c r="AD15" s="20">
        <v>25719874</v>
      </c>
      <c r="AE15" s="20">
        <v>25719874</v>
      </c>
      <c r="AF15" s="20">
        <v>25719874</v>
      </c>
      <c r="AG15" s="20">
        <v>25719874</v>
      </c>
      <c r="AH15" s="20">
        <v>25719874</v>
      </c>
      <c r="AI15" s="20">
        <v>25719874</v>
      </c>
      <c r="AJ15" s="20">
        <v>25719874</v>
      </c>
      <c r="AK15" s="20">
        <v>25719874</v>
      </c>
      <c r="AL15" s="20">
        <v>25719874</v>
      </c>
      <c r="AM15" s="20">
        <v>25719874</v>
      </c>
      <c r="AN15" s="20">
        <v>25719874</v>
      </c>
      <c r="AO15" s="20">
        <f t="shared" si="2"/>
        <v>25719874</v>
      </c>
      <c r="AP15" s="20">
        <v>28283754</v>
      </c>
      <c r="AQ15" s="20">
        <v>28283754</v>
      </c>
      <c r="AR15" s="20">
        <v>28283754</v>
      </c>
      <c r="AS15" s="20">
        <v>28283754</v>
      </c>
      <c r="AT15" s="20">
        <v>28283754</v>
      </c>
      <c r="AU15" s="20">
        <v>28283754</v>
      </c>
      <c r="AV15" s="20">
        <v>28283754</v>
      </c>
      <c r="AW15" s="20">
        <v>28283754</v>
      </c>
      <c r="AX15" s="20">
        <v>28283754</v>
      </c>
      <c r="AY15" s="20">
        <v>28283754</v>
      </c>
      <c r="AZ15" s="20">
        <v>28283754</v>
      </c>
      <c r="BA15" s="20">
        <v>28283754</v>
      </c>
      <c r="BB15" s="20">
        <f t="shared" si="3"/>
        <v>28283754</v>
      </c>
      <c r="BC15" s="20">
        <v>30504194</v>
      </c>
      <c r="BD15" s="20">
        <v>30504194</v>
      </c>
      <c r="BE15" s="20">
        <v>30504194</v>
      </c>
      <c r="BF15" s="20">
        <v>30504194</v>
      </c>
      <c r="BG15" s="20">
        <v>30504194</v>
      </c>
      <c r="BH15" s="20">
        <v>30504194</v>
      </c>
      <c r="BI15" s="20">
        <v>30504194</v>
      </c>
      <c r="BJ15" s="20">
        <v>30504194</v>
      </c>
      <c r="BK15" s="20">
        <v>30504194</v>
      </c>
      <c r="BL15" s="20">
        <v>30504194</v>
      </c>
      <c r="BM15" s="20">
        <v>30504194</v>
      </c>
      <c r="BN15" s="20">
        <v>30504194</v>
      </c>
      <c r="BO15" s="20">
        <f t="shared" si="4"/>
        <v>30504194</v>
      </c>
      <c r="BP15" s="20">
        <v>25853361</v>
      </c>
      <c r="BQ15" s="20">
        <v>25853361</v>
      </c>
      <c r="BR15" s="20">
        <v>25853361</v>
      </c>
      <c r="BS15" s="20">
        <v>25853361</v>
      </c>
      <c r="BT15" s="20">
        <v>25853361</v>
      </c>
      <c r="BU15" s="20">
        <v>25853361</v>
      </c>
      <c r="BV15" s="20">
        <v>25853361</v>
      </c>
      <c r="BW15" s="20">
        <v>25853361</v>
      </c>
      <c r="BX15" s="20">
        <v>25853361</v>
      </c>
      <c r="BY15" s="20">
        <v>25853361</v>
      </c>
      <c r="BZ15" s="20">
        <v>25853361</v>
      </c>
      <c r="CA15" s="20">
        <v>25853361</v>
      </c>
      <c r="CB15" s="20">
        <f t="shared" si="5"/>
        <v>25853361</v>
      </c>
      <c r="CC15" s="20">
        <v>22096777</v>
      </c>
      <c r="CD15" s="20">
        <v>22096777</v>
      </c>
      <c r="CE15" s="20">
        <v>22096777</v>
      </c>
      <c r="CF15" s="20">
        <v>22096777</v>
      </c>
      <c r="CG15" s="20">
        <v>22096777</v>
      </c>
      <c r="CH15" s="20">
        <v>22096777</v>
      </c>
      <c r="CI15" s="20">
        <v>22096777</v>
      </c>
      <c r="CJ15" s="20">
        <v>22096777</v>
      </c>
      <c r="CK15" s="20">
        <v>22096777</v>
      </c>
      <c r="CL15" s="20">
        <v>22096777</v>
      </c>
      <c r="CM15" s="20">
        <v>22096777</v>
      </c>
      <c r="CN15" s="20">
        <v>22096777</v>
      </c>
      <c r="CO15" s="20">
        <f t="shared" si="6"/>
        <v>22096777</v>
      </c>
      <c r="CP15" s="20">
        <f t="shared" ref="CP15:DA15" si="23">11904427+25061381</f>
        <v>36965808</v>
      </c>
      <c r="CQ15" s="20">
        <f t="shared" si="23"/>
        <v>36965808</v>
      </c>
      <c r="CR15" s="20">
        <f t="shared" si="23"/>
        <v>36965808</v>
      </c>
      <c r="CS15" s="20">
        <f t="shared" si="23"/>
        <v>36965808</v>
      </c>
      <c r="CT15" s="20">
        <f t="shared" si="23"/>
        <v>36965808</v>
      </c>
      <c r="CU15" s="20">
        <f t="shared" si="23"/>
        <v>36965808</v>
      </c>
      <c r="CV15" s="20">
        <f t="shared" si="23"/>
        <v>36965808</v>
      </c>
      <c r="CW15" s="20">
        <f t="shared" si="23"/>
        <v>36965808</v>
      </c>
      <c r="CX15" s="20">
        <f t="shared" si="23"/>
        <v>36965808</v>
      </c>
      <c r="CY15" s="20">
        <f t="shared" si="23"/>
        <v>36965808</v>
      </c>
      <c r="CZ15" s="20">
        <f t="shared" si="23"/>
        <v>36965808</v>
      </c>
      <c r="DA15" s="20">
        <f t="shared" si="23"/>
        <v>36965808</v>
      </c>
      <c r="DB15" s="20">
        <f t="shared" si="8"/>
        <v>36965808</v>
      </c>
      <c r="DC15" s="20">
        <f t="shared" ref="DC15:DN15" si="24">8974172+32064677</f>
        <v>41038849</v>
      </c>
      <c r="DD15" s="20">
        <f t="shared" si="24"/>
        <v>41038849</v>
      </c>
      <c r="DE15" s="20">
        <f t="shared" si="24"/>
        <v>41038849</v>
      </c>
      <c r="DF15" s="20">
        <f t="shared" si="24"/>
        <v>41038849</v>
      </c>
      <c r="DG15" s="20">
        <f t="shared" si="24"/>
        <v>41038849</v>
      </c>
      <c r="DH15" s="20">
        <f t="shared" si="24"/>
        <v>41038849</v>
      </c>
      <c r="DI15" s="20">
        <f t="shared" si="24"/>
        <v>41038849</v>
      </c>
      <c r="DJ15" s="20">
        <f t="shared" si="24"/>
        <v>41038849</v>
      </c>
      <c r="DK15" s="20">
        <f t="shared" si="24"/>
        <v>41038849</v>
      </c>
      <c r="DL15" s="20">
        <f t="shared" si="24"/>
        <v>41038849</v>
      </c>
      <c r="DM15" s="20">
        <f t="shared" si="24"/>
        <v>41038849</v>
      </c>
      <c r="DN15" s="20">
        <f t="shared" si="24"/>
        <v>41038849</v>
      </c>
      <c r="DO15" s="20">
        <f t="shared" si="10"/>
        <v>41038849</v>
      </c>
      <c r="DP15" s="20">
        <v>37590026</v>
      </c>
      <c r="DQ15" s="20">
        <v>37590026</v>
      </c>
      <c r="DR15" s="20">
        <v>37590026</v>
      </c>
      <c r="DS15" s="20">
        <v>37590026</v>
      </c>
      <c r="DT15" s="20">
        <v>37590026</v>
      </c>
      <c r="DU15" s="20">
        <v>37590026</v>
      </c>
      <c r="DV15" s="20">
        <v>37590026</v>
      </c>
      <c r="DW15" s="20">
        <v>37590026</v>
      </c>
      <c r="DX15" s="20">
        <v>37590026</v>
      </c>
      <c r="DY15" s="20">
        <v>37590026</v>
      </c>
      <c r="DZ15" s="20">
        <v>37590026</v>
      </c>
      <c r="EA15" s="20">
        <v>37590026</v>
      </c>
      <c r="EB15" s="20">
        <f t="shared" si="11"/>
        <v>37590026</v>
      </c>
      <c r="EC15" s="20">
        <v>44570138</v>
      </c>
      <c r="ED15" s="20">
        <v>44570138</v>
      </c>
      <c r="EE15" s="20">
        <v>44570138</v>
      </c>
      <c r="EF15" s="20">
        <v>44570138</v>
      </c>
      <c r="EG15" s="20">
        <v>44570138</v>
      </c>
      <c r="EH15" s="20">
        <v>44570138</v>
      </c>
      <c r="EI15" s="20">
        <v>44570138</v>
      </c>
      <c r="EJ15" s="20">
        <v>44570138</v>
      </c>
      <c r="EK15" s="20">
        <v>44570138</v>
      </c>
      <c r="EL15" s="20">
        <v>44570138</v>
      </c>
      <c r="EM15" s="20">
        <v>44570138</v>
      </c>
      <c r="EN15" s="20">
        <v>44570138</v>
      </c>
      <c r="EO15" s="20">
        <f t="shared" si="12"/>
        <v>44570138</v>
      </c>
      <c r="EP15" s="20">
        <v>57109595</v>
      </c>
      <c r="EQ15" s="20">
        <v>57109595</v>
      </c>
      <c r="ER15" s="20">
        <v>57109595</v>
      </c>
      <c r="ES15" s="20">
        <v>57109595</v>
      </c>
      <c r="ET15" s="20">
        <v>57109595</v>
      </c>
      <c r="EU15" s="20">
        <v>57109595</v>
      </c>
      <c r="EV15" s="20">
        <v>57109595</v>
      </c>
      <c r="EW15" s="20">
        <v>57109595</v>
      </c>
      <c r="EX15" s="20">
        <v>57109595</v>
      </c>
      <c r="EY15" s="20">
        <v>57109595</v>
      </c>
      <c r="EZ15" s="20">
        <v>57109595</v>
      </c>
      <c r="FA15" s="20">
        <v>57109595</v>
      </c>
      <c r="FB15" s="20">
        <f t="shared" si="13"/>
        <v>57109595</v>
      </c>
      <c r="FC15" s="20">
        <v>30479549</v>
      </c>
      <c r="FD15" s="20">
        <v>30479549</v>
      </c>
      <c r="FE15" s="20">
        <v>30479549</v>
      </c>
      <c r="FF15" s="20">
        <v>30479549</v>
      </c>
      <c r="FG15" s="20">
        <v>30479549</v>
      </c>
      <c r="FH15" s="20">
        <v>30479549</v>
      </c>
      <c r="FI15" s="20">
        <v>30479549</v>
      </c>
      <c r="FJ15" s="10"/>
      <c r="FK15" s="10"/>
      <c r="FL15" s="10"/>
      <c r="FM15" s="10"/>
      <c r="FN15" s="10"/>
      <c r="FO15" s="20">
        <f t="shared" si="14"/>
        <v>30479549</v>
      </c>
    </row>
    <row r="16" spans="1:171" ht="21.75" customHeight="1">
      <c r="A16" s="10"/>
      <c r="B16" s="15" t="s">
        <v>49</v>
      </c>
      <c r="C16" s="38">
        <f t="shared" ref="C16:AH16" si="25">SUM(C10:C15)</f>
        <v>1080148659</v>
      </c>
      <c r="D16" s="38">
        <f t="shared" si="25"/>
        <v>1080148659</v>
      </c>
      <c r="E16" s="38">
        <f t="shared" si="25"/>
        <v>1080148659</v>
      </c>
      <c r="F16" s="38">
        <f t="shared" si="25"/>
        <v>1080148659</v>
      </c>
      <c r="G16" s="38">
        <f t="shared" si="25"/>
        <v>1080148659</v>
      </c>
      <c r="H16" s="38">
        <f t="shared" si="25"/>
        <v>1080148659</v>
      </c>
      <c r="I16" s="38">
        <f t="shared" si="25"/>
        <v>1080148659</v>
      </c>
      <c r="J16" s="38">
        <f t="shared" si="25"/>
        <v>1080148659</v>
      </c>
      <c r="K16" s="38">
        <f t="shared" si="25"/>
        <v>1080148659</v>
      </c>
      <c r="L16" s="38">
        <f t="shared" si="25"/>
        <v>1080148659</v>
      </c>
      <c r="M16" s="38">
        <f t="shared" si="25"/>
        <v>1080148659</v>
      </c>
      <c r="N16" s="38">
        <f t="shared" si="25"/>
        <v>1080148659</v>
      </c>
      <c r="O16" s="38">
        <f t="shared" si="25"/>
        <v>1080148659</v>
      </c>
      <c r="P16" s="38">
        <f t="shared" si="25"/>
        <v>1276641076</v>
      </c>
      <c r="Q16" s="38">
        <f t="shared" si="25"/>
        <v>1276641076</v>
      </c>
      <c r="R16" s="38">
        <f t="shared" si="25"/>
        <v>1276641076</v>
      </c>
      <c r="S16" s="38">
        <f t="shared" si="25"/>
        <v>1276641076</v>
      </c>
      <c r="T16" s="38">
        <f t="shared" si="25"/>
        <v>1276641076</v>
      </c>
      <c r="U16" s="38">
        <f t="shared" si="25"/>
        <v>1276641076</v>
      </c>
      <c r="V16" s="38">
        <f t="shared" si="25"/>
        <v>1276641076</v>
      </c>
      <c r="W16" s="38">
        <f t="shared" si="25"/>
        <v>1276641076</v>
      </c>
      <c r="X16" s="38">
        <f t="shared" si="25"/>
        <v>1276641076</v>
      </c>
      <c r="Y16" s="38">
        <f t="shared" si="25"/>
        <v>1276641076</v>
      </c>
      <c r="Z16" s="38">
        <f t="shared" si="25"/>
        <v>1276641076</v>
      </c>
      <c r="AA16" s="38">
        <f t="shared" si="25"/>
        <v>1276641076</v>
      </c>
      <c r="AB16" s="38">
        <f t="shared" si="25"/>
        <v>1276641076</v>
      </c>
      <c r="AC16" s="38">
        <f t="shared" si="25"/>
        <v>1271630624</v>
      </c>
      <c r="AD16" s="38">
        <f t="shared" si="25"/>
        <v>1271630624</v>
      </c>
      <c r="AE16" s="38">
        <f t="shared" si="25"/>
        <v>1271630624</v>
      </c>
      <c r="AF16" s="38">
        <f t="shared" si="25"/>
        <v>1271630624</v>
      </c>
      <c r="AG16" s="38">
        <f t="shared" si="25"/>
        <v>1271630624</v>
      </c>
      <c r="AH16" s="38">
        <f t="shared" si="25"/>
        <v>1271630624</v>
      </c>
      <c r="AI16" s="38">
        <f t="shared" ref="AI16:BN16" si="26">SUM(AI10:AI15)</f>
        <v>1271630624</v>
      </c>
      <c r="AJ16" s="38">
        <f t="shared" si="26"/>
        <v>1271630624</v>
      </c>
      <c r="AK16" s="38">
        <f t="shared" si="26"/>
        <v>1271630624</v>
      </c>
      <c r="AL16" s="38">
        <f t="shared" si="26"/>
        <v>1271630624</v>
      </c>
      <c r="AM16" s="38">
        <f t="shared" si="26"/>
        <v>1271630624</v>
      </c>
      <c r="AN16" s="38">
        <f t="shared" si="26"/>
        <v>1271630624</v>
      </c>
      <c r="AO16" s="38">
        <f t="shared" si="26"/>
        <v>1271630624</v>
      </c>
      <c r="AP16" s="38">
        <f t="shared" si="26"/>
        <v>1335873679</v>
      </c>
      <c r="AQ16" s="38">
        <f t="shared" si="26"/>
        <v>1335873679</v>
      </c>
      <c r="AR16" s="38">
        <f t="shared" si="26"/>
        <v>1335873679</v>
      </c>
      <c r="AS16" s="38">
        <f t="shared" si="26"/>
        <v>1335873679</v>
      </c>
      <c r="AT16" s="38">
        <f t="shared" si="26"/>
        <v>1335873679</v>
      </c>
      <c r="AU16" s="38">
        <f t="shared" si="26"/>
        <v>1335873679</v>
      </c>
      <c r="AV16" s="38">
        <f t="shared" si="26"/>
        <v>1335873679</v>
      </c>
      <c r="AW16" s="38">
        <f t="shared" si="26"/>
        <v>1335873679</v>
      </c>
      <c r="AX16" s="38">
        <f t="shared" si="26"/>
        <v>1335873679</v>
      </c>
      <c r="AY16" s="38">
        <f t="shared" si="26"/>
        <v>1335873679</v>
      </c>
      <c r="AZ16" s="38">
        <f t="shared" si="26"/>
        <v>1335873679</v>
      </c>
      <c r="BA16" s="38">
        <f t="shared" si="26"/>
        <v>1335873679</v>
      </c>
      <c r="BB16" s="38">
        <f t="shared" si="26"/>
        <v>1335873679</v>
      </c>
      <c r="BC16" s="38">
        <f t="shared" si="26"/>
        <v>1355870741</v>
      </c>
      <c r="BD16" s="38">
        <f t="shared" si="26"/>
        <v>1355870741</v>
      </c>
      <c r="BE16" s="38">
        <f t="shared" si="26"/>
        <v>1355870741</v>
      </c>
      <c r="BF16" s="38">
        <f t="shared" si="26"/>
        <v>1355870741</v>
      </c>
      <c r="BG16" s="38">
        <f t="shared" si="26"/>
        <v>1355870741</v>
      </c>
      <c r="BH16" s="38">
        <f t="shared" si="26"/>
        <v>1355870741</v>
      </c>
      <c r="BI16" s="38">
        <f t="shared" si="26"/>
        <v>1355870741</v>
      </c>
      <c r="BJ16" s="38">
        <f t="shared" si="26"/>
        <v>1355870741</v>
      </c>
      <c r="BK16" s="38">
        <f t="shared" si="26"/>
        <v>1355870741</v>
      </c>
      <c r="BL16" s="38">
        <f t="shared" si="26"/>
        <v>1355870741</v>
      </c>
      <c r="BM16" s="38">
        <f t="shared" si="26"/>
        <v>1355870741</v>
      </c>
      <c r="BN16" s="38">
        <f t="shared" si="26"/>
        <v>1355870741</v>
      </c>
      <c r="BO16" s="38">
        <f t="shared" ref="BO16:CT16" si="27">SUM(BO10:BO15)</f>
        <v>1355870741</v>
      </c>
      <c r="BP16" s="38">
        <f t="shared" si="27"/>
        <v>1449083657</v>
      </c>
      <c r="BQ16" s="38">
        <f t="shared" si="27"/>
        <v>1449083657</v>
      </c>
      <c r="BR16" s="38">
        <f t="shared" si="27"/>
        <v>1449083657</v>
      </c>
      <c r="BS16" s="38">
        <f t="shared" si="27"/>
        <v>1449083657</v>
      </c>
      <c r="BT16" s="38">
        <f t="shared" si="27"/>
        <v>1449083657</v>
      </c>
      <c r="BU16" s="38">
        <f t="shared" si="27"/>
        <v>1449083657</v>
      </c>
      <c r="BV16" s="38">
        <f t="shared" si="27"/>
        <v>1449083657</v>
      </c>
      <c r="BW16" s="38">
        <f t="shared" si="27"/>
        <v>1449083657</v>
      </c>
      <c r="BX16" s="38">
        <f t="shared" si="27"/>
        <v>1449083657</v>
      </c>
      <c r="BY16" s="38">
        <f t="shared" si="27"/>
        <v>1449083657</v>
      </c>
      <c r="BZ16" s="38">
        <f t="shared" si="27"/>
        <v>1449083657</v>
      </c>
      <c r="CA16" s="38">
        <f t="shared" si="27"/>
        <v>1449083657</v>
      </c>
      <c r="CB16" s="38">
        <f t="shared" si="27"/>
        <v>1449083657</v>
      </c>
      <c r="CC16" s="38">
        <f t="shared" si="27"/>
        <v>1573755895</v>
      </c>
      <c r="CD16" s="38">
        <f t="shared" si="27"/>
        <v>1573755895</v>
      </c>
      <c r="CE16" s="38">
        <f t="shared" si="27"/>
        <v>1573755895</v>
      </c>
      <c r="CF16" s="38">
        <f t="shared" si="27"/>
        <v>1573755895</v>
      </c>
      <c r="CG16" s="38">
        <f t="shared" si="27"/>
        <v>1573755895</v>
      </c>
      <c r="CH16" s="38">
        <f t="shared" si="27"/>
        <v>1573755895</v>
      </c>
      <c r="CI16" s="38">
        <f t="shared" si="27"/>
        <v>1573755895</v>
      </c>
      <c r="CJ16" s="38">
        <f t="shared" si="27"/>
        <v>1573755895</v>
      </c>
      <c r="CK16" s="38">
        <f t="shared" si="27"/>
        <v>1573755895</v>
      </c>
      <c r="CL16" s="38">
        <f t="shared" si="27"/>
        <v>1573755895</v>
      </c>
      <c r="CM16" s="38">
        <f t="shared" si="27"/>
        <v>1573755895</v>
      </c>
      <c r="CN16" s="38">
        <f t="shared" si="27"/>
        <v>1573755895</v>
      </c>
      <c r="CO16" s="38">
        <f t="shared" si="27"/>
        <v>1573755895</v>
      </c>
      <c r="CP16" s="38">
        <f t="shared" si="27"/>
        <v>2321440407</v>
      </c>
      <c r="CQ16" s="38">
        <f t="shared" si="27"/>
        <v>2321440407</v>
      </c>
      <c r="CR16" s="38">
        <f t="shared" si="27"/>
        <v>2321440407</v>
      </c>
      <c r="CS16" s="38">
        <f t="shared" si="27"/>
        <v>2321440407</v>
      </c>
      <c r="CT16" s="38">
        <f t="shared" si="27"/>
        <v>2321440407</v>
      </c>
      <c r="CU16" s="38">
        <f t="shared" ref="CU16:DZ16" si="28">SUM(CU10:CU15)</f>
        <v>2321440407</v>
      </c>
      <c r="CV16" s="38">
        <f t="shared" si="28"/>
        <v>2321440407</v>
      </c>
      <c r="CW16" s="38">
        <f t="shared" si="28"/>
        <v>2321440407</v>
      </c>
      <c r="CX16" s="38">
        <f t="shared" si="28"/>
        <v>2321440407</v>
      </c>
      <c r="CY16" s="38">
        <f t="shared" si="28"/>
        <v>2321440407</v>
      </c>
      <c r="CZ16" s="38">
        <f t="shared" si="28"/>
        <v>2321440407</v>
      </c>
      <c r="DA16" s="38">
        <f t="shared" si="28"/>
        <v>2321440407</v>
      </c>
      <c r="DB16" s="38">
        <f t="shared" si="28"/>
        <v>2321440407</v>
      </c>
      <c r="DC16" s="38">
        <f t="shared" si="28"/>
        <v>2617573233</v>
      </c>
      <c r="DD16" s="38">
        <f t="shared" si="28"/>
        <v>2617573233</v>
      </c>
      <c r="DE16" s="38">
        <f t="shared" si="28"/>
        <v>2617573233</v>
      </c>
      <c r="DF16" s="38">
        <f t="shared" si="28"/>
        <v>2617573233</v>
      </c>
      <c r="DG16" s="38">
        <f t="shared" si="28"/>
        <v>2617573233</v>
      </c>
      <c r="DH16" s="38">
        <f t="shared" si="28"/>
        <v>2617573233</v>
      </c>
      <c r="DI16" s="38">
        <f t="shared" si="28"/>
        <v>2617573233</v>
      </c>
      <c r="DJ16" s="38">
        <f t="shared" si="28"/>
        <v>2617573233</v>
      </c>
      <c r="DK16" s="38">
        <f t="shared" si="28"/>
        <v>2617573233</v>
      </c>
      <c r="DL16" s="38">
        <f t="shared" si="28"/>
        <v>2617573233</v>
      </c>
      <c r="DM16" s="38">
        <f t="shared" si="28"/>
        <v>2617573233</v>
      </c>
      <c r="DN16" s="38">
        <f t="shared" si="28"/>
        <v>2617573233</v>
      </c>
      <c r="DO16" s="38">
        <f t="shared" si="28"/>
        <v>2617573233</v>
      </c>
      <c r="DP16" s="38">
        <f t="shared" si="28"/>
        <v>2791307442</v>
      </c>
      <c r="DQ16" s="38">
        <f t="shared" si="28"/>
        <v>2791307442</v>
      </c>
      <c r="DR16" s="38">
        <f t="shared" si="28"/>
        <v>2791307442</v>
      </c>
      <c r="DS16" s="38">
        <f t="shared" si="28"/>
        <v>2791307442</v>
      </c>
      <c r="DT16" s="38">
        <f t="shared" si="28"/>
        <v>2791307442</v>
      </c>
      <c r="DU16" s="38">
        <f t="shared" si="28"/>
        <v>2791307442</v>
      </c>
      <c r="DV16" s="38">
        <f t="shared" si="28"/>
        <v>2791307442</v>
      </c>
      <c r="DW16" s="38">
        <f t="shared" si="28"/>
        <v>2791307442</v>
      </c>
      <c r="DX16" s="38">
        <f t="shared" si="28"/>
        <v>2791307442</v>
      </c>
      <c r="DY16" s="38">
        <f t="shared" si="28"/>
        <v>2791307442</v>
      </c>
      <c r="DZ16" s="38">
        <f t="shared" si="28"/>
        <v>2791307442</v>
      </c>
      <c r="EA16" s="38">
        <f t="shared" ref="EA16:FF16" si="29">SUM(EA10:EA15)</f>
        <v>2791307442</v>
      </c>
      <c r="EB16" s="38">
        <f t="shared" si="29"/>
        <v>2791307442</v>
      </c>
      <c r="EC16" s="38">
        <f t="shared" si="29"/>
        <v>2933512941</v>
      </c>
      <c r="ED16" s="38">
        <f t="shared" si="29"/>
        <v>2933512941</v>
      </c>
      <c r="EE16" s="38">
        <f t="shared" si="29"/>
        <v>2933512941</v>
      </c>
      <c r="EF16" s="38">
        <f t="shared" si="29"/>
        <v>2933512941</v>
      </c>
      <c r="EG16" s="38">
        <f t="shared" si="29"/>
        <v>2933512941</v>
      </c>
      <c r="EH16" s="38">
        <f t="shared" si="29"/>
        <v>2933512941</v>
      </c>
      <c r="EI16" s="38">
        <f t="shared" si="29"/>
        <v>2933512941</v>
      </c>
      <c r="EJ16" s="38">
        <f t="shared" si="29"/>
        <v>2933512941</v>
      </c>
      <c r="EK16" s="38">
        <f t="shared" si="29"/>
        <v>2933512941</v>
      </c>
      <c r="EL16" s="38">
        <f t="shared" si="29"/>
        <v>2933512941</v>
      </c>
      <c r="EM16" s="38">
        <f t="shared" si="29"/>
        <v>2933512941</v>
      </c>
      <c r="EN16" s="38">
        <f t="shared" si="29"/>
        <v>2933512941</v>
      </c>
      <c r="EO16" s="38">
        <f t="shared" si="29"/>
        <v>2933512941</v>
      </c>
      <c r="EP16" s="38">
        <f t="shared" si="29"/>
        <v>3045180505</v>
      </c>
      <c r="EQ16" s="38">
        <f t="shared" si="29"/>
        <v>3045180505</v>
      </c>
      <c r="ER16" s="38">
        <f t="shared" si="29"/>
        <v>3045180505</v>
      </c>
      <c r="ES16" s="38">
        <f t="shared" si="29"/>
        <v>3045180505</v>
      </c>
      <c r="ET16" s="38">
        <f t="shared" si="29"/>
        <v>3045180505</v>
      </c>
      <c r="EU16" s="38">
        <f t="shared" si="29"/>
        <v>3045180505</v>
      </c>
      <c r="EV16" s="38">
        <f t="shared" si="29"/>
        <v>3045180505</v>
      </c>
      <c r="EW16" s="38">
        <f t="shared" si="29"/>
        <v>3045180505</v>
      </c>
      <c r="EX16" s="38">
        <f t="shared" si="29"/>
        <v>3045180505</v>
      </c>
      <c r="EY16" s="38">
        <f t="shared" si="29"/>
        <v>3045180505</v>
      </c>
      <c r="EZ16" s="38">
        <f t="shared" si="29"/>
        <v>3045180505</v>
      </c>
      <c r="FA16" s="38">
        <f t="shared" si="29"/>
        <v>3045180505</v>
      </c>
      <c r="FB16" s="38">
        <f t="shared" si="29"/>
        <v>3045180505</v>
      </c>
      <c r="FC16" s="38">
        <f t="shared" si="29"/>
        <v>2705505486</v>
      </c>
      <c r="FD16" s="38">
        <f t="shared" si="29"/>
        <v>2705505486</v>
      </c>
      <c r="FE16" s="38">
        <f t="shared" si="29"/>
        <v>2705505486</v>
      </c>
      <c r="FF16" s="38">
        <f t="shared" si="29"/>
        <v>2705505486</v>
      </c>
      <c r="FG16" s="38">
        <f t="shared" ref="FG16:GL16" si="30">SUM(FG10:FG15)</f>
        <v>2705505486</v>
      </c>
      <c r="FH16" s="38">
        <f t="shared" si="30"/>
        <v>2705505486</v>
      </c>
      <c r="FI16" s="38">
        <f t="shared" si="30"/>
        <v>2705505486</v>
      </c>
      <c r="FJ16" s="38">
        <f t="shared" si="30"/>
        <v>0</v>
      </c>
      <c r="FK16" s="38">
        <f t="shared" si="30"/>
        <v>0</v>
      </c>
      <c r="FL16" s="38">
        <f t="shared" si="30"/>
        <v>0</v>
      </c>
      <c r="FM16" s="38">
        <f t="shared" si="30"/>
        <v>0</v>
      </c>
      <c r="FN16" s="38">
        <f t="shared" si="30"/>
        <v>0</v>
      </c>
      <c r="FO16" s="38">
        <f t="shared" si="30"/>
        <v>2705505486</v>
      </c>
    </row>
    <row r="17" spans="1:171" ht="14.25" customHeight="1">
      <c r="A17" s="10"/>
      <c r="B17" s="18" t="s">
        <v>50</v>
      </c>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row>
    <row r="18" spans="1:171" ht="14.2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row>
    <row r="19" spans="1:171" ht="15.75" customHeight="1">
      <c r="A19" s="10"/>
      <c r="B19" s="104" t="s">
        <v>51</v>
      </c>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c r="BI19" s="105"/>
      <c r="BJ19" s="105"/>
      <c r="BK19" s="105"/>
      <c r="BL19" s="105"/>
      <c r="BM19" s="105"/>
      <c r="BN19" s="105"/>
      <c r="BO19" s="105"/>
      <c r="BP19" s="105"/>
      <c r="BQ19" s="105"/>
      <c r="BR19" s="105"/>
      <c r="BS19" s="105"/>
      <c r="BT19" s="105"/>
      <c r="BU19" s="105"/>
      <c r="BV19" s="105"/>
      <c r="BW19" s="105"/>
      <c r="BX19" s="105"/>
      <c r="BY19" s="105"/>
      <c r="BZ19" s="105"/>
      <c r="CA19" s="105"/>
      <c r="CB19" s="105"/>
      <c r="CC19" s="105"/>
      <c r="CD19" s="105"/>
      <c r="CE19" s="105"/>
      <c r="CF19" s="105"/>
      <c r="CG19" s="105"/>
      <c r="CH19" s="105"/>
      <c r="CI19" s="105"/>
      <c r="CJ19" s="105"/>
      <c r="CK19" s="105"/>
      <c r="CL19" s="105"/>
      <c r="CM19" s="105"/>
      <c r="CN19" s="105"/>
      <c r="CO19" s="105"/>
      <c r="CP19" s="105"/>
      <c r="CQ19" s="105"/>
      <c r="CR19" s="105"/>
      <c r="CS19" s="105"/>
      <c r="CT19" s="105"/>
      <c r="CU19" s="105"/>
      <c r="CV19" s="105"/>
      <c r="CW19" s="105"/>
      <c r="CX19" s="105"/>
      <c r="CY19" s="105"/>
      <c r="CZ19" s="105"/>
      <c r="DA19" s="105"/>
      <c r="DB19" s="105"/>
      <c r="DC19" s="105"/>
      <c r="DD19" s="105"/>
      <c r="DE19" s="105"/>
      <c r="DF19" s="105"/>
      <c r="DG19" s="105"/>
      <c r="DH19" s="105"/>
      <c r="DI19" s="105"/>
      <c r="DJ19" s="105"/>
      <c r="DK19" s="105"/>
      <c r="DL19" s="105"/>
      <c r="DM19" s="105"/>
      <c r="DN19" s="105"/>
      <c r="DO19" s="105"/>
      <c r="DP19" s="105"/>
      <c r="DQ19" s="105"/>
      <c r="DR19" s="105"/>
      <c r="DS19" s="105"/>
      <c r="DT19" s="105"/>
      <c r="DU19" s="105"/>
      <c r="DV19" s="105"/>
      <c r="DW19" s="105"/>
      <c r="DX19" s="105"/>
      <c r="DY19" s="105"/>
      <c r="DZ19" s="105"/>
      <c r="EA19" s="105"/>
      <c r="EB19" s="105"/>
      <c r="EC19" s="105"/>
      <c r="ED19" s="105"/>
      <c r="EE19" s="105"/>
      <c r="EF19" s="105"/>
      <c r="EG19" s="105"/>
      <c r="EH19" s="105"/>
      <c r="EI19" s="105"/>
      <c r="EJ19" s="105"/>
      <c r="EK19" s="105"/>
      <c r="EL19" s="105"/>
      <c r="EM19" s="105"/>
      <c r="EN19" s="105"/>
      <c r="EO19" s="105"/>
      <c r="EP19" s="105"/>
      <c r="EQ19" s="105"/>
      <c r="ER19" s="105"/>
      <c r="ES19" s="105"/>
      <c r="ET19" s="105"/>
      <c r="EU19" s="105"/>
      <c r="EV19" s="105"/>
      <c r="EW19" s="105"/>
      <c r="EX19" s="105"/>
      <c r="EY19" s="105"/>
      <c r="EZ19" s="105"/>
      <c r="FA19" s="105"/>
      <c r="FB19" s="105"/>
      <c r="FC19" s="105"/>
      <c r="FD19" s="105"/>
      <c r="FE19" s="105"/>
      <c r="FF19" s="105"/>
      <c r="FG19" s="105"/>
      <c r="FH19" s="105"/>
      <c r="FI19" s="105"/>
      <c r="FJ19" s="105"/>
      <c r="FK19" s="105"/>
      <c r="FL19" s="105"/>
      <c r="FM19" s="105"/>
      <c r="FN19" s="105"/>
      <c r="FO19" s="105"/>
    </row>
    <row r="20" spans="1:171" ht="21.75" customHeight="1">
      <c r="A20" s="10"/>
      <c r="B20" s="14"/>
      <c r="C20" s="102" t="s">
        <v>4</v>
      </c>
      <c r="D20" s="103"/>
      <c r="E20" s="103"/>
      <c r="F20" s="103"/>
      <c r="G20" s="103"/>
      <c r="H20" s="103"/>
      <c r="I20" s="103"/>
      <c r="J20" s="103"/>
      <c r="K20" s="103"/>
      <c r="L20" s="103"/>
      <c r="M20" s="103"/>
      <c r="N20" s="103"/>
      <c r="O20" s="103"/>
      <c r="P20" s="102" t="s">
        <v>5</v>
      </c>
      <c r="Q20" s="103"/>
      <c r="R20" s="103"/>
      <c r="S20" s="103"/>
      <c r="T20" s="103"/>
      <c r="U20" s="103"/>
      <c r="V20" s="103"/>
      <c r="W20" s="103"/>
      <c r="X20" s="103"/>
      <c r="Y20" s="103"/>
      <c r="Z20" s="103"/>
      <c r="AA20" s="103"/>
      <c r="AB20" s="103"/>
      <c r="AC20" s="102" t="s">
        <v>6</v>
      </c>
      <c r="AD20" s="103"/>
      <c r="AE20" s="103"/>
      <c r="AF20" s="103"/>
      <c r="AG20" s="103"/>
      <c r="AH20" s="103"/>
      <c r="AI20" s="103"/>
      <c r="AJ20" s="103"/>
      <c r="AK20" s="103"/>
      <c r="AL20" s="103"/>
      <c r="AM20" s="103"/>
      <c r="AN20" s="103"/>
      <c r="AO20" s="103"/>
      <c r="AP20" s="102" t="s">
        <v>7</v>
      </c>
      <c r="AQ20" s="103"/>
      <c r="AR20" s="103"/>
      <c r="AS20" s="103"/>
      <c r="AT20" s="103"/>
      <c r="AU20" s="103"/>
      <c r="AV20" s="103"/>
      <c r="AW20" s="103"/>
      <c r="AX20" s="103"/>
      <c r="AY20" s="103"/>
      <c r="AZ20" s="103"/>
      <c r="BA20" s="103"/>
      <c r="BB20" s="103"/>
      <c r="BC20" s="102" t="s">
        <v>8</v>
      </c>
      <c r="BD20" s="103"/>
      <c r="BE20" s="103"/>
      <c r="BF20" s="103"/>
      <c r="BG20" s="103"/>
      <c r="BH20" s="103"/>
      <c r="BI20" s="103"/>
      <c r="BJ20" s="103"/>
      <c r="BK20" s="103"/>
      <c r="BL20" s="103"/>
      <c r="BM20" s="103"/>
      <c r="BN20" s="103"/>
      <c r="BO20" s="103"/>
      <c r="BP20" s="102" t="s">
        <v>9</v>
      </c>
      <c r="BQ20" s="103"/>
      <c r="BR20" s="103"/>
      <c r="BS20" s="103"/>
      <c r="BT20" s="103"/>
      <c r="BU20" s="103"/>
      <c r="BV20" s="103"/>
      <c r="BW20" s="103"/>
      <c r="BX20" s="103"/>
      <c r="BY20" s="103"/>
      <c r="BZ20" s="103"/>
      <c r="CA20" s="103"/>
      <c r="CB20" s="103"/>
      <c r="CC20" s="102" t="s">
        <v>10</v>
      </c>
      <c r="CD20" s="103"/>
      <c r="CE20" s="103"/>
      <c r="CF20" s="103"/>
      <c r="CG20" s="103"/>
      <c r="CH20" s="103"/>
      <c r="CI20" s="103"/>
      <c r="CJ20" s="103"/>
      <c r="CK20" s="103"/>
      <c r="CL20" s="103"/>
      <c r="CM20" s="103"/>
      <c r="CN20" s="103"/>
      <c r="CO20" s="103"/>
      <c r="CP20" s="102" t="s">
        <v>11</v>
      </c>
      <c r="CQ20" s="103"/>
      <c r="CR20" s="103"/>
      <c r="CS20" s="103"/>
      <c r="CT20" s="103"/>
      <c r="CU20" s="103"/>
      <c r="CV20" s="103"/>
      <c r="CW20" s="103"/>
      <c r="CX20" s="103"/>
      <c r="CY20" s="103"/>
      <c r="CZ20" s="103"/>
      <c r="DA20" s="103"/>
      <c r="DB20" s="103"/>
      <c r="DC20" s="102" t="s">
        <v>12</v>
      </c>
      <c r="DD20" s="103"/>
      <c r="DE20" s="103"/>
      <c r="DF20" s="103"/>
      <c r="DG20" s="103"/>
      <c r="DH20" s="103"/>
      <c r="DI20" s="103"/>
      <c r="DJ20" s="103"/>
      <c r="DK20" s="103"/>
      <c r="DL20" s="103"/>
      <c r="DM20" s="103"/>
      <c r="DN20" s="103"/>
      <c r="DO20" s="103"/>
      <c r="DP20" s="102" t="s">
        <v>13</v>
      </c>
      <c r="DQ20" s="103"/>
      <c r="DR20" s="103"/>
      <c r="DS20" s="103"/>
      <c r="DT20" s="103"/>
      <c r="DU20" s="103"/>
      <c r="DV20" s="103"/>
      <c r="DW20" s="103"/>
      <c r="DX20" s="103"/>
      <c r="DY20" s="103"/>
      <c r="DZ20" s="103"/>
      <c r="EA20" s="103"/>
      <c r="EB20" s="103"/>
      <c r="EC20" s="102" t="s">
        <v>14</v>
      </c>
      <c r="ED20" s="103"/>
      <c r="EE20" s="103"/>
      <c r="EF20" s="103"/>
      <c r="EG20" s="103"/>
      <c r="EH20" s="103"/>
      <c r="EI20" s="103"/>
      <c r="EJ20" s="103"/>
      <c r="EK20" s="103"/>
      <c r="EL20" s="103"/>
      <c r="EM20" s="103"/>
      <c r="EN20" s="103"/>
      <c r="EO20" s="103"/>
      <c r="EP20" s="102" t="s">
        <v>15</v>
      </c>
      <c r="EQ20" s="103"/>
      <c r="ER20" s="103"/>
      <c r="ES20" s="103"/>
      <c r="ET20" s="103"/>
      <c r="EU20" s="103"/>
      <c r="EV20" s="103"/>
      <c r="EW20" s="103"/>
      <c r="EX20" s="103"/>
      <c r="EY20" s="103"/>
      <c r="EZ20" s="103"/>
      <c r="FA20" s="103"/>
      <c r="FB20" s="103"/>
      <c r="FC20" s="102" t="s">
        <v>16</v>
      </c>
      <c r="FD20" s="103"/>
      <c r="FE20" s="103"/>
      <c r="FF20" s="103"/>
      <c r="FG20" s="103"/>
      <c r="FH20" s="103"/>
      <c r="FI20" s="103"/>
      <c r="FJ20" s="103"/>
      <c r="FK20" s="103"/>
      <c r="FL20" s="103"/>
      <c r="FM20" s="103"/>
      <c r="FN20" s="103"/>
      <c r="FO20" s="103"/>
    </row>
    <row r="21" spans="1:171" ht="27.75" customHeight="1">
      <c r="A21" s="10"/>
      <c r="B21" s="15" t="s">
        <v>17</v>
      </c>
      <c r="C21" s="16" t="s">
        <v>18</v>
      </c>
      <c r="D21" s="16" t="s">
        <v>19</v>
      </c>
      <c r="E21" s="16" t="s">
        <v>20</v>
      </c>
      <c r="F21" s="16" t="s">
        <v>21</v>
      </c>
      <c r="G21" s="16" t="s">
        <v>22</v>
      </c>
      <c r="H21" s="16" t="s">
        <v>23</v>
      </c>
      <c r="I21" s="16" t="s">
        <v>24</v>
      </c>
      <c r="J21" s="16" t="s">
        <v>25</v>
      </c>
      <c r="K21" s="16" t="s">
        <v>26</v>
      </c>
      <c r="L21" s="16" t="s">
        <v>27</v>
      </c>
      <c r="M21" s="16" t="s">
        <v>28</v>
      </c>
      <c r="N21" s="16" t="s">
        <v>29</v>
      </c>
      <c r="O21" s="16" t="s">
        <v>30</v>
      </c>
      <c r="P21" s="16" t="s">
        <v>18</v>
      </c>
      <c r="Q21" s="16" t="s">
        <v>19</v>
      </c>
      <c r="R21" s="16" t="s">
        <v>20</v>
      </c>
      <c r="S21" s="16" t="s">
        <v>21</v>
      </c>
      <c r="T21" s="16" t="s">
        <v>22</v>
      </c>
      <c r="U21" s="16" t="s">
        <v>23</v>
      </c>
      <c r="V21" s="16" t="s">
        <v>24</v>
      </c>
      <c r="W21" s="16" t="s">
        <v>25</v>
      </c>
      <c r="X21" s="16" t="s">
        <v>26</v>
      </c>
      <c r="Y21" s="16" t="s">
        <v>27</v>
      </c>
      <c r="Z21" s="16" t="s">
        <v>28</v>
      </c>
      <c r="AA21" s="16" t="s">
        <v>29</v>
      </c>
      <c r="AB21" s="16" t="s">
        <v>31</v>
      </c>
      <c r="AC21" s="16" t="s">
        <v>18</v>
      </c>
      <c r="AD21" s="16" t="s">
        <v>19</v>
      </c>
      <c r="AE21" s="16" t="s">
        <v>20</v>
      </c>
      <c r="AF21" s="16" t="s">
        <v>21</v>
      </c>
      <c r="AG21" s="16" t="s">
        <v>22</v>
      </c>
      <c r="AH21" s="16" t="s">
        <v>23</v>
      </c>
      <c r="AI21" s="16" t="s">
        <v>24</v>
      </c>
      <c r="AJ21" s="16" t="s">
        <v>25</v>
      </c>
      <c r="AK21" s="16" t="s">
        <v>26</v>
      </c>
      <c r="AL21" s="16" t="s">
        <v>27</v>
      </c>
      <c r="AM21" s="16" t="s">
        <v>28</v>
      </c>
      <c r="AN21" s="16" t="s">
        <v>29</v>
      </c>
      <c r="AO21" s="16" t="s">
        <v>32</v>
      </c>
      <c r="AP21" s="16" t="s">
        <v>18</v>
      </c>
      <c r="AQ21" s="16" t="s">
        <v>19</v>
      </c>
      <c r="AR21" s="16" t="s">
        <v>20</v>
      </c>
      <c r="AS21" s="16" t="s">
        <v>21</v>
      </c>
      <c r="AT21" s="16" t="s">
        <v>22</v>
      </c>
      <c r="AU21" s="16" t="s">
        <v>23</v>
      </c>
      <c r="AV21" s="16" t="s">
        <v>24</v>
      </c>
      <c r="AW21" s="16" t="s">
        <v>25</v>
      </c>
      <c r="AX21" s="16" t="s">
        <v>26</v>
      </c>
      <c r="AY21" s="16" t="s">
        <v>27</v>
      </c>
      <c r="AZ21" s="16" t="s">
        <v>28</v>
      </c>
      <c r="BA21" s="16" t="s">
        <v>29</v>
      </c>
      <c r="BB21" s="16" t="s">
        <v>33</v>
      </c>
      <c r="BC21" s="16" t="s">
        <v>18</v>
      </c>
      <c r="BD21" s="16" t="s">
        <v>19</v>
      </c>
      <c r="BE21" s="16" t="s">
        <v>20</v>
      </c>
      <c r="BF21" s="16" t="s">
        <v>21</v>
      </c>
      <c r="BG21" s="16" t="s">
        <v>22</v>
      </c>
      <c r="BH21" s="16" t="s">
        <v>23</v>
      </c>
      <c r="BI21" s="16" t="s">
        <v>24</v>
      </c>
      <c r="BJ21" s="16" t="s">
        <v>25</v>
      </c>
      <c r="BK21" s="16" t="s">
        <v>26</v>
      </c>
      <c r="BL21" s="16" t="s">
        <v>27</v>
      </c>
      <c r="BM21" s="16" t="s">
        <v>28</v>
      </c>
      <c r="BN21" s="16" t="s">
        <v>29</v>
      </c>
      <c r="BO21" s="16" t="s">
        <v>34</v>
      </c>
      <c r="BP21" s="16" t="s">
        <v>18</v>
      </c>
      <c r="BQ21" s="16" t="s">
        <v>19</v>
      </c>
      <c r="BR21" s="16" t="s">
        <v>20</v>
      </c>
      <c r="BS21" s="16" t="s">
        <v>21</v>
      </c>
      <c r="BT21" s="16" t="s">
        <v>22</v>
      </c>
      <c r="BU21" s="16" t="s">
        <v>23</v>
      </c>
      <c r="BV21" s="16" t="s">
        <v>24</v>
      </c>
      <c r="BW21" s="16" t="s">
        <v>25</v>
      </c>
      <c r="BX21" s="16" t="s">
        <v>26</v>
      </c>
      <c r="BY21" s="16" t="s">
        <v>27</v>
      </c>
      <c r="BZ21" s="16" t="s">
        <v>28</v>
      </c>
      <c r="CA21" s="16" t="s">
        <v>29</v>
      </c>
      <c r="CB21" s="16" t="s">
        <v>35</v>
      </c>
      <c r="CC21" s="16" t="s">
        <v>18</v>
      </c>
      <c r="CD21" s="16" t="s">
        <v>19</v>
      </c>
      <c r="CE21" s="16" t="s">
        <v>20</v>
      </c>
      <c r="CF21" s="16" t="s">
        <v>21</v>
      </c>
      <c r="CG21" s="16" t="s">
        <v>22</v>
      </c>
      <c r="CH21" s="16" t="s">
        <v>23</v>
      </c>
      <c r="CI21" s="16" t="s">
        <v>24</v>
      </c>
      <c r="CJ21" s="16" t="s">
        <v>25</v>
      </c>
      <c r="CK21" s="16" t="s">
        <v>26</v>
      </c>
      <c r="CL21" s="16" t="s">
        <v>27</v>
      </c>
      <c r="CM21" s="16" t="s">
        <v>28</v>
      </c>
      <c r="CN21" s="16" t="s">
        <v>29</v>
      </c>
      <c r="CO21" s="16" t="s">
        <v>36</v>
      </c>
      <c r="CP21" s="16" t="s">
        <v>18</v>
      </c>
      <c r="CQ21" s="16" t="s">
        <v>19</v>
      </c>
      <c r="CR21" s="16" t="s">
        <v>20</v>
      </c>
      <c r="CS21" s="16" t="s">
        <v>21</v>
      </c>
      <c r="CT21" s="16" t="s">
        <v>22</v>
      </c>
      <c r="CU21" s="16" t="s">
        <v>23</v>
      </c>
      <c r="CV21" s="16" t="s">
        <v>24</v>
      </c>
      <c r="CW21" s="16" t="s">
        <v>25</v>
      </c>
      <c r="CX21" s="16" t="s">
        <v>26</v>
      </c>
      <c r="CY21" s="16" t="s">
        <v>27</v>
      </c>
      <c r="CZ21" s="16" t="s">
        <v>28</v>
      </c>
      <c r="DA21" s="16" t="s">
        <v>29</v>
      </c>
      <c r="DB21" s="16" t="s">
        <v>37</v>
      </c>
      <c r="DC21" s="16" t="s">
        <v>18</v>
      </c>
      <c r="DD21" s="16" t="s">
        <v>19</v>
      </c>
      <c r="DE21" s="16" t="s">
        <v>20</v>
      </c>
      <c r="DF21" s="16" t="s">
        <v>21</v>
      </c>
      <c r="DG21" s="16" t="s">
        <v>22</v>
      </c>
      <c r="DH21" s="16" t="s">
        <v>23</v>
      </c>
      <c r="DI21" s="16" t="s">
        <v>24</v>
      </c>
      <c r="DJ21" s="16" t="s">
        <v>25</v>
      </c>
      <c r="DK21" s="16" t="s">
        <v>26</v>
      </c>
      <c r="DL21" s="16" t="s">
        <v>27</v>
      </c>
      <c r="DM21" s="16" t="s">
        <v>28</v>
      </c>
      <c r="DN21" s="16" t="s">
        <v>29</v>
      </c>
      <c r="DO21" s="16" t="s">
        <v>38</v>
      </c>
      <c r="DP21" s="16" t="s">
        <v>18</v>
      </c>
      <c r="DQ21" s="16" t="s">
        <v>19</v>
      </c>
      <c r="DR21" s="16" t="s">
        <v>20</v>
      </c>
      <c r="DS21" s="16" t="s">
        <v>21</v>
      </c>
      <c r="DT21" s="16" t="s">
        <v>22</v>
      </c>
      <c r="DU21" s="16" t="s">
        <v>23</v>
      </c>
      <c r="DV21" s="16" t="s">
        <v>24</v>
      </c>
      <c r="DW21" s="16" t="s">
        <v>25</v>
      </c>
      <c r="DX21" s="16" t="s">
        <v>26</v>
      </c>
      <c r="DY21" s="16" t="s">
        <v>27</v>
      </c>
      <c r="DZ21" s="16" t="s">
        <v>28</v>
      </c>
      <c r="EA21" s="16" t="s">
        <v>29</v>
      </c>
      <c r="EB21" s="16" t="s">
        <v>39</v>
      </c>
      <c r="EC21" s="16" t="s">
        <v>18</v>
      </c>
      <c r="ED21" s="16" t="s">
        <v>19</v>
      </c>
      <c r="EE21" s="16" t="s">
        <v>20</v>
      </c>
      <c r="EF21" s="16" t="s">
        <v>21</v>
      </c>
      <c r="EG21" s="16" t="s">
        <v>22</v>
      </c>
      <c r="EH21" s="16" t="s">
        <v>23</v>
      </c>
      <c r="EI21" s="16" t="s">
        <v>24</v>
      </c>
      <c r="EJ21" s="16" t="s">
        <v>25</v>
      </c>
      <c r="EK21" s="16" t="s">
        <v>26</v>
      </c>
      <c r="EL21" s="16" t="s">
        <v>27</v>
      </c>
      <c r="EM21" s="16" t="s">
        <v>28</v>
      </c>
      <c r="EN21" s="16" t="s">
        <v>29</v>
      </c>
      <c r="EO21" s="16" t="s">
        <v>40</v>
      </c>
      <c r="EP21" s="16" t="s">
        <v>18</v>
      </c>
      <c r="EQ21" s="16" t="s">
        <v>19</v>
      </c>
      <c r="ER21" s="16" t="s">
        <v>20</v>
      </c>
      <c r="ES21" s="16" t="s">
        <v>21</v>
      </c>
      <c r="ET21" s="16" t="s">
        <v>22</v>
      </c>
      <c r="EU21" s="16" t="s">
        <v>23</v>
      </c>
      <c r="EV21" s="16" t="s">
        <v>24</v>
      </c>
      <c r="EW21" s="16" t="s">
        <v>25</v>
      </c>
      <c r="EX21" s="16" t="s">
        <v>26</v>
      </c>
      <c r="EY21" s="16" t="s">
        <v>27</v>
      </c>
      <c r="EZ21" s="16" t="s">
        <v>28</v>
      </c>
      <c r="FA21" s="16" t="s">
        <v>29</v>
      </c>
      <c r="FB21" s="16" t="s">
        <v>41</v>
      </c>
      <c r="FC21" s="16" t="s">
        <v>18</v>
      </c>
      <c r="FD21" s="16" t="s">
        <v>19</v>
      </c>
      <c r="FE21" s="16" t="s">
        <v>20</v>
      </c>
      <c r="FF21" s="16" t="s">
        <v>21</v>
      </c>
      <c r="FG21" s="16" t="s">
        <v>22</v>
      </c>
      <c r="FH21" s="16" t="s">
        <v>23</v>
      </c>
      <c r="FI21" s="16" t="s">
        <v>24</v>
      </c>
      <c r="FJ21" s="16" t="s">
        <v>25</v>
      </c>
      <c r="FK21" s="16" t="s">
        <v>26</v>
      </c>
      <c r="FL21" s="16" t="s">
        <v>27</v>
      </c>
      <c r="FM21" s="16" t="s">
        <v>28</v>
      </c>
      <c r="FN21" s="16" t="s">
        <v>29</v>
      </c>
      <c r="FO21" s="16" t="s">
        <v>42</v>
      </c>
    </row>
    <row r="22" spans="1:171" ht="27.75" customHeight="1">
      <c r="A22" s="10"/>
      <c r="B22" s="19" t="s">
        <v>43</v>
      </c>
      <c r="C22" s="20">
        <v>806907228</v>
      </c>
      <c r="D22" s="20">
        <v>806907228</v>
      </c>
      <c r="E22" s="20">
        <v>797207228</v>
      </c>
      <c r="F22" s="20">
        <v>797207228</v>
      </c>
      <c r="G22" s="20">
        <v>799193228</v>
      </c>
      <c r="H22" s="20">
        <v>801043262</v>
      </c>
      <c r="I22" s="20">
        <v>797883262</v>
      </c>
      <c r="J22" s="20">
        <v>817043262</v>
      </c>
      <c r="K22" s="20">
        <v>818043262</v>
      </c>
      <c r="L22" s="20">
        <v>842704970</v>
      </c>
      <c r="M22" s="20">
        <v>843143806</v>
      </c>
      <c r="N22" s="20">
        <v>853032416</v>
      </c>
      <c r="O22" s="20">
        <f t="shared" ref="O22:O27" si="31">N22</f>
        <v>853032416</v>
      </c>
      <c r="P22" s="20">
        <v>957407656</v>
      </c>
      <c r="Q22" s="20">
        <v>958801347</v>
      </c>
      <c r="R22" s="20">
        <v>952446725</v>
      </c>
      <c r="S22" s="20">
        <v>944486725</v>
      </c>
      <c r="T22" s="20">
        <v>948962726</v>
      </c>
      <c r="U22" s="20">
        <v>949105726</v>
      </c>
      <c r="V22" s="20">
        <v>949005726</v>
      </c>
      <c r="W22" s="20">
        <v>949071698</v>
      </c>
      <c r="X22" s="20">
        <v>949071698</v>
      </c>
      <c r="Y22" s="20">
        <v>949071698</v>
      </c>
      <c r="Z22" s="20">
        <v>978416698</v>
      </c>
      <c r="AA22" s="20">
        <v>978378698</v>
      </c>
      <c r="AB22" s="20">
        <f t="shared" ref="AB22:AB27" si="32">AA22</f>
        <v>978378698</v>
      </c>
      <c r="AC22" s="20">
        <v>937156766</v>
      </c>
      <c r="AD22" s="20">
        <v>930976766</v>
      </c>
      <c r="AE22" s="20">
        <v>939666557</v>
      </c>
      <c r="AF22" s="20">
        <v>937705385</v>
      </c>
      <c r="AG22" s="20">
        <v>937705385</v>
      </c>
      <c r="AH22" s="20">
        <v>937166385</v>
      </c>
      <c r="AI22" s="20">
        <v>937166385</v>
      </c>
      <c r="AJ22" s="20">
        <v>937166385</v>
      </c>
      <c r="AK22" s="20">
        <v>937166385</v>
      </c>
      <c r="AL22" s="20">
        <v>937166385</v>
      </c>
      <c r="AM22" s="20">
        <v>937073385</v>
      </c>
      <c r="AN22" s="20">
        <v>940884842</v>
      </c>
      <c r="AO22" s="20">
        <f t="shared" ref="AO22:AO27" si="33">AN22</f>
        <v>940884842</v>
      </c>
      <c r="AP22" s="20">
        <v>982538421</v>
      </c>
      <c r="AQ22" s="20">
        <v>982538421</v>
      </c>
      <c r="AR22" s="20">
        <v>982260421</v>
      </c>
      <c r="AS22" s="20">
        <v>982260421</v>
      </c>
      <c r="AT22" s="20">
        <v>982060421</v>
      </c>
      <c r="AU22" s="20">
        <v>963745421</v>
      </c>
      <c r="AV22" s="20">
        <v>963304221</v>
      </c>
      <c r="AW22" s="20">
        <v>951169721</v>
      </c>
      <c r="AX22" s="20">
        <v>951169721</v>
      </c>
      <c r="AY22" s="20">
        <v>934145882</v>
      </c>
      <c r="AZ22" s="20">
        <v>931388882</v>
      </c>
      <c r="BA22" s="20">
        <v>909483945</v>
      </c>
      <c r="BB22" s="20">
        <f t="shared" ref="BB22:BB27" si="34">BA22</f>
        <v>909483945</v>
      </c>
      <c r="BC22" s="20">
        <v>998447263</v>
      </c>
      <c r="BD22" s="20">
        <v>998447263</v>
      </c>
      <c r="BE22" s="20">
        <v>992502179</v>
      </c>
      <c r="BF22" s="20">
        <v>997730439</v>
      </c>
      <c r="BG22" s="20">
        <v>997415248</v>
      </c>
      <c r="BH22" s="20">
        <v>989715248</v>
      </c>
      <c r="BI22" s="20">
        <v>987815248</v>
      </c>
      <c r="BJ22" s="20">
        <v>987280248</v>
      </c>
      <c r="BK22" s="20">
        <v>987280248</v>
      </c>
      <c r="BL22" s="20">
        <v>987265248</v>
      </c>
      <c r="BM22" s="20">
        <v>986833548</v>
      </c>
      <c r="BN22" s="20">
        <v>903724337</v>
      </c>
      <c r="BO22" s="20">
        <f t="shared" ref="BO22:BO27" si="35">BN22</f>
        <v>903724337</v>
      </c>
      <c r="BP22" s="20">
        <v>1056398949</v>
      </c>
      <c r="BQ22" s="20">
        <v>1056398949</v>
      </c>
      <c r="BR22" s="20">
        <v>1056398949</v>
      </c>
      <c r="BS22" s="20">
        <v>1061857019</v>
      </c>
      <c r="BT22" s="20">
        <v>1066368519</v>
      </c>
      <c r="BU22" s="20">
        <v>1061536519</v>
      </c>
      <c r="BV22" s="20">
        <v>1061502269</v>
      </c>
      <c r="BW22" s="20">
        <v>1074213648</v>
      </c>
      <c r="BX22" s="20">
        <v>1085679831</v>
      </c>
      <c r="BY22" s="20">
        <v>1085679831</v>
      </c>
      <c r="BZ22" s="20">
        <v>1085679831</v>
      </c>
      <c r="CA22" s="20">
        <v>1085267877</v>
      </c>
      <c r="CB22" s="20">
        <f t="shared" ref="CB22:CB27" si="36">CA22</f>
        <v>1085267877</v>
      </c>
      <c r="CC22" s="20">
        <v>1148358839</v>
      </c>
      <c r="CD22" s="20">
        <v>1151054581</v>
      </c>
      <c r="CE22" s="20">
        <v>1248782581</v>
      </c>
      <c r="CF22" s="20">
        <v>1248782581</v>
      </c>
      <c r="CG22" s="20">
        <v>1216917979</v>
      </c>
      <c r="CH22" s="20">
        <v>1216917979</v>
      </c>
      <c r="CI22" s="20">
        <v>1216383979</v>
      </c>
      <c r="CJ22" s="20">
        <v>1216383979</v>
      </c>
      <c r="CK22" s="20">
        <v>1216383979</v>
      </c>
      <c r="CL22" s="20">
        <v>1197726086</v>
      </c>
      <c r="CM22" s="20">
        <v>1197588086</v>
      </c>
      <c r="CN22" s="20">
        <v>961564167</v>
      </c>
      <c r="CO22" s="20">
        <f t="shared" ref="CO22:CO27" si="37">CN22</f>
        <v>961564167</v>
      </c>
      <c r="CP22" s="20">
        <v>1224421462</v>
      </c>
      <c r="CQ22" s="20">
        <v>1224421462</v>
      </c>
      <c r="CR22" s="20">
        <v>1139453884</v>
      </c>
      <c r="CS22" s="20">
        <v>1067186833</v>
      </c>
      <c r="CT22" s="20">
        <v>1048239333</v>
      </c>
      <c r="CU22" s="20">
        <v>1048217333</v>
      </c>
      <c r="CV22" s="20">
        <v>1048217333</v>
      </c>
      <c r="CW22" s="20">
        <v>1048116163</v>
      </c>
      <c r="CX22" s="20">
        <v>1048116163</v>
      </c>
      <c r="CY22" s="20">
        <v>1035718353</v>
      </c>
      <c r="CZ22" s="20">
        <v>1035625353</v>
      </c>
      <c r="DA22" s="20">
        <f>991797481+130932798</f>
        <v>1122730279</v>
      </c>
      <c r="DB22" s="20">
        <f t="shared" ref="DB22:DB27" si="38">DA22</f>
        <v>1122730279</v>
      </c>
      <c r="DC22" s="20">
        <v>1220635546</v>
      </c>
      <c r="DD22" s="20">
        <v>1220635546</v>
      </c>
      <c r="DE22" s="20">
        <v>1220279119</v>
      </c>
      <c r="DF22" s="20">
        <v>1220279119</v>
      </c>
      <c r="DG22" s="20">
        <v>1218682119</v>
      </c>
      <c r="DH22" s="20">
        <v>1218249119</v>
      </c>
      <c r="DI22" s="20">
        <v>1092879968</v>
      </c>
      <c r="DJ22" s="20">
        <v>1092879968</v>
      </c>
      <c r="DK22" s="20">
        <v>1082339533</v>
      </c>
      <c r="DL22" s="20">
        <v>1082339533</v>
      </c>
      <c r="DM22" s="20">
        <v>1081913803</v>
      </c>
      <c r="DN22" s="20">
        <v>967670999</v>
      </c>
      <c r="DO22" s="20">
        <f t="shared" ref="DO22:DO27" si="39">DN22</f>
        <v>967670999</v>
      </c>
      <c r="DP22" s="20">
        <v>1913855137</v>
      </c>
      <c r="DQ22" s="20">
        <v>1913855137</v>
      </c>
      <c r="DR22" s="20">
        <v>1913855137</v>
      </c>
      <c r="DS22" s="20">
        <v>1893896951</v>
      </c>
      <c r="DT22" s="20">
        <v>1850161211</v>
      </c>
      <c r="DU22" s="20">
        <v>1774161211</v>
      </c>
      <c r="DV22" s="20">
        <v>1774161211</v>
      </c>
      <c r="DW22" s="20">
        <v>1623406641</v>
      </c>
      <c r="DX22" s="20">
        <v>1620225968</v>
      </c>
      <c r="DY22" s="20">
        <v>1542961468</v>
      </c>
      <c r="DZ22" s="20">
        <v>1542961468</v>
      </c>
      <c r="EA22" s="20">
        <v>1427470479</v>
      </c>
      <c r="EB22" s="20">
        <f t="shared" ref="EB22:EB27" si="40">EA22</f>
        <v>1427470479</v>
      </c>
      <c r="EC22" s="20">
        <v>2012684680</v>
      </c>
      <c r="ED22" s="20">
        <v>2012684680</v>
      </c>
      <c r="EE22" s="20">
        <v>1959842560</v>
      </c>
      <c r="EF22" s="20">
        <v>1959842560</v>
      </c>
      <c r="EG22" s="20">
        <v>1959505267</v>
      </c>
      <c r="EH22" s="20">
        <v>1939427267</v>
      </c>
      <c r="EI22" s="20">
        <v>1939427267</v>
      </c>
      <c r="EJ22" s="20">
        <v>1938757501</v>
      </c>
      <c r="EK22" s="20">
        <v>1937457501</v>
      </c>
      <c r="EL22" s="20">
        <v>1929646738</v>
      </c>
      <c r="EM22" s="20">
        <v>1891922336</v>
      </c>
      <c r="EN22" s="20">
        <v>1608652526</v>
      </c>
      <c r="EO22" s="20">
        <f t="shared" ref="EO22:EO27" si="41">EN22</f>
        <v>1608652526</v>
      </c>
      <c r="EP22" s="20">
        <v>2083103023</v>
      </c>
      <c r="EQ22" s="20">
        <v>2083103023</v>
      </c>
      <c r="ER22" s="20">
        <v>2068572694</v>
      </c>
      <c r="ES22" s="20">
        <v>2068438694</v>
      </c>
      <c r="ET22" s="20">
        <v>2067139640</v>
      </c>
      <c r="EU22" s="20">
        <v>1962984489</v>
      </c>
      <c r="EV22" s="20">
        <v>1968056577</v>
      </c>
      <c r="EW22" s="20">
        <v>1968056577</v>
      </c>
      <c r="EX22" s="20">
        <v>1968056577</v>
      </c>
      <c r="EY22" s="20">
        <v>1968056577</v>
      </c>
      <c r="EZ22" s="20">
        <v>1968056577</v>
      </c>
      <c r="FA22" s="20">
        <v>1976677470</v>
      </c>
      <c r="FB22" s="20">
        <f t="shared" ref="FB22:FB27" si="42">FA22</f>
        <v>1976677470</v>
      </c>
      <c r="FC22" s="20">
        <v>1951485600</v>
      </c>
      <c r="FD22" s="20">
        <v>1951485600</v>
      </c>
      <c r="FE22" s="20">
        <v>1905464563</v>
      </c>
      <c r="FF22" s="20">
        <v>1905464563</v>
      </c>
      <c r="FG22" s="20">
        <v>1817932962</v>
      </c>
      <c r="FH22" s="20">
        <v>1801311962</v>
      </c>
      <c r="FI22" s="20">
        <v>1801311962</v>
      </c>
      <c r="FJ22" s="10"/>
      <c r="FK22" s="10"/>
      <c r="FL22" s="10"/>
      <c r="FM22" s="10"/>
      <c r="FN22" s="10"/>
      <c r="FO22" s="20">
        <f t="shared" ref="FO22:FO27" si="43">FI22</f>
        <v>1801311962</v>
      </c>
    </row>
    <row r="23" spans="1:171" ht="27.75" customHeight="1">
      <c r="A23" s="10"/>
      <c r="B23" s="19" t="s">
        <v>44</v>
      </c>
      <c r="C23" s="20">
        <v>101236706</v>
      </c>
      <c r="D23" s="20">
        <v>101236706</v>
      </c>
      <c r="E23" s="20">
        <v>101236706</v>
      </c>
      <c r="F23" s="20">
        <v>101236706</v>
      </c>
      <c r="G23" s="20">
        <v>101236706</v>
      </c>
      <c r="H23" s="20">
        <v>101236706</v>
      </c>
      <c r="I23" s="20">
        <v>101236706</v>
      </c>
      <c r="J23" s="20">
        <v>101236706</v>
      </c>
      <c r="K23" s="20">
        <v>101236706</v>
      </c>
      <c r="L23" s="20">
        <v>104448787</v>
      </c>
      <c r="M23" s="20">
        <v>104448787</v>
      </c>
      <c r="N23" s="20">
        <v>105052138</v>
      </c>
      <c r="O23" s="20">
        <f t="shared" si="31"/>
        <v>105052138</v>
      </c>
      <c r="P23" s="20">
        <v>117398169</v>
      </c>
      <c r="Q23" s="20">
        <v>117398169</v>
      </c>
      <c r="R23" s="20">
        <v>117398169</v>
      </c>
      <c r="S23" s="20">
        <v>117398169</v>
      </c>
      <c r="T23" s="20">
        <v>117398169</v>
      </c>
      <c r="U23" s="20">
        <v>119398169</v>
      </c>
      <c r="V23" s="20">
        <v>119398169</v>
      </c>
      <c r="W23" s="20">
        <v>119398169</v>
      </c>
      <c r="X23" s="20">
        <v>119398169</v>
      </c>
      <c r="Y23" s="20">
        <v>126602707</v>
      </c>
      <c r="Z23" s="20">
        <v>126602707</v>
      </c>
      <c r="AA23" s="20">
        <v>127586435</v>
      </c>
      <c r="AB23" s="20">
        <f t="shared" si="32"/>
        <v>127586435</v>
      </c>
      <c r="AC23" s="20">
        <v>127292924</v>
      </c>
      <c r="AD23" s="20">
        <v>127292924</v>
      </c>
      <c r="AE23" s="20">
        <v>127292924</v>
      </c>
      <c r="AF23" s="20">
        <v>127292924</v>
      </c>
      <c r="AG23" s="20">
        <v>127292924</v>
      </c>
      <c r="AH23" s="20">
        <v>127292924</v>
      </c>
      <c r="AI23" s="20">
        <v>127292924</v>
      </c>
      <c r="AJ23" s="20">
        <v>127292924</v>
      </c>
      <c r="AK23" s="20">
        <v>127292924</v>
      </c>
      <c r="AL23" s="20">
        <v>127292924</v>
      </c>
      <c r="AM23" s="20">
        <v>127292924</v>
      </c>
      <c r="AN23" s="20">
        <v>125791938</v>
      </c>
      <c r="AO23" s="20">
        <f t="shared" si="33"/>
        <v>125791938</v>
      </c>
      <c r="AP23" s="20">
        <v>121635713</v>
      </c>
      <c r="AQ23" s="20">
        <v>121635713</v>
      </c>
      <c r="AR23" s="20">
        <v>121635713</v>
      </c>
      <c r="AS23" s="20">
        <v>121635713</v>
      </c>
      <c r="AT23" s="20">
        <v>121635713</v>
      </c>
      <c r="AU23" s="20">
        <v>129989213</v>
      </c>
      <c r="AV23" s="20">
        <v>129989213</v>
      </c>
      <c r="AW23" s="20">
        <v>141642213</v>
      </c>
      <c r="AX23" s="20">
        <v>141642213</v>
      </c>
      <c r="AY23" s="20">
        <v>147144690</v>
      </c>
      <c r="AZ23" s="20">
        <v>147144690</v>
      </c>
      <c r="BA23" s="20">
        <v>146472297</v>
      </c>
      <c r="BB23" s="20">
        <f t="shared" si="34"/>
        <v>146472297</v>
      </c>
      <c r="BC23" s="20">
        <v>119785354</v>
      </c>
      <c r="BD23" s="20">
        <v>119785354</v>
      </c>
      <c r="BE23" s="20">
        <v>119835354</v>
      </c>
      <c r="BF23" s="20">
        <v>119835354</v>
      </c>
      <c r="BG23" s="20">
        <v>119835354</v>
      </c>
      <c r="BH23" s="20">
        <v>119835354</v>
      </c>
      <c r="BI23" s="20">
        <v>119601854</v>
      </c>
      <c r="BJ23" s="20">
        <v>119601854</v>
      </c>
      <c r="BK23" s="20">
        <v>121911854</v>
      </c>
      <c r="BL23" s="20">
        <v>125699985</v>
      </c>
      <c r="BM23" s="20">
        <v>125699985</v>
      </c>
      <c r="BN23" s="20">
        <v>120161746</v>
      </c>
      <c r="BO23" s="20">
        <f t="shared" si="35"/>
        <v>120161746</v>
      </c>
      <c r="BP23" s="20">
        <v>129182602</v>
      </c>
      <c r="BQ23" s="20">
        <v>129182602</v>
      </c>
      <c r="BR23" s="20">
        <v>129182602</v>
      </c>
      <c r="BS23" s="20">
        <v>129182602</v>
      </c>
      <c r="BT23" s="20">
        <v>129182602</v>
      </c>
      <c r="BU23" s="20">
        <v>129182602</v>
      </c>
      <c r="BV23" s="20">
        <v>129182602</v>
      </c>
      <c r="BW23" s="20">
        <v>131234832</v>
      </c>
      <c r="BX23" s="20">
        <v>140899926</v>
      </c>
      <c r="BY23" s="20">
        <v>140899926</v>
      </c>
      <c r="BZ23" s="20">
        <v>140899926</v>
      </c>
      <c r="CA23" s="20">
        <v>138342165</v>
      </c>
      <c r="CB23" s="20">
        <f t="shared" si="36"/>
        <v>138342165</v>
      </c>
      <c r="CC23" s="20">
        <v>137671350</v>
      </c>
      <c r="CD23" s="20">
        <v>137671350</v>
      </c>
      <c r="CE23" s="20">
        <v>152971350</v>
      </c>
      <c r="CF23" s="20">
        <v>152971350</v>
      </c>
      <c r="CG23" s="20">
        <v>143861214</v>
      </c>
      <c r="CH23" s="20">
        <v>143861214</v>
      </c>
      <c r="CI23" s="20">
        <v>143861214</v>
      </c>
      <c r="CJ23" s="20">
        <v>143861214</v>
      </c>
      <c r="CK23" s="20">
        <v>143861214</v>
      </c>
      <c r="CL23" s="20">
        <v>143861214</v>
      </c>
      <c r="CM23" s="20">
        <v>143861214</v>
      </c>
      <c r="CN23" s="20">
        <v>141821958</v>
      </c>
      <c r="CO23" s="20">
        <f t="shared" si="37"/>
        <v>141821958</v>
      </c>
      <c r="CP23" s="20">
        <v>140801596</v>
      </c>
      <c r="CQ23" s="20">
        <v>140801596</v>
      </c>
      <c r="CR23" s="20">
        <v>140801596</v>
      </c>
      <c r="CS23" s="20">
        <v>140801596</v>
      </c>
      <c r="CT23" s="20">
        <v>133918279</v>
      </c>
      <c r="CU23" s="20">
        <v>133918279</v>
      </c>
      <c r="CV23" s="20">
        <v>133918279</v>
      </c>
      <c r="CW23" s="20">
        <v>133918279</v>
      </c>
      <c r="CX23" s="20">
        <v>133918279</v>
      </c>
      <c r="CY23" s="20">
        <v>133918279</v>
      </c>
      <c r="CZ23" s="20">
        <v>133918279</v>
      </c>
      <c r="DA23" s="20">
        <f>131504761+8520124</f>
        <v>140024885</v>
      </c>
      <c r="DB23" s="20">
        <f t="shared" si="38"/>
        <v>140024885</v>
      </c>
      <c r="DC23" s="20">
        <v>147022684</v>
      </c>
      <c r="DD23" s="20">
        <v>147022684</v>
      </c>
      <c r="DE23" s="20">
        <v>147022684</v>
      </c>
      <c r="DF23" s="20">
        <v>147022684</v>
      </c>
      <c r="DG23" s="20">
        <v>147022684</v>
      </c>
      <c r="DH23" s="20">
        <v>147022684</v>
      </c>
      <c r="DI23" s="20">
        <v>147022684</v>
      </c>
      <c r="DJ23" s="20">
        <v>146848818</v>
      </c>
      <c r="DK23" s="20">
        <v>144824178</v>
      </c>
      <c r="DL23" s="20">
        <v>130697780</v>
      </c>
      <c r="DM23" s="20">
        <v>130518293</v>
      </c>
      <c r="DN23" s="20">
        <v>129672445</v>
      </c>
      <c r="DO23" s="20">
        <f t="shared" si="39"/>
        <v>129672445</v>
      </c>
      <c r="DP23" s="20">
        <v>293591805</v>
      </c>
      <c r="DQ23" s="20">
        <v>293591805</v>
      </c>
      <c r="DR23" s="20">
        <v>293591805</v>
      </c>
      <c r="DS23" s="20">
        <v>293591805</v>
      </c>
      <c r="DT23" s="20">
        <v>293591805</v>
      </c>
      <c r="DU23" s="20">
        <v>255048822</v>
      </c>
      <c r="DV23" s="20">
        <v>219099761</v>
      </c>
      <c r="DW23" s="20">
        <v>212099761</v>
      </c>
      <c r="DX23" s="20">
        <v>212099761</v>
      </c>
      <c r="DY23" s="20">
        <v>212099761</v>
      </c>
      <c r="DZ23" s="20">
        <v>212099761</v>
      </c>
      <c r="EA23" s="20">
        <v>198709088</v>
      </c>
      <c r="EB23" s="20">
        <f t="shared" si="40"/>
        <v>198709088</v>
      </c>
      <c r="EC23" s="20">
        <v>295701947</v>
      </c>
      <c r="ED23" s="20">
        <v>295701947</v>
      </c>
      <c r="EE23" s="20">
        <v>278607232</v>
      </c>
      <c r="EF23" s="20">
        <v>278607232</v>
      </c>
      <c r="EG23" s="20">
        <v>278543079</v>
      </c>
      <c r="EH23" s="20">
        <v>278543079</v>
      </c>
      <c r="EI23" s="20">
        <v>278543079</v>
      </c>
      <c r="EJ23" s="20">
        <v>282942267</v>
      </c>
      <c r="EK23" s="20">
        <v>282942267</v>
      </c>
      <c r="EL23" s="20">
        <v>282942267</v>
      </c>
      <c r="EM23" s="20">
        <v>282942267</v>
      </c>
      <c r="EN23" s="20">
        <v>244313644</v>
      </c>
      <c r="EO23" s="20">
        <f t="shared" si="41"/>
        <v>244313644</v>
      </c>
      <c r="EP23" s="20">
        <v>308121429</v>
      </c>
      <c r="EQ23" s="20">
        <v>308121429</v>
      </c>
      <c r="ER23" s="20">
        <v>308121429</v>
      </c>
      <c r="ES23" s="20">
        <v>308121429</v>
      </c>
      <c r="ET23" s="20">
        <v>308121429</v>
      </c>
      <c r="EU23" s="20">
        <v>288121429</v>
      </c>
      <c r="EV23" s="20">
        <v>288121429</v>
      </c>
      <c r="EW23" s="20">
        <v>288121429</v>
      </c>
      <c r="EX23" s="20">
        <v>288121429</v>
      </c>
      <c r="EY23" s="20">
        <v>284126983</v>
      </c>
      <c r="EZ23" s="20">
        <v>284126983</v>
      </c>
      <c r="FA23" s="20">
        <v>255720965</v>
      </c>
      <c r="FB23" s="20">
        <f t="shared" si="42"/>
        <v>255720965</v>
      </c>
      <c r="FC23" s="20">
        <v>195906100</v>
      </c>
      <c r="FD23" s="20">
        <v>195906100</v>
      </c>
      <c r="FE23" s="20">
        <v>192119100</v>
      </c>
      <c r="FF23" s="20">
        <v>192119100</v>
      </c>
      <c r="FG23" s="20">
        <v>186241917</v>
      </c>
      <c r="FH23" s="20">
        <v>202307917</v>
      </c>
      <c r="FI23" s="20">
        <v>202307917</v>
      </c>
      <c r="FJ23" s="10"/>
      <c r="FK23" s="10"/>
      <c r="FL23" s="10"/>
      <c r="FM23" s="10"/>
      <c r="FN23" s="10"/>
      <c r="FO23" s="20">
        <f t="shared" si="43"/>
        <v>202307917</v>
      </c>
    </row>
    <row r="24" spans="1:171" ht="27.75" customHeight="1">
      <c r="A24" s="10"/>
      <c r="B24" s="19" t="s">
        <v>45</v>
      </c>
      <c r="C24" s="20">
        <v>49407947</v>
      </c>
      <c r="D24" s="20">
        <v>49407947</v>
      </c>
      <c r="E24" s="20">
        <v>49407947</v>
      </c>
      <c r="F24" s="20">
        <v>49407947</v>
      </c>
      <c r="G24" s="20">
        <v>49407947</v>
      </c>
      <c r="H24" s="20">
        <v>55507947</v>
      </c>
      <c r="I24" s="20">
        <v>55507947</v>
      </c>
      <c r="J24" s="20">
        <v>60507947</v>
      </c>
      <c r="K24" s="20">
        <v>60507947</v>
      </c>
      <c r="L24" s="20">
        <v>65278980</v>
      </c>
      <c r="M24" s="20">
        <v>65278980</v>
      </c>
      <c r="N24" s="20">
        <v>67579947</v>
      </c>
      <c r="O24" s="20">
        <f t="shared" si="31"/>
        <v>67579947</v>
      </c>
      <c r="P24" s="20">
        <v>68884752</v>
      </c>
      <c r="Q24" s="20">
        <v>68884752</v>
      </c>
      <c r="R24" s="20">
        <v>68884752</v>
      </c>
      <c r="S24" s="20">
        <v>68884752</v>
      </c>
      <c r="T24" s="20">
        <v>68884752</v>
      </c>
      <c r="U24" s="20">
        <v>85940845</v>
      </c>
      <c r="V24" s="20">
        <v>85940845</v>
      </c>
      <c r="W24" s="20">
        <v>87740845</v>
      </c>
      <c r="X24" s="20">
        <v>87740845</v>
      </c>
      <c r="Y24" s="20">
        <v>88355845</v>
      </c>
      <c r="Z24" s="20">
        <v>93717760</v>
      </c>
      <c r="AA24" s="20">
        <v>93689760</v>
      </c>
      <c r="AB24" s="20">
        <f t="shared" si="32"/>
        <v>93689760</v>
      </c>
      <c r="AC24" s="20">
        <v>71502372</v>
      </c>
      <c r="AD24" s="20">
        <v>71502372</v>
      </c>
      <c r="AE24" s="20">
        <v>71502372</v>
      </c>
      <c r="AF24" s="20">
        <v>71502372</v>
      </c>
      <c r="AG24" s="20">
        <v>71502372</v>
      </c>
      <c r="AH24" s="20">
        <v>71502372</v>
      </c>
      <c r="AI24" s="20">
        <v>71502372</v>
      </c>
      <c r="AJ24" s="20">
        <v>75002372</v>
      </c>
      <c r="AK24" s="20">
        <v>75002372</v>
      </c>
      <c r="AL24" s="20">
        <v>75002372</v>
      </c>
      <c r="AM24" s="20">
        <v>79147193</v>
      </c>
      <c r="AN24" s="20">
        <v>80579039</v>
      </c>
      <c r="AO24" s="20">
        <f t="shared" si="33"/>
        <v>80579039</v>
      </c>
      <c r="AP24" s="20">
        <v>89991483</v>
      </c>
      <c r="AQ24" s="20">
        <v>89991483</v>
      </c>
      <c r="AR24" s="20">
        <v>89991483</v>
      </c>
      <c r="AS24" s="20">
        <v>89991483</v>
      </c>
      <c r="AT24" s="20">
        <v>89991483</v>
      </c>
      <c r="AU24" s="20">
        <v>92696068</v>
      </c>
      <c r="AV24" s="20">
        <v>92696068</v>
      </c>
      <c r="AW24" s="20">
        <v>92696068</v>
      </c>
      <c r="AX24" s="20">
        <v>92696068</v>
      </c>
      <c r="AY24" s="20">
        <v>98217166</v>
      </c>
      <c r="AZ24" s="20">
        <v>98217166</v>
      </c>
      <c r="BA24" s="20">
        <v>100477231</v>
      </c>
      <c r="BB24" s="20">
        <f t="shared" si="34"/>
        <v>100477231</v>
      </c>
      <c r="BC24" s="20">
        <v>102433801</v>
      </c>
      <c r="BD24" s="20">
        <v>102433801</v>
      </c>
      <c r="BE24" s="20">
        <v>102433801</v>
      </c>
      <c r="BF24" s="20">
        <v>102433801</v>
      </c>
      <c r="BG24" s="20">
        <v>102433801</v>
      </c>
      <c r="BH24" s="20">
        <v>102433801</v>
      </c>
      <c r="BI24" s="20">
        <v>102433801</v>
      </c>
      <c r="BJ24" s="20">
        <v>102433801</v>
      </c>
      <c r="BK24" s="20">
        <v>102433801</v>
      </c>
      <c r="BL24" s="20">
        <v>106891813</v>
      </c>
      <c r="BM24" s="20">
        <v>106891813</v>
      </c>
      <c r="BN24" s="20">
        <v>102680557</v>
      </c>
      <c r="BO24" s="20">
        <f t="shared" si="35"/>
        <v>102680557</v>
      </c>
      <c r="BP24" s="20">
        <v>114691671</v>
      </c>
      <c r="BQ24" s="20">
        <v>114691671</v>
      </c>
      <c r="BR24" s="20">
        <v>114691671</v>
      </c>
      <c r="BS24" s="20">
        <v>114691671</v>
      </c>
      <c r="BT24" s="20">
        <v>114691671</v>
      </c>
      <c r="BU24" s="20">
        <v>114691671</v>
      </c>
      <c r="BV24" s="20">
        <v>114691671</v>
      </c>
      <c r="BW24" s="20">
        <v>123071862</v>
      </c>
      <c r="BX24" s="20">
        <v>118010898</v>
      </c>
      <c r="BY24" s="20">
        <v>118010898</v>
      </c>
      <c r="BZ24" s="20">
        <v>118010898</v>
      </c>
      <c r="CA24" s="20">
        <v>112674850</v>
      </c>
      <c r="CB24" s="20">
        <f t="shared" si="36"/>
        <v>112674850</v>
      </c>
      <c r="CC24" s="20">
        <v>135338654</v>
      </c>
      <c r="CD24" s="20">
        <v>135338654</v>
      </c>
      <c r="CE24" s="20">
        <v>135338654</v>
      </c>
      <c r="CF24" s="20">
        <v>158338654</v>
      </c>
      <c r="CG24" s="20">
        <v>155319586</v>
      </c>
      <c r="CH24" s="20">
        <v>155319586</v>
      </c>
      <c r="CI24" s="20">
        <v>155319586</v>
      </c>
      <c r="CJ24" s="20">
        <v>155319586</v>
      </c>
      <c r="CK24" s="20">
        <v>155319586</v>
      </c>
      <c r="CL24" s="20">
        <v>155319586</v>
      </c>
      <c r="CM24" s="20">
        <v>155319586</v>
      </c>
      <c r="CN24" s="20">
        <v>148506367</v>
      </c>
      <c r="CO24" s="20">
        <f t="shared" si="37"/>
        <v>148506367</v>
      </c>
      <c r="CP24" s="20">
        <v>142048072</v>
      </c>
      <c r="CQ24" s="20">
        <v>142048072</v>
      </c>
      <c r="CR24" s="20">
        <v>142048072</v>
      </c>
      <c r="CS24" s="20">
        <v>142048072</v>
      </c>
      <c r="CT24" s="20">
        <v>160995572</v>
      </c>
      <c r="CU24" s="20">
        <v>160995572</v>
      </c>
      <c r="CV24" s="20">
        <v>160995572</v>
      </c>
      <c r="CW24" s="20">
        <v>160995572</v>
      </c>
      <c r="CX24" s="20">
        <v>160995572</v>
      </c>
      <c r="CY24" s="20">
        <v>160995572</v>
      </c>
      <c r="CZ24" s="20">
        <v>160995572</v>
      </c>
      <c r="DA24" s="20">
        <f>142300803+21041416</f>
        <v>163342219</v>
      </c>
      <c r="DB24" s="20">
        <f t="shared" si="38"/>
        <v>163342219</v>
      </c>
      <c r="DC24" s="20">
        <v>148440561</v>
      </c>
      <c r="DD24" s="20">
        <v>148440561</v>
      </c>
      <c r="DE24" s="20">
        <v>148440561</v>
      </c>
      <c r="DF24" s="20">
        <v>148440561</v>
      </c>
      <c r="DG24" s="20">
        <v>148440561</v>
      </c>
      <c r="DH24" s="20">
        <v>148440561</v>
      </c>
      <c r="DI24" s="20">
        <v>148440561</v>
      </c>
      <c r="DJ24" s="20">
        <v>148440561</v>
      </c>
      <c r="DK24" s="20">
        <v>148440561</v>
      </c>
      <c r="DL24" s="20">
        <v>141404870</v>
      </c>
      <c r="DM24" s="20">
        <v>141404870</v>
      </c>
      <c r="DN24" s="20">
        <v>110932143</v>
      </c>
      <c r="DO24" s="20">
        <f t="shared" si="39"/>
        <v>110932143</v>
      </c>
      <c r="DP24" s="20">
        <v>295780655</v>
      </c>
      <c r="DQ24" s="20">
        <v>295780655</v>
      </c>
      <c r="DR24" s="20">
        <v>295780655</v>
      </c>
      <c r="DS24" s="20">
        <v>295780655</v>
      </c>
      <c r="DT24" s="20">
        <v>295780655</v>
      </c>
      <c r="DU24" s="20">
        <v>275780655</v>
      </c>
      <c r="DV24" s="20">
        <v>309887671</v>
      </c>
      <c r="DW24" s="20">
        <v>309887671</v>
      </c>
      <c r="DX24" s="20">
        <v>309887671</v>
      </c>
      <c r="DY24" s="20">
        <v>299857312</v>
      </c>
      <c r="DZ24" s="20">
        <v>265750296</v>
      </c>
      <c r="EA24" s="20">
        <v>249472319</v>
      </c>
      <c r="EB24" s="20">
        <f t="shared" si="40"/>
        <v>249472319</v>
      </c>
      <c r="EC24" s="20">
        <v>315696642</v>
      </c>
      <c r="ED24" s="20">
        <v>315696642</v>
      </c>
      <c r="EE24" s="20">
        <v>315696642</v>
      </c>
      <c r="EF24" s="20">
        <v>232705862</v>
      </c>
      <c r="EG24" s="20">
        <v>232705862</v>
      </c>
      <c r="EH24" s="20">
        <v>232705862</v>
      </c>
      <c r="EI24" s="20">
        <v>232705862</v>
      </c>
      <c r="EJ24" s="20">
        <v>227906674</v>
      </c>
      <c r="EK24" s="20">
        <v>227906674</v>
      </c>
      <c r="EL24" s="20">
        <v>227906674</v>
      </c>
      <c r="EM24" s="20">
        <v>227906674</v>
      </c>
      <c r="EN24" s="20">
        <v>192186387</v>
      </c>
      <c r="EO24" s="20">
        <f t="shared" si="41"/>
        <v>192186387</v>
      </c>
      <c r="EP24" s="20">
        <v>329603442</v>
      </c>
      <c r="EQ24" s="20">
        <v>329603442</v>
      </c>
      <c r="ER24" s="20">
        <v>307603442</v>
      </c>
      <c r="ES24" s="20">
        <v>307603442</v>
      </c>
      <c r="ET24" s="20">
        <v>307603442</v>
      </c>
      <c r="EU24" s="20">
        <v>284751010</v>
      </c>
      <c r="EV24" s="20">
        <v>284751010</v>
      </c>
      <c r="EW24" s="20">
        <v>284751010</v>
      </c>
      <c r="EX24" s="20">
        <v>284751010</v>
      </c>
      <c r="EY24" s="20">
        <v>273184204</v>
      </c>
      <c r="EZ24" s="20">
        <v>273184204</v>
      </c>
      <c r="FA24" s="20">
        <v>234336066</v>
      </c>
      <c r="FB24" s="20">
        <f t="shared" si="42"/>
        <v>234336066</v>
      </c>
      <c r="FC24" s="20">
        <v>290113797</v>
      </c>
      <c r="FD24" s="20">
        <v>290113797</v>
      </c>
      <c r="FE24" s="20">
        <v>282113797</v>
      </c>
      <c r="FF24" s="20">
        <v>282113797</v>
      </c>
      <c r="FG24" s="20">
        <v>273410383</v>
      </c>
      <c r="FH24" s="20">
        <v>273410383</v>
      </c>
      <c r="FI24" s="20">
        <v>273410383</v>
      </c>
      <c r="FJ24" s="10"/>
      <c r="FK24" s="10"/>
      <c r="FL24" s="10"/>
      <c r="FM24" s="10"/>
      <c r="FN24" s="10"/>
      <c r="FO24" s="20">
        <f t="shared" si="43"/>
        <v>273410383</v>
      </c>
    </row>
    <row r="25" spans="1:171" ht="27.75" customHeight="1">
      <c r="A25" s="10"/>
      <c r="B25" s="19" t="s">
        <v>46</v>
      </c>
      <c r="C25" s="20">
        <v>55038550</v>
      </c>
      <c r="D25" s="20">
        <v>55038550</v>
      </c>
      <c r="E25" s="20">
        <v>55038550</v>
      </c>
      <c r="F25" s="20">
        <v>55038550</v>
      </c>
      <c r="G25" s="20">
        <v>55038550</v>
      </c>
      <c r="H25" s="20">
        <v>55038550</v>
      </c>
      <c r="I25" s="20">
        <v>56087343</v>
      </c>
      <c r="J25" s="20">
        <v>56087343</v>
      </c>
      <c r="K25" s="20">
        <v>56087343</v>
      </c>
      <c r="L25" s="20">
        <v>56087343</v>
      </c>
      <c r="M25" s="20">
        <v>56087343</v>
      </c>
      <c r="N25" s="20">
        <v>55967642</v>
      </c>
      <c r="O25" s="20">
        <f t="shared" si="31"/>
        <v>55967642</v>
      </c>
      <c r="P25" s="20">
        <v>63737311</v>
      </c>
      <c r="Q25" s="20">
        <v>63737311</v>
      </c>
      <c r="R25" s="20">
        <v>63737311</v>
      </c>
      <c r="S25" s="20">
        <v>63737311</v>
      </c>
      <c r="T25" s="20">
        <v>63737311</v>
      </c>
      <c r="U25" s="20">
        <v>63737311</v>
      </c>
      <c r="V25" s="20">
        <v>63737311</v>
      </c>
      <c r="W25" s="20">
        <v>63737311</v>
      </c>
      <c r="X25" s="20">
        <v>63737311</v>
      </c>
      <c r="Y25" s="20">
        <v>60537311</v>
      </c>
      <c r="Z25" s="20">
        <v>66537311</v>
      </c>
      <c r="AA25" s="20">
        <v>66227311</v>
      </c>
      <c r="AB25" s="20">
        <f t="shared" si="32"/>
        <v>66227311</v>
      </c>
      <c r="AC25" s="20">
        <v>66005341</v>
      </c>
      <c r="AD25" s="20">
        <v>66005341</v>
      </c>
      <c r="AE25" s="20">
        <v>66005341</v>
      </c>
      <c r="AF25" s="20">
        <v>66005341</v>
      </c>
      <c r="AG25" s="20">
        <v>66005341</v>
      </c>
      <c r="AH25" s="20">
        <v>66005341</v>
      </c>
      <c r="AI25" s="20">
        <v>66005341</v>
      </c>
      <c r="AJ25" s="20">
        <v>66005341</v>
      </c>
      <c r="AK25" s="20">
        <v>66005341</v>
      </c>
      <c r="AL25" s="20">
        <v>66005341</v>
      </c>
      <c r="AM25" s="20">
        <v>66005341</v>
      </c>
      <c r="AN25" s="20">
        <v>66601585</v>
      </c>
      <c r="AO25" s="20">
        <f t="shared" si="33"/>
        <v>66601585</v>
      </c>
      <c r="AP25" s="20">
        <v>68152361</v>
      </c>
      <c r="AQ25" s="20">
        <v>68152361</v>
      </c>
      <c r="AR25" s="20">
        <v>68152361</v>
      </c>
      <c r="AS25" s="20">
        <v>68152361</v>
      </c>
      <c r="AT25" s="20">
        <v>68152361</v>
      </c>
      <c r="AU25" s="20">
        <v>68152361</v>
      </c>
      <c r="AV25" s="20">
        <v>68152361</v>
      </c>
      <c r="AW25" s="20">
        <v>68152361</v>
      </c>
      <c r="AX25" s="20">
        <v>68152361</v>
      </c>
      <c r="AY25" s="20">
        <v>68292361</v>
      </c>
      <c r="AZ25" s="20">
        <v>70792361</v>
      </c>
      <c r="BA25" s="20">
        <v>72233361</v>
      </c>
      <c r="BB25" s="20">
        <f t="shared" si="34"/>
        <v>72233361</v>
      </c>
      <c r="BC25" s="20">
        <v>69097793</v>
      </c>
      <c r="BD25" s="20">
        <v>69097793</v>
      </c>
      <c r="BE25" s="20">
        <v>69097793</v>
      </c>
      <c r="BF25" s="20">
        <v>69097793</v>
      </c>
      <c r="BG25" s="20">
        <v>69097793</v>
      </c>
      <c r="BH25" s="20">
        <v>69097793</v>
      </c>
      <c r="BI25" s="20">
        <v>68963100</v>
      </c>
      <c r="BJ25" s="20">
        <v>68963100</v>
      </c>
      <c r="BK25" s="20">
        <v>66653100</v>
      </c>
      <c r="BL25" s="20">
        <v>64364969</v>
      </c>
      <c r="BM25" s="20">
        <v>64332418</v>
      </c>
      <c r="BN25" s="20">
        <v>60805995</v>
      </c>
      <c r="BO25" s="20">
        <f t="shared" si="35"/>
        <v>60805995</v>
      </c>
      <c r="BP25" s="20">
        <v>69888575</v>
      </c>
      <c r="BQ25" s="20">
        <v>69888575</v>
      </c>
      <c r="BR25" s="20">
        <v>69888575</v>
      </c>
      <c r="BS25" s="20">
        <v>69888575</v>
      </c>
      <c r="BT25" s="20">
        <v>69888575</v>
      </c>
      <c r="BU25" s="20">
        <v>69888575</v>
      </c>
      <c r="BV25" s="20">
        <v>69888575</v>
      </c>
      <c r="BW25" s="20">
        <v>69888575</v>
      </c>
      <c r="BX25" s="20">
        <v>68888575</v>
      </c>
      <c r="BY25" s="20">
        <v>68888575</v>
      </c>
      <c r="BZ25" s="20">
        <v>68888575</v>
      </c>
      <c r="CA25" s="20">
        <v>62099040</v>
      </c>
      <c r="CB25" s="20">
        <f t="shared" si="36"/>
        <v>62099040</v>
      </c>
      <c r="CC25" s="20">
        <v>71705676</v>
      </c>
      <c r="CD25" s="20">
        <v>71705676</v>
      </c>
      <c r="CE25" s="20">
        <v>80110666</v>
      </c>
      <c r="CF25" s="20">
        <v>80110666</v>
      </c>
      <c r="CG25" s="20">
        <v>79796573</v>
      </c>
      <c r="CH25" s="20">
        <v>79796573</v>
      </c>
      <c r="CI25" s="20">
        <v>74160268</v>
      </c>
      <c r="CJ25" s="20">
        <v>74160268</v>
      </c>
      <c r="CK25" s="20">
        <v>74160268</v>
      </c>
      <c r="CL25" s="20">
        <v>74160268</v>
      </c>
      <c r="CM25" s="20">
        <v>73045737</v>
      </c>
      <c r="CN25" s="20">
        <v>71705970</v>
      </c>
      <c r="CO25" s="20">
        <f t="shared" si="37"/>
        <v>71705970</v>
      </c>
      <c r="CP25" s="20">
        <v>73670723</v>
      </c>
      <c r="CQ25" s="20">
        <v>73670723</v>
      </c>
      <c r="CR25" s="20">
        <v>73670723</v>
      </c>
      <c r="CS25" s="20">
        <v>73670723</v>
      </c>
      <c r="CT25" s="20">
        <v>73670723</v>
      </c>
      <c r="CU25" s="20">
        <v>73670723</v>
      </c>
      <c r="CV25" s="20">
        <v>73670723</v>
      </c>
      <c r="CW25" s="20">
        <v>73670723</v>
      </c>
      <c r="CX25" s="20">
        <v>73670723</v>
      </c>
      <c r="CY25" s="20">
        <v>73670723</v>
      </c>
      <c r="CZ25" s="20">
        <v>73670723</v>
      </c>
      <c r="DA25" s="20">
        <f>73116242+62000</f>
        <v>73178242</v>
      </c>
      <c r="DB25" s="20">
        <f t="shared" si="38"/>
        <v>73178242</v>
      </c>
      <c r="DC25" s="20">
        <v>76882481</v>
      </c>
      <c r="DD25" s="20">
        <v>76882481</v>
      </c>
      <c r="DE25" s="20">
        <v>76882481</v>
      </c>
      <c r="DF25" s="20">
        <v>76882481</v>
      </c>
      <c r="DG25" s="20">
        <v>76882481</v>
      </c>
      <c r="DH25" s="20">
        <v>76882481</v>
      </c>
      <c r="DI25" s="20">
        <v>76882481</v>
      </c>
      <c r="DJ25" s="20">
        <v>76882481</v>
      </c>
      <c r="DK25" s="20">
        <v>76882481</v>
      </c>
      <c r="DL25" s="20">
        <v>76882481</v>
      </c>
      <c r="DM25" s="20">
        <v>76882481</v>
      </c>
      <c r="DN25" s="20">
        <v>64614673</v>
      </c>
      <c r="DO25" s="20">
        <f t="shared" si="39"/>
        <v>64614673</v>
      </c>
      <c r="DP25" s="20">
        <v>115171552</v>
      </c>
      <c r="DQ25" s="20">
        <v>115171552</v>
      </c>
      <c r="DR25" s="20">
        <v>115171552</v>
      </c>
      <c r="DS25" s="20">
        <v>115171552</v>
      </c>
      <c r="DT25" s="20">
        <v>115171552</v>
      </c>
      <c r="DU25" s="20">
        <v>115171552</v>
      </c>
      <c r="DV25" s="20">
        <v>115171552</v>
      </c>
      <c r="DW25" s="20">
        <v>115171552</v>
      </c>
      <c r="DX25" s="20">
        <v>115171552</v>
      </c>
      <c r="DY25" s="20">
        <v>108472329</v>
      </c>
      <c r="DZ25" s="20">
        <v>108472329</v>
      </c>
      <c r="EA25" s="20">
        <v>104861138</v>
      </c>
      <c r="EB25" s="20">
        <f t="shared" si="40"/>
        <v>104861138</v>
      </c>
      <c r="EC25" s="20">
        <v>127117895</v>
      </c>
      <c r="ED25" s="20">
        <v>127117895</v>
      </c>
      <c r="EE25" s="20">
        <v>127117895</v>
      </c>
      <c r="EF25" s="20">
        <v>127117895</v>
      </c>
      <c r="EG25" s="20">
        <v>127117895</v>
      </c>
      <c r="EH25" s="20">
        <v>127117895</v>
      </c>
      <c r="EI25" s="20">
        <v>127117895</v>
      </c>
      <c r="EJ25" s="20">
        <v>127117895</v>
      </c>
      <c r="EK25" s="20">
        <v>127117895</v>
      </c>
      <c r="EL25" s="20">
        <v>127117895</v>
      </c>
      <c r="EM25" s="20">
        <v>127117895</v>
      </c>
      <c r="EN25" s="20">
        <v>123682417</v>
      </c>
      <c r="EO25" s="20">
        <f t="shared" si="41"/>
        <v>123682417</v>
      </c>
      <c r="EP25" s="20">
        <v>125417585</v>
      </c>
      <c r="EQ25" s="20">
        <v>125417585</v>
      </c>
      <c r="ER25" s="20">
        <v>139947914</v>
      </c>
      <c r="ES25" s="20">
        <v>139947914</v>
      </c>
      <c r="ET25" s="20">
        <v>139947914</v>
      </c>
      <c r="EU25" s="20">
        <v>139947914</v>
      </c>
      <c r="EV25" s="20">
        <v>145917564</v>
      </c>
      <c r="EW25" s="20">
        <v>145917564</v>
      </c>
      <c r="EX25" s="20">
        <v>145917564</v>
      </c>
      <c r="EY25" s="20">
        <v>151478816</v>
      </c>
      <c r="EZ25" s="20">
        <v>151478816</v>
      </c>
      <c r="FA25" s="20">
        <v>143006856</v>
      </c>
      <c r="FB25" s="20">
        <f t="shared" si="42"/>
        <v>143006856</v>
      </c>
      <c r="FC25" s="20">
        <v>109909690</v>
      </c>
      <c r="FD25" s="20">
        <v>109909690</v>
      </c>
      <c r="FE25" s="20">
        <v>109909690</v>
      </c>
      <c r="FF25" s="20">
        <v>109909690</v>
      </c>
      <c r="FG25" s="20">
        <v>106612399</v>
      </c>
      <c r="FH25" s="20">
        <v>106612399</v>
      </c>
      <c r="FI25" s="20">
        <v>106612399</v>
      </c>
      <c r="FJ25" s="10"/>
      <c r="FK25" s="10"/>
      <c r="FL25" s="10"/>
      <c r="FM25" s="10"/>
      <c r="FN25" s="10"/>
      <c r="FO25" s="20">
        <f t="shared" si="43"/>
        <v>106612399</v>
      </c>
    </row>
    <row r="26" spans="1:171" ht="27.75" customHeight="1">
      <c r="A26" s="10"/>
      <c r="B26" s="19" t="s">
        <v>47</v>
      </c>
      <c r="C26" s="20">
        <v>41285665</v>
      </c>
      <c r="D26" s="20">
        <v>41285665</v>
      </c>
      <c r="E26" s="20">
        <v>41285665</v>
      </c>
      <c r="F26" s="20">
        <v>41285665</v>
      </c>
      <c r="G26" s="20">
        <v>41769665</v>
      </c>
      <c r="H26" s="20">
        <v>41769665</v>
      </c>
      <c r="I26" s="20">
        <v>41769665</v>
      </c>
      <c r="J26" s="20">
        <v>43790807</v>
      </c>
      <c r="K26" s="20">
        <v>43790807</v>
      </c>
      <c r="L26" s="20">
        <v>44708207</v>
      </c>
      <c r="M26" s="20">
        <v>44708207</v>
      </c>
      <c r="N26" s="20">
        <v>45507263</v>
      </c>
      <c r="O26" s="20">
        <f t="shared" si="31"/>
        <v>45507263</v>
      </c>
      <c r="P26" s="20">
        <v>41009608</v>
      </c>
      <c r="Q26" s="20">
        <v>41009608</v>
      </c>
      <c r="R26" s="20">
        <v>41009608</v>
      </c>
      <c r="S26" s="20">
        <v>41009608</v>
      </c>
      <c r="T26" s="20">
        <v>41009608</v>
      </c>
      <c r="U26" s="20">
        <v>41009608</v>
      </c>
      <c r="V26" s="20">
        <v>41009608</v>
      </c>
      <c r="W26" s="20">
        <v>39209608</v>
      </c>
      <c r="X26" s="20">
        <v>39209608</v>
      </c>
      <c r="Y26" s="20">
        <v>39209608</v>
      </c>
      <c r="Z26" s="20">
        <v>38038808</v>
      </c>
      <c r="AA26" s="20">
        <v>34834080</v>
      </c>
      <c r="AB26" s="20">
        <f t="shared" si="32"/>
        <v>34834080</v>
      </c>
      <c r="AC26" s="20">
        <v>43953347</v>
      </c>
      <c r="AD26" s="20">
        <v>43953347</v>
      </c>
      <c r="AE26" s="20">
        <v>43953347</v>
      </c>
      <c r="AF26" s="20">
        <v>43633347</v>
      </c>
      <c r="AG26" s="20">
        <v>43633347</v>
      </c>
      <c r="AH26" s="20">
        <v>43633347</v>
      </c>
      <c r="AI26" s="20">
        <v>43633347</v>
      </c>
      <c r="AJ26" s="20">
        <v>43633347</v>
      </c>
      <c r="AK26" s="20">
        <v>43633347</v>
      </c>
      <c r="AL26" s="20">
        <v>43171347</v>
      </c>
      <c r="AM26" s="20">
        <v>43171347</v>
      </c>
      <c r="AN26" s="20">
        <v>43860342</v>
      </c>
      <c r="AO26" s="20">
        <f t="shared" si="33"/>
        <v>43860342</v>
      </c>
      <c r="AP26" s="20">
        <v>45271947</v>
      </c>
      <c r="AQ26" s="20">
        <v>45271947</v>
      </c>
      <c r="AR26" s="20">
        <v>45271947</v>
      </c>
      <c r="AS26" s="20">
        <v>45271947</v>
      </c>
      <c r="AT26" s="20">
        <v>45271947</v>
      </c>
      <c r="AU26" s="20">
        <v>45271947</v>
      </c>
      <c r="AV26" s="20">
        <v>45271947</v>
      </c>
      <c r="AW26" s="20">
        <v>45271947</v>
      </c>
      <c r="AX26" s="20">
        <v>45271947</v>
      </c>
      <c r="AY26" s="20">
        <v>46889947</v>
      </c>
      <c r="AZ26" s="20">
        <v>46889947</v>
      </c>
      <c r="BA26" s="20">
        <v>49070760</v>
      </c>
      <c r="BB26" s="20">
        <f t="shared" si="34"/>
        <v>49070760</v>
      </c>
      <c r="BC26" s="20">
        <v>35602336</v>
      </c>
      <c r="BD26" s="20">
        <v>35602336</v>
      </c>
      <c r="BE26" s="20">
        <v>35602336</v>
      </c>
      <c r="BF26" s="20">
        <v>35602336</v>
      </c>
      <c r="BG26" s="20">
        <v>35602336</v>
      </c>
      <c r="BH26" s="20">
        <v>43302336</v>
      </c>
      <c r="BI26" s="20">
        <v>43302336</v>
      </c>
      <c r="BJ26" s="20">
        <v>43802336</v>
      </c>
      <c r="BK26" s="20">
        <v>43802336</v>
      </c>
      <c r="BL26" s="20">
        <v>43802336</v>
      </c>
      <c r="BM26" s="20">
        <v>43802336</v>
      </c>
      <c r="BN26" s="20">
        <v>34299269</v>
      </c>
      <c r="BO26" s="20">
        <f t="shared" si="35"/>
        <v>34299269</v>
      </c>
      <c r="BP26" s="20">
        <v>53068499</v>
      </c>
      <c r="BQ26" s="20">
        <v>53068499</v>
      </c>
      <c r="BR26" s="20">
        <v>53068499</v>
      </c>
      <c r="BS26" s="20">
        <v>53068499</v>
      </c>
      <c r="BT26" s="20">
        <v>53068499</v>
      </c>
      <c r="BU26" s="20">
        <v>53068499</v>
      </c>
      <c r="BV26" s="20">
        <v>53068499</v>
      </c>
      <c r="BW26" s="20">
        <v>55300713</v>
      </c>
      <c r="BX26" s="20">
        <v>55300713</v>
      </c>
      <c r="BY26" s="20">
        <v>55300713</v>
      </c>
      <c r="BZ26" s="20">
        <v>55300713</v>
      </c>
      <c r="CA26" s="20">
        <v>54338642</v>
      </c>
      <c r="CB26" s="20">
        <f t="shared" si="36"/>
        <v>54338642</v>
      </c>
      <c r="CC26" s="20">
        <v>58584599</v>
      </c>
      <c r="CD26" s="20">
        <v>58584599</v>
      </c>
      <c r="CE26" s="20">
        <v>58584599</v>
      </c>
      <c r="CF26" s="20">
        <v>66247946</v>
      </c>
      <c r="CG26" s="20">
        <v>66247946</v>
      </c>
      <c r="CH26" s="20">
        <v>66247946</v>
      </c>
      <c r="CI26" s="20">
        <v>66147946</v>
      </c>
      <c r="CJ26" s="20">
        <v>64991732</v>
      </c>
      <c r="CK26" s="20">
        <v>64991732</v>
      </c>
      <c r="CL26" s="20">
        <v>64570095</v>
      </c>
      <c r="CM26" s="20">
        <v>64570095</v>
      </c>
      <c r="CN26" s="20">
        <v>58584599</v>
      </c>
      <c r="CO26" s="20">
        <f t="shared" si="37"/>
        <v>58584599</v>
      </c>
      <c r="CP26" s="20">
        <v>60144148</v>
      </c>
      <c r="CQ26" s="20">
        <v>60144148</v>
      </c>
      <c r="CR26" s="20">
        <v>60144148</v>
      </c>
      <c r="CS26" s="20">
        <v>60144148</v>
      </c>
      <c r="CT26" s="20">
        <v>60144148</v>
      </c>
      <c r="CU26" s="20">
        <v>60144148</v>
      </c>
      <c r="CV26" s="20">
        <v>60144148</v>
      </c>
      <c r="CW26" s="20">
        <v>60144148</v>
      </c>
      <c r="CX26" s="20">
        <v>60144148</v>
      </c>
      <c r="CY26" s="20">
        <v>60144148</v>
      </c>
      <c r="CZ26" s="20">
        <v>60144148</v>
      </c>
      <c r="DA26" s="20">
        <f>57087148+74000</f>
        <v>57161148</v>
      </c>
      <c r="DB26" s="20">
        <f t="shared" si="38"/>
        <v>57161148</v>
      </c>
      <c r="DC26" s="20">
        <v>62797413</v>
      </c>
      <c r="DD26" s="20">
        <v>62797413</v>
      </c>
      <c r="DE26" s="20">
        <v>62797413</v>
      </c>
      <c r="DF26" s="20">
        <v>62797413</v>
      </c>
      <c r="DG26" s="20">
        <v>62712374</v>
      </c>
      <c r="DH26" s="20">
        <v>62712374</v>
      </c>
      <c r="DI26" s="20">
        <v>62487413</v>
      </c>
      <c r="DJ26" s="20">
        <v>62487413</v>
      </c>
      <c r="DK26" s="20">
        <v>62487413</v>
      </c>
      <c r="DL26" s="20">
        <v>62487413</v>
      </c>
      <c r="DM26" s="20">
        <v>62487413</v>
      </c>
      <c r="DN26" s="20">
        <v>66143610</v>
      </c>
      <c r="DO26" s="20">
        <f t="shared" si="39"/>
        <v>66143610</v>
      </c>
      <c r="DP26" s="20">
        <v>135318267</v>
      </c>
      <c r="DQ26" s="20">
        <v>135318267</v>
      </c>
      <c r="DR26" s="20">
        <v>135318267</v>
      </c>
      <c r="DS26" s="20">
        <v>135318267</v>
      </c>
      <c r="DT26" s="20">
        <v>135318267</v>
      </c>
      <c r="DU26" s="20">
        <v>135318267</v>
      </c>
      <c r="DV26" s="20">
        <v>135318267</v>
      </c>
      <c r="DW26" s="20">
        <v>135318267</v>
      </c>
      <c r="DX26" s="20">
        <v>135318267</v>
      </c>
      <c r="DY26" s="20">
        <v>131318267</v>
      </c>
      <c r="DZ26" s="20">
        <v>131318267</v>
      </c>
      <c r="EA26" s="20">
        <v>123846968</v>
      </c>
      <c r="EB26" s="20">
        <f t="shared" si="40"/>
        <v>123846968</v>
      </c>
      <c r="EC26" s="20">
        <v>137741639</v>
      </c>
      <c r="ED26" s="20">
        <v>137741639</v>
      </c>
      <c r="EE26" s="20">
        <v>137741639</v>
      </c>
      <c r="EF26" s="20">
        <v>135914151</v>
      </c>
      <c r="EG26" s="20">
        <v>135885801</v>
      </c>
      <c r="EH26" s="20">
        <v>135885801</v>
      </c>
      <c r="EI26" s="20">
        <v>135885801</v>
      </c>
      <c r="EJ26" s="20">
        <v>135885801</v>
      </c>
      <c r="EK26" s="20">
        <v>135885801</v>
      </c>
      <c r="EL26" s="20">
        <v>137734161</v>
      </c>
      <c r="EM26" s="20">
        <v>137734161</v>
      </c>
      <c r="EN26" s="20">
        <v>121300022</v>
      </c>
      <c r="EO26" s="20">
        <f t="shared" si="41"/>
        <v>121300022</v>
      </c>
      <c r="EP26" s="20">
        <v>141825431</v>
      </c>
      <c r="EQ26" s="20">
        <v>141825431</v>
      </c>
      <c r="ER26" s="20">
        <v>141825431</v>
      </c>
      <c r="ES26" s="20">
        <v>141825431</v>
      </c>
      <c r="ET26" s="20">
        <v>141825431</v>
      </c>
      <c r="EU26" s="20">
        <v>141825431</v>
      </c>
      <c r="EV26" s="20">
        <v>141825431</v>
      </c>
      <c r="EW26" s="20">
        <v>141825431</v>
      </c>
      <c r="EX26" s="20">
        <v>141825431</v>
      </c>
      <c r="EY26" s="20">
        <v>141825431</v>
      </c>
      <c r="EZ26" s="20">
        <v>141825431</v>
      </c>
      <c r="FA26" s="20">
        <v>143001334</v>
      </c>
      <c r="FB26" s="20">
        <f t="shared" si="42"/>
        <v>143001334</v>
      </c>
      <c r="FC26" s="20">
        <v>127610750</v>
      </c>
      <c r="FD26" s="20">
        <v>127610750</v>
      </c>
      <c r="FE26" s="20">
        <v>127610750</v>
      </c>
      <c r="FF26" s="20">
        <v>127610750</v>
      </c>
      <c r="FG26" s="20">
        <v>124345173</v>
      </c>
      <c r="FH26" s="20">
        <v>124345173</v>
      </c>
      <c r="FI26" s="20">
        <v>124345173</v>
      </c>
      <c r="FJ26" s="10"/>
      <c r="FK26" s="10"/>
      <c r="FL26" s="10"/>
      <c r="FM26" s="10"/>
      <c r="FN26" s="10"/>
      <c r="FO26" s="20">
        <f t="shared" si="43"/>
        <v>124345173</v>
      </c>
    </row>
    <row r="27" spans="1:171" ht="27.75" customHeight="1">
      <c r="A27" s="10"/>
      <c r="B27" s="19" t="s">
        <v>48</v>
      </c>
      <c r="C27" s="20">
        <v>26272563</v>
      </c>
      <c r="D27" s="20">
        <v>26272563</v>
      </c>
      <c r="E27" s="20">
        <v>26955763</v>
      </c>
      <c r="F27" s="20">
        <v>26955763</v>
      </c>
      <c r="G27" s="20">
        <v>26955763</v>
      </c>
      <c r="H27" s="20">
        <v>26955763</v>
      </c>
      <c r="I27" s="20">
        <v>26955763</v>
      </c>
      <c r="J27" s="20">
        <v>27252763</v>
      </c>
      <c r="K27" s="20">
        <v>27252763</v>
      </c>
      <c r="L27" s="20">
        <v>27252763</v>
      </c>
      <c r="M27" s="20">
        <v>27558870</v>
      </c>
      <c r="N27" s="20">
        <v>25516525</v>
      </c>
      <c r="O27" s="20">
        <f t="shared" si="31"/>
        <v>25516525</v>
      </c>
      <c r="P27" s="20">
        <v>28203580</v>
      </c>
      <c r="Q27" s="20">
        <v>28203580</v>
      </c>
      <c r="R27" s="20">
        <v>28176903</v>
      </c>
      <c r="S27" s="20">
        <v>28176903</v>
      </c>
      <c r="T27" s="20">
        <v>28176903</v>
      </c>
      <c r="U27" s="20">
        <v>22493729</v>
      </c>
      <c r="V27" s="20">
        <v>22493729</v>
      </c>
      <c r="W27" s="20">
        <v>22477989</v>
      </c>
      <c r="X27" s="20">
        <v>22277989</v>
      </c>
      <c r="Y27" s="20">
        <v>17658451</v>
      </c>
      <c r="Z27" s="20">
        <v>14124507</v>
      </c>
      <c r="AA27" s="20">
        <v>12055801</v>
      </c>
      <c r="AB27" s="20">
        <f t="shared" si="32"/>
        <v>12055801</v>
      </c>
      <c r="AC27" s="20">
        <v>25719874</v>
      </c>
      <c r="AD27" s="20">
        <v>25719874</v>
      </c>
      <c r="AE27" s="20">
        <v>25719874</v>
      </c>
      <c r="AF27" s="20">
        <v>25719874</v>
      </c>
      <c r="AG27" s="20">
        <v>25719874</v>
      </c>
      <c r="AH27" s="20">
        <v>25684874</v>
      </c>
      <c r="AI27" s="20">
        <v>25684874</v>
      </c>
      <c r="AJ27" s="20">
        <v>22184874</v>
      </c>
      <c r="AK27" s="20">
        <v>19898360</v>
      </c>
      <c r="AL27" s="20">
        <v>19898360</v>
      </c>
      <c r="AM27" s="20">
        <v>19898360</v>
      </c>
      <c r="AN27" s="20">
        <v>16279503</v>
      </c>
      <c r="AO27" s="20">
        <f t="shared" si="33"/>
        <v>16279503</v>
      </c>
      <c r="AP27" s="20">
        <v>28283754</v>
      </c>
      <c r="AQ27" s="20">
        <v>28283754</v>
      </c>
      <c r="AR27" s="20">
        <v>28283754</v>
      </c>
      <c r="AS27" s="20">
        <v>28283754</v>
      </c>
      <c r="AT27" s="20">
        <v>28283754</v>
      </c>
      <c r="AU27" s="20">
        <v>28260646</v>
      </c>
      <c r="AV27" s="20">
        <v>28337248</v>
      </c>
      <c r="AW27" s="20">
        <v>28337248</v>
      </c>
      <c r="AX27" s="20">
        <v>28337248</v>
      </c>
      <c r="AY27" s="20">
        <v>31399972</v>
      </c>
      <c r="AZ27" s="20">
        <v>31399972</v>
      </c>
      <c r="BA27" s="20">
        <v>21498175</v>
      </c>
      <c r="BB27" s="20">
        <f t="shared" si="34"/>
        <v>21498175</v>
      </c>
      <c r="BC27" s="20">
        <v>30504194</v>
      </c>
      <c r="BD27" s="20">
        <v>30504194</v>
      </c>
      <c r="BE27" s="20">
        <v>30504194</v>
      </c>
      <c r="BF27" s="20">
        <v>30504194</v>
      </c>
      <c r="BG27" s="20">
        <v>30445086</v>
      </c>
      <c r="BH27" s="20">
        <v>30445086</v>
      </c>
      <c r="BI27" s="20">
        <v>30385624</v>
      </c>
      <c r="BJ27" s="20">
        <v>30385624</v>
      </c>
      <c r="BK27" s="20">
        <v>30385624</v>
      </c>
      <c r="BL27" s="20">
        <v>24302238</v>
      </c>
      <c r="BM27" s="20">
        <v>24302238</v>
      </c>
      <c r="BN27" s="20">
        <v>20961721</v>
      </c>
      <c r="BO27" s="20">
        <f t="shared" si="35"/>
        <v>20961721</v>
      </c>
      <c r="BP27" s="20">
        <v>25853361</v>
      </c>
      <c r="BQ27" s="20">
        <v>25853361</v>
      </c>
      <c r="BR27" s="20">
        <v>25853361</v>
      </c>
      <c r="BS27" s="20">
        <v>25853361</v>
      </c>
      <c r="BT27" s="20">
        <v>25853361</v>
      </c>
      <c r="BU27" s="20">
        <v>25853361</v>
      </c>
      <c r="BV27" s="20">
        <v>25853361</v>
      </c>
      <c r="BW27" s="20">
        <v>21612552</v>
      </c>
      <c r="BX27" s="20">
        <v>17506566</v>
      </c>
      <c r="BY27" s="20">
        <v>17506566</v>
      </c>
      <c r="BZ27" s="20">
        <v>17506566</v>
      </c>
      <c r="CA27" s="20">
        <v>15189077</v>
      </c>
      <c r="CB27" s="20">
        <f t="shared" si="36"/>
        <v>15189077</v>
      </c>
      <c r="CC27" s="20">
        <v>22096777</v>
      </c>
      <c r="CD27" s="20">
        <v>22096777</v>
      </c>
      <c r="CE27" s="20">
        <v>22096777</v>
      </c>
      <c r="CF27" s="20">
        <v>22096777</v>
      </c>
      <c r="CG27" s="20">
        <v>8619318</v>
      </c>
      <c r="CH27" s="20">
        <v>8619318</v>
      </c>
      <c r="CI27" s="20">
        <v>8619318</v>
      </c>
      <c r="CJ27" s="20">
        <v>8619318</v>
      </c>
      <c r="CK27" s="20">
        <v>8619318</v>
      </c>
      <c r="CL27" s="20">
        <v>8619318</v>
      </c>
      <c r="CM27" s="20">
        <v>5194154</v>
      </c>
      <c r="CN27" s="20">
        <v>5194154</v>
      </c>
      <c r="CO27" s="20">
        <f t="shared" si="37"/>
        <v>5194154</v>
      </c>
      <c r="CP27" s="20">
        <v>15515216</v>
      </c>
      <c r="CQ27" s="20">
        <v>17211034</v>
      </c>
      <c r="CR27" s="20">
        <v>17211034</v>
      </c>
      <c r="CS27" s="20">
        <v>17211034</v>
      </c>
      <c r="CT27" s="20">
        <v>17211034</v>
      </c>
      <c r="CU27" s="20">
        <v>15949460</v>
      </c>
      <c r="CV27" s="20">
        <v>15949460</v>
      </c>
      <c r="CW27" s="20">
        <v>15949460</v>
      </c>
      <c r="CX27" s="20">
        <v>15514843</v>
      </c>
      <c r="CY27" s="20">
        <v>15514843</v>
      </c>
      <c r="CZ27" s="20">
        <v>15514843</v>
      </c>
      <c r="DA27" s="20">
        <f>7205919+7501242</f>
        <v>14707161</v>
      </c>
      <c r="DB27" s="20">
        <f t="shared" si="38"/>
        <v>14707161</v>
      </c>
      <c r="DC27" s="20">
        <v>31608353</v>
      </c>
      <c r="DD27" s="20">
        <v>31608353</v>
      </c>
      <c r="DE27" s="20">
        <v>19272005</v>
      </c>
      <c r="DF27" s="20">
        <v>19272005</v>
      </c>
      <c r="DG27" s="20">
        <v>19272005</v>
      </c>
      <c r="DH27" s="20">
        <v>18848017</v>
      </c>
      <c r="DI27" s="20">
        <v>8974172</v>
      </c>
      <c r="DJ27" s="20">
        <v>8890172</v>
      </c>
      <c r="DK27" s="20">
        <v>8890172</v>
      </c>
      <c r="DL27" s="20">
        <v>8663807</v>
      </c>
      <c r="DM27" s="20">
        <v>7863807</v>
      </c>
      <c r="DN27" s="20">
        <v>7392258</v>
      </c>
      <c r="DO27" s="20">
        <f t="shared" si="39"/>
        <v>7392258</v>
      </c>
      <c r="DP27" s="20">
        <v>37590026</v>
      </c>
      <c r="DQ27" s="20">
        <v>36790026</v>
      </c>
      <c r="DR27" s="20">
        <v>36790026</v>
      </c>
      <c r="DS27" s="20">
        <v>36790026</v>
      </c>
      <c r="DT27" s="20">
        <v>36790026</v>
      </c>
      <c r="DU27" s="20">
        <v>32790026</v>
      </c>
      <c r="DV27" s="20">
        <v>32790026</v>
      </c>
      <c r="DW27" s="20">
        <v>32707536</v>
      </c>
      <c r="DX27" s="20">
        <v>32707536</v>
      </c>
      <c r="DY27" s="20">
        <v>31426536</v>
      </c>
      <c r="DZ27" s="20">
        <v>8720551</v>
      </c>
      <c r="EA27" s="20">
        <v>8559879</v>
      </c>
      <c r="EB27" s="20">
        <f t="shared" si="40"/>
        <v>8559879</v>
      </c>
      <c r="EC27" s="20">
        <v>44570138</v>
      </c>
      <c r="ED27" s="20">
        <v>44570138</v>
      </c>
      <c r="EE27" s="20">
        <v>44570138</v>
      </c>
      <c r="EF27" s="20">
        <v>44570138</v>
      </c>
      <c r="EG27" s="20">
        <v>44670138</v>
      </c>
      <c r="EH27" s="20">
        <v>44670138</v>
      </c>
      <c r="EI27" s="20">
        <v>44670138</v>
      </c>
      <c r="EJ27" s="20">
        <v>41933638</v>
      </c>
      <c r="EK27" s="20">
        <v>41744274</v>
      </c>
      <c r="EL27" s="20">
        <v>41744274</v>
      </c>
      <c r="EM27" s="20">
        <v>41673300</v>
      </c>
      <c r="EN27" s="20">
        <v>33685852</v>
      </c>
      <c r="EO27" s="20">
        <f t="shared" si="41"/>
        <v>33685852</v>
      </c>
      <c r="EP27" s="20">
        <v>57109595</v>
      </c>
      <c r="EQ27" s="20">
        <v>57109595</v>
      </c>
      <c r="ER27" s="20">
        <v>84609595</v>
      </c>
      <c r="ES27" s="20">
        <v>84609595</v>
      </c>
      <c r="ET27" s="20">
        <v>77572649</v>
      </c>
      <c r="EU27" s="20">
        <v>77572649</v>
      </c>
      <c r="EV27" s="20">
        <v>77594122</v>
      </c>
      <c r="EW27" s="20">
        <v>77456003</v>
      </c>
      <c r="EX27" s="20">
        <v>77456003</v>
      </c>
      <c r="EY27" s="20">
        <v>77456003</v>
      </c>
      <c r="EZ27" s="20">
        <v>77456003</v>
      </c>
      <c r="FA27" s="20">
        <v>55621639</v>
      </c>
      <c r="FB27" s="20">
        <f t="shared" si="42"/>
        <v>55621639</v>
      </c>
      <c r="FC27" s="20">
        <v>30479549</v>
      </c>
      <c r="FD27" s="20">
        <v>30479549</v>
      </c>
      <c r="FE27" s="20">
        <v>30479549</v>
      </c>
      <c r="FF27" s="20">
        <v>30479549</v>
      </c>
      <c r="FG27" s="20">
        <v>29565163</v>
      </c>
      <c r="FH27" s="20">
        <v>29565163</v>
      </c>
      <c r="FI27" s="20">
        <v>29565163</v>
      </c>
      <c r="FJ27" s="10"/>
      <c r="FK27" s="10"/>
      <c r="FL27" s="10"/>
      <c r="FM27" s="10"/>
      <c r="FN27" s="10"/>
      <c r="FO27" s="20">
        <f t="shared" si="43"/>
        <v>29565163</v>
      </c>
    </row>
    <row r="28" spans="1:171" ht="21.75" customHeight="1">
      <c r="A28" s="10"/>
      <c r="B28" s="15" t="s">
        <v>49</v>
      </c>
      <c r="C28" s="38">
        <f t="shared" ref="C28:AH28" si="44">SUM(C22:C27)</f>
        <v>1080148659</v>
      </c>
      <c r="D28" s="38">
        <f t="shared" si="44"/>
        <v>1080148659</v>
      </c>
      <c r="E28" s="38">
        <f t="shared" si="44"/>
        <v>1071131859</v>
      </c>
      <c r="F28" s="38">
        <f t="shared" si="44"/>
        <v>1071131859</v>
      </c>
      <c r="G28" s="38">
        <f t="shared" si="44"/>
        <v>1073601859</v>
      </c>
      <c r="H28" s="38">
        <f t="shared" si="44"/>
        <v>1081551893</v>
      </c>
      <c r="I28" s="38">
        <f t="shared" si="44"/>
        <v>1079440686</v>
      </c>
      <c r="J28" s="38">
        <f t="shared" si="44"/>
        <v>1105918828</v>
      </c>
      <c r="K28" s="38">
        <f t="shared" si="44"/>
        <v>1106918828</v>
      </c>
      <c r="L28" s="38">
        <f t="shared" si="44"/>
        <v>1140481050</v>
      </c>
      <c r="M28" s="38">
        <f t="shared" si="44"/>
        <v>1141225993</v>
      </c>
      <c r="N28" s="38">
        <f t="shared" si="44"/>
        <v>1152655931</v>
      </c>
      <c r="O28" s="38">
        <f t="shared" si="44"/>
        <v>1152655931</v>
      </c>
      <c r="P28" s="38">
        <f t="shared" si="44"/>
        <v>1276641076</v>
      </c>
      <c r="Q28" s="38">
        <f t="shared" si="44"/>
        <v>1278034767</v>
      </c>
      <c r="R28" s="38">
        <f t="shared" si="44"/>
        <v>1271653468</v>
      </c>
      <c r="S28" s="38">
        <f t="shared" si="44"/>
        <v>1263693468</v>
      </c>
      <c r="T28" s="38">
        <f t="shared" si="44"/>
        <v>1268169469</v>
      </c>
      <c r="U28" s="38">
        <f t="shared" si="44"/>
        <v>1281685388</v>
      </c>
      <c r="V28" s="38">
        <f t="shared" si="44"/>
        <v>1281585388</v>
      </c>
      <c r="W28" s="38">
        <f t="shared" si="44"/>
        <v>1281635620</v>
      </c>
      <c r="X28" s="38">
        <f t="shared" si="44"/>
        <v>1281435620</v>
      </c>
      <c r="Y28" s="38">
        <f t="shared" si="44"/>
        <v>1281435620</v>
      </c>
      <c r="Z28" s="38">
        <f t="shared" si="44"/>
        <v>1317437791</v>
      </c>
      <c r="AA28" s="38">
        <f t="shared" si="44"/>
        <v>1312772085</v>
      </c>
      <c r="AB28" s="38">
        <f t="shared" si="44"/>
        <v>1312772085</v>
      </c>
      <c r="AC28" s="38">
        <f t="shared" si="44"/>
        <v>1271630624</v>
      </c>
      <c r="AD28" s="38">
        <f t="shared" si="44"/>
        <v>1265450624</v>
      </c>
      <c r="AE28" s="38">
        <f t="shared" si="44"/>
        <v>1274140415</v>
      </c>
      <c r="AF28" s="38">
        <f t="shared" si="44"/>
        <v>1271859243</v>
      </c>
      <c r="AG28" s="38">
        <f t="shared" si="44"/>
        <v>1271859243</v>
      </c>
      <c r="AH28" s="38">
        <f t="shared" si="44"/>
        <v>1271285243</v>
      </c>
      <c r="AI28" s="38">
        <f t="shared" ref="AI28:BN28" si="45">SUM(AI22:AI27)</f>
        <v>1271285243</v>
      </c>
      <c r="AJ28" s="38">
        <f t="shared" si="45"/>
        <v>1271285243</v>
      </c>
      <c r="AK28" s="38">
        <f t="shared" si="45"/>
        <v>1268998729</v>
      </c>
      <c r="AL28" s="38">
        <f t="shared" si="45"/>
        <v>1268536729</v>
      </c>
      <c r="AM28" s="38">
        <f t="shared" si="45"/>
        <v>1272588550</v>
      </c>
      <c r="AN28" s="38">
        <f t="shared" si="45"/>
        <v>1273997249</v>
      </c>
      <c r="AO28" s="38">
        <f t="shared" si="45"/>
        <v>1273997249</v>
      </c>
      <c r="AP28" s="38">
        <f t="shared" si="45"/>
        <v>1335873679</v>
      </c>
      <c r="AQ28" s="38">
        <f t="shared" si="45"/>
        <v>1335873679</v>
      </c>
      <c r="AR28" s="38">
        <f t="shared" si="45"/>
        <v>1335595679</v>
      </c>
      <c r="AS28" s="38">
        <f t="shared" si="45"/>
        <v>1335595679</v>
      </c>
      <c r="AT28" s="38">
        <f t="shared" si="45"/>
        <v>1335395679</v>
      </c>
      <c r="AU28" s="38">
        <f t="shared" si="45"/>
        <v>1328115656</v>
      </c>
      <c r="AV28" s="38">
        <f t="shared" si="45"/>
        <v>1327751058</v>
      </c>
      <c r="AW28" s="38">
        <f t="shared" si="45"/>
        <v>1327269558</v>
      </c>
      <c r="AX28" s="38">
        <f t="shared" si="45"/>
        <v>1327269558</v>
      </c>
      <c r="AY28" s="38">
        <f t="shared" si="45"/>
        <v>1326090018</v>
      </c>
      <c r="AZ28" s="38">
        <f t="shared" si="45"/>
        <v>1325833018</v>
      </c>
      <c r="BA28" s="38">
        <f t="shared" si="45"/>
        <v>1299235769</v>
      </c>
      <c r="BB28" s="38">
        <f t="shared" si="45"/>
        <v>1299235769</v>
      </c>
      <c r="BC28" s="38">
        <f t="shared" si="45"/>
        <v>1355870741</v>
      </c>
      <c r="BD28" s="38">
        <f t="shared" si="45"/>
        <v>1355870741</v>
      </c>
      <c r="BE28" s="38">
        <f t="shared" si="45"/>
        <v>1349975657</v>
      </c>
      <c r="BF28" s="38">
        <f t="shared" si="45"/>
        <v>1355203917</v>
      </c>
      <c r="BG28" s="38">
        <f t="shared" si="45"/>
        <v>1354829618</v>
      </c>
      <c r="BH28" s="38">
        <f t="shared" si="45"/>
        <v>1354829618</v>
      </c>
      <c r="BI28" s="38">
        <f t="shared" si="45"/>
        <v>1352501963</v>
      </c>
      <c r="BJ28" s="38">
        <f t="shared" si="45"/>
        <v>1352466963</v>
      </c>
      <c r="BK28" s="38">
        <f t="shared" si="45"/>
        <v>1352466963</v>
      </c>
      <c r="BL28" s="38">
        <f t="shared" si="45"/>
        <v>1352326589</v>
      </c>
      <c r="BM28" s="38">
        <f t="shared" si="45"/>
        <v>1351862338</v>
      </c>
      <c r="BN28" s="38">
        <f t="shared" si="45"/>
        <v>1242633625</v>
      </c>
      <c r="BO28" s="38">
        <f t="shared" ref="BO28:CT28" si="46">SUM(BO22:BO27)</f>
        <v>1242633625</v>
      </c>
      <c r="BP28" s="38">
        <f t="shared" si="46"/>
        <v>1449083657</v>
      </c>
      <c r="BQ28" s="38">
        <f t="shared" si="46"/>
        <v>1449083657</v>
      </c>
      <c r="BR28" s="38">
        <f t="shared" si="46"/>
        <v>1449083657</v>
      </c>
      <c r="BS28" s="38">
        <f t="shared" si="46"/>
        <v>1454541727</v>
      </c>
      <c r="BT28" s="38">
        <f t="shared" si="46"/>
        <v>1459053227</v>
      </c>
      <c r="BU28" s="38">
        <f t="shared" si="46"/>
        <v>1454221227</v>
      </c>
      <c r="BV28" s="38">
        <f t="shared" si="46"/>
        <v>1454186977</v>
      </c>
      <c r="BW28" s="38">
        <f t="shared" si="46"/>
        <v>1475322182</v>
      </c>
      <c r="BX28" s="38">
        <f t="shared" si="46"/>
        <v>1486286509</v>
      </c>
      <c r="BY28" s="38">
        <f t="shared" si="46"/>
        <v>1486286509</v>
      </c>
      <c r="BZ28" s="38">
        <f t="shared" si="46"/>
        <v>1486286509</v>
      </c>
      <c r="CA28" s="38">
        <f t="shared" si="46"/>
        <v>1467911651</v>
      </c>
      <c r="CB28" s="38">
        <f t="shared" si="46"/>
        <v>1467911651</v>
      </c>
      <c r="CC28" s="38">
        <f t="shared" si="46"/>
        <v>1573755895</v>
      </c>
      <c r="CD28" s="38">
        <f t="shared" si="46"/>
        <v>1576451637</v>
      </c>
      <c r="CE28" s="38">
        <f t="shared" si="46"/>
        <v>1697884627</v>
      </c>
      <c r="CF28" s="38">
        <f t="shared" si="46"/>
        <v>1728547974</v>
      </c>
      <c r="CG28" s="38">
        <f t="shared" si="46"/>
        <v>1670762616</v>
      </c>
      <c r="CH28" s="38">
        <f t="shared" si="46"/>
        <v>1670762616</v>
      </c>
      <c r="CI28" s="38">
        <f t="shared" si="46"/>
        <v>1664492311</v>
      </c>
      <c r="CJ28" s="38">
        <f t="shared" si="46"/>
        <v>1663336097</v>
      </c>
      <c r="CK28" s="38">
        <f t="shared" si="46"/>
        <v>1663336097</v>
      </c>
      <c r="CL28" s="38">
        <f t="shared" si="46"/>
        <v>1644256567</v>
      </c>
      <c r="CM28" s="38">
        <f t="shared" si="46"/>
        <v>1639578872</v>
      </c>
      <c r="CN28" s="38">
        <f t="shared" si="46"/>
        <v>1387377215</v>
      </c>
      <c r="CO28" s="38">
        <f t="shared" si="46"/>
        <v>1387377215</v>
      </c>
      <c r="CP28" s="38">
        <f t="shared" si="46"/>
        <v>1656601217</v>
      </c>
      <c r="CQ28" s="38">
        <f t="shared" si="46"/>
        <v>1658297035</v>
      </c>
      <c r="CR28" s="38">
        <f t="shared" si="46"/>
        <v>1573329457</v>
      </c>
      <c r="CS28" s="38">
        <f t="shared" si="46"/>
        <v>1501062406</v>
      </c>
      <c r="CT28" s="38">
        <f t="shared" si="46"/>
        <v>1494179089</v>
      </c>
      <c r="CU28" s="38">
        <f t="shared" ref="CU28:DZ28" si="47">SUM(CU22:CU27)</f>
        <v>1492895515</v>
      </c>
      <c r="CV28" s="38">
        <f t="shared" si="47"/>
        <v>1492895515</v>
      </c>
      <c r="CW28" s="38">
        <f t="shared" si="47"/>
        <v>1492794345</v>
      </c>
      <c r="CX28" s="38">
        <f t="shared" si="47"/>
        <v>1492359728</v>
      </c>
      <c r="CY28" s="38">
        <f t="shared" si="47"/>
        <v>1479961918</v>
      </c>
      <c r="CZ28" s="38">
        <f t="shared" si="47"/>
        <v>1479868918</v>
      </c>
      <c r="DA28" s="38">
        <f t="shared" si="47"/>
        <v>1571143934</v>
      </c>
      <c r="DB28" s="38">
        <f t="shared" si="47"/>
        <v>1571143934</v>
      </c>
      <c r="DC28" s="38">
        <f t="shared" si="47"/>
        <v>1687387038</v>
      </c>
      <c r="DD28" s="38">
        <f t="shared" si="47"/>
        <v>1687387038</v>
      </c>
      <c r="DE28" s="38">
        <f t="shared" si="47"/>
        <v>1674694263</v>
      </c>
      <c r="DF28" s="38">
        <f t="shared" si="47"/>
        <v>1674694263</v>
      </c>
      <c r="DG28" s="38">
        <f t="shared" si="47"/>
        <v>1673012224</v>
      </c>
      <c r="DH28" s="38">
        <f t="shared" si="47"/>
        <v>1672155236</v>
      </c>
      <c r="DI28" s="38">
        <f t="shared" si="47"/>
        <v>1536687279</v>
      </c>
      <c r="DJ28" s="38">
        <f t="shared" si="47"/>
        <v>1536429413</v>
      </c>
      <c r="DK28" s="38">
        <f t="shared" si="47"/>
        <v>1523864338</v>
      </c>
      <c r="DL28" s="38">
        <f t="shared" si="47"/>
        <v>1502475884</v>
      </c>
      <c r="DM28" s="38">
        <f t="shared" si="47"/>
        <v>1501070667</v>
      </c>
      <c r="DN28" s="38">
        <f t="shared" si="47"/>
        <v>1346426128</v>
      </c>
      <c r="DO28" s="38">
        <f t="shared" si="47"/>
        <v>1346426128</v>
      </c>
      <c r="DP28" s="38">
        <f t="shared" si="47"/>
        <v>2791307442</v>
      </c>
      <c r="DQ28" s="38">
        <f t="shared" si="47"/>
        <v>2790507442</v>
      </c>
      <c r="DR28" s="38">
        <f t="shared" si="47"/>
        <v>2790507442</v>
      </c>
      <c r="DS28" s="38">
        <f t="shared" si="47"/>
        <v>2770549256</v>
      </c>
      <c r="DT28" s="38">
        <f t="shared" si="47"/>
        <v>2726813516</v>
      </c>
      <c r="DU28" s="38">
        <f t="shared" si="47"/>
        <v>2588270533</v>
      </c>
      <c r="DV28" s="38">
        <f t="shared" si="47"/>
        <v>2586428488</v>
      </c>
      <c r="DW28" s="38">
        <f t="shared" si="47"/>
        <v>2428591428</v>
      </c>
      <c r="DX28" s="38">
        <f t="shared" si="47"/>
        <v>2425410755</v>
      </c>
      <c r="DY28" s="38">
        <f t="shared" si="47"/>
        <v>2326135673</v>
      </c>
      <c r="DZ28" s="38">
        <f t="shared" si="47"/>
        <v>2269322672</v>
      </c>
      <c r="EA28" s="38">
        <f t="shared" ref="EA28:FF28" si="48">SUM(EA22:EA27)</f>
        <v>2112919871</v>
      </c>
      <c r="EB28" s="38">
        <f t="shared" si="48"/>
        <v>2112919871</v>
      </c>
      <c r="EC28" s="38">
        <f t="shared" si="48"/>
        <v>2933512941</v>
      </c>
      <c r="ED28" s="38">
        <f t="shared" si="48"/>
        <v>2933512941</v>
      </c>
      <c r="EE28" s="38">
        <f t="shared" si="48"/>
        <v>2863576106</v>
      </c>
      <c r="EF28" s="38">
        <f t="shared" si="48"/>
        <v>2778757838</v>
      </c>
      <c r="EG28" s="38">
        <f t="shared" si="48"/>
        <v>2778428042</v>
      </c>
      <c r="EH28" s="38">
        <f t="shared" si="48"/>
        <v>2758350042</v>
      </c>
      <c r="EI28" s="38">
        <f t="shared" si="48"/>
        <v>2758350042</v>
      </c>
      <c r="EJ28" s="38">
        <f t="shared" si="48"/>
        <v>2754543776</v>
      </c>
      <c r="EK28" s="38">
        <f t="shared" si="48"/>
        <v>2753054412</v>
      </c>
      <c r="EL28" s="38">
        <f t="shared" si="48"/>
        <v>2747092009</v>
      </c>
      <c r="EM28" s="38">
        <f t="shared" si="48"/>
        <v>2709296633</v>
      </c>
      <c r="EN28" s="38">
        <f t="shared" si="48"/>
        <v>2323820848</v>
      </c>
      <c r="EO28" s="38">
        <f t="shared" si="48"/>
        <v>2323820848</v>
      </c>
      <c r="EP28" s="38">
        <f t="shared" si="48"/>
        <v>3045180505</v>
      </c>
      <c r="EQ28" s="38">
        <f t="shared" si="48"/>
        <v>3045180505</v>
      </c>
      <c r="ER28" s="38">
        <f t="shared" si="48"/>
        <v>3050680505</v>
      </c>
      <c r="ES28" s="38">
        <f t="shared" si="48"/>
        <v>3050546505</v>
      </c>
      <c r="ET28" s="38">
        <f t="shared" si="48"/>
        <v>3042210505</v>
      </c>
      <c r="EU28" s="38">
        <f t="shared" si="48"/>
        <v>2895202922</v>
      </c>
      <c r="EV28" s="38">
        <f t="shared" si="48"/>
        <v>2906266133</v>
      </c>
      <c r="EW28" s="38">
        <f t="shared" si="48"/>
        <v>2906128014</v>
      </c>
      <c r="EX28" s="38">
        <f t="shared" si="48"/>
        <v>2906128014</v>
      </c>
      <c r="EY28" s="38">
        <f t="shared" si="48"/>
        <v>2896128014</v>
      </c>
      <c r="EZ28" s="38">
        <f t="shared" si="48"/>
        <v>2896128014</v>
      </c>
      <c r="FA28" s="38">
        <f t="shared" si="48"/>
        <v>2808364330</v>
      </c>
      <c r="FB28" s="38">
        <f t="shared" si="48"/>
        <v>2808364330</v>
      </c>
      <c r="FC28" s="38">
        <f t="shared" si="48"/>
        <v>2705505486</v>
      </c>
      <c r="FD28" s="38">
        <f t="shared" si="48"/>
        <v>2705505486</v>
      </c>
      <c r="FE28" s="38">
        <f t="shared" si="48"/>
        <v>2647697449</v>
      </c>
      <c r="FF28" s="38">
        <f t="shared" si="48"/>
        <v>2647697449</v>
      </c>
      <c r="FG28" s="38">
        <f t="shared" ref="FG28:GL28" si="49">SUM(FG22:FG27)</f>
        <v>2538107997</v>
      </c>
      <c r="FH28" s="38">
        <f t="shared" si="49"/>
        <v>2537552997</v>
      </c>
      <c r="FI28" s="38">
        <f t="shared" si="49"/>
        <v>2537552997</v>
      </c>
      <c r="FJ28" s="38">
        <f t="shared" si="49"/>
        <v>0</v>
      </c>
      <c r="FK28" s="38">
        <f t="shared" si="49"/>
        <v>0</v>
      </c>
      <c r="FL28" s="38">
        <f t="shared" si="49"/>
        <v>0</v>
      </c>
      <c r="FM28" s="38">
        <f t="shared" si="49"/>
        <v>0</v>
      </c>
      <c r="FN28" s="38">
        <f t="shared" si="49"/>
        <v>0</v>
      </c>
      <c r="FO28" s="38">
        <f t="shared" si="49"/>
        <v>2537552997</v>
      </c>
    </row>
    <row r="29" spans="1:171" ht="14.25" customHeight="1">
      <c r="A29" s="10"/>
      <c r="B29" s="18" t="s">
        <v>52</v>
      </c>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row>
    <row r="30" spans="1:171" ht="14.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row>
    <row r="31" spans="1:171" ht="15.75" customHeight="1">
      <c r="A31" s="10"/>
      <c r="B31" s="104" t="s">
        <v>53</v>
      </c>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row>
    <row r="32" spans="1:171" ht="21.75" customHeight="1">
      <c r="A32" s="10"/>
      <c r="B32" s="14"/>
      <c r="C32" s="102" t="s">
        <v>4</v>
      </c>
      <c r="D32" s="103"/>
      <c r="E32" s="103"/>
      <c r="F32" s="103"/>
      <c r="G32" s="103"/>
      <c r="H32" s="103"/>
      <c r="I32" s="103"/>
      <c r="J32" s="103"/>
      <c r="K32" s="103"/>
      <c r="L32" s="103"/>
      <c r="M32" s="103"/>
      <c r="N32" s="103"/>
      <c r="O32" s="103"/>
      <c r="P32" s="102" t="s">
        <v>5</v>
      </c>
      <c r="Q32" s="103"/>
      <c r="R32" s="103"/>
      <c r="S32" s="103"/>
      <c r="T32" s="103"/>
      <c r="U32" s="103"/>
      <c r="V32" s="103"/>
      <c r="W32" s="103"/>
      <c r="X32" s="103"/>
      <c r="Y32" s="103"/>
      <c r="Z32" s="103"/>
      <c r="AA32" s="103"/>
      <c r="AB32" s="103"/>
      <c r="AC32" s="102" t="s">
        <v>6</v>
      </c>
      <c r="AD32" s="103"/>
      <c r="AE32" s="103"/>
      <c r="AF32" s="103"/>
      <c r="AG32" s="103"/>
      <c r="AH32" s="103"/>
      <c r="AI32" s="103"/>
      <c r="AJ32" s="103"/>
      <c r="AK32" s="103"/>
      <c r="AL32" s="103"/>
      <c r="AM32" s="103"/>
      <c r="AN32" s="103"/>
      <c r="AO32" s="103"/>
      <c r="AP32" s="102" t="s">
        <v>7</v>
      </c>
      <c r="AQ32" s="103"/>
      <c r="AR32" s="103"/>
      <c r="AS32" s="103"/>
      <c r="AT32" s="103"/>
      <c r="AU32" s="103"/>
      <c r="AV32" s="103"/>
      <c r="AW32" s="103"/>
      <c r="AX32" s="103"/>
      <c r="AY32" s="103"/>
      <c r="AZ32" s="103"/>
      <c r="BA32" s="103"/>
      <c r="BB32" s="103"/>
      <c r="BC32" s="102" t="s">
        <v>8</v>
      </c>
      <c r="BD32" s="103"/>
      <c r="BE32" s="103"/>
      <c r="BF32" s="103"/>
      <c r="BG32" s="103"/>
      <c r="BH32" s="103"/>
      <c r="BI32" s="103"/>
      <c r="BJ32" s="103"/>
      <c r="BK32" s="103"/>
      <c r="BL32" s="103"/>
      <c r="BM32" s="103"/>
      <c r="BN32" s="103"/>
      <c r="BO32" s="103"/>
      <c r="BP32" s="102" t="s">
        <v>9</v>
      </c>
      <c r="BQ32" s="103"/>
      <c r="BR32" s="103"/>
      <c r="BS32" s="103"/>
      <c r="BT32" s="103"/>
      <c r="BU32" s="103"/>
      <c r="BV32" s="103"/>
      <c r="BW32" s="103"/>
      <c r="BX32" s="103"/>
      <c r="BY32" s="103"/>
      <c r="BZ32" s="103"/>
      <c r="CA32" s="103"/>
      <c r="CB32" s="103"/>
      <c r="CC32" s="102" t="s">
        <v>10</v>
      </c>
      <c r="CD32" s="103"/>
      <c r="CE32" s="103"/>
      <c r="CF32" s="103"/>
      <c r="CG32" s="103"/>
      <c r="CH32" s="103"/>
      <c r="CI32" s="103"/>
      <c r="CJ32" s="103"/>
      <c r="CK32" s="103"/>
      <c r="CL32" s="103"/>
      <c r="CM32" s="103"/>
      <c r="CN32" s="103"/>
      <c r="CO32" s="103"/>
      <c r="CP32" s="102" t="s">
        <v>11</v>
      </c>
      <c r="CQ32" s="103"/>
      <c r="CR32" s="103"/>
      <c r="CS32" s="103"/>
      <c r="CT32" s="103"/>
      <c r="CU32" s="103"/>
      <c r="CV32" s="103"/>
      <c r="CW32" s="103"/>
      <c r="CX32" s="103"/>
      <c r="CY32" s="103"/>
      <c r="CZ32" s="103"/>
      <c r="DA32" s="103"/>
      <c r="DB32" s="103"/>
      <c r="DC32" s="102" t="s">
        <v>12</v>
      </c>
      <c r="DD32" s="103"/>
      <c r="DE32" s="103"/>
      <c r="DF32" s="103"/>
      <c r="DG32" s="103"/>
      <c r="DH32" s="103"/>
      <c r="DI32" s="103"/>
      <c r="DJ32" s="103"/>
      <c r="DK32" s="103"/>
      <c r="DL32" s="103"/>
      <c r="DM32" s="103"/>
      <c r="DN32" s="103"/>
      <c r="DO32" s="103"/>
      <c r="DP32" s="102" t="s">
        <v>13</v>
      </c>
      <c r="DQ32" s="103"/>
      <c r="DR32" s="103"/>
      <c r="DS32" s="103"/>
      <c r="DT32" s="103"/>
      <c r="DU32" s="103"/>
      <c r="DV32" s="103"/>
      <c r="DW32" s="103"/>
      <c r="DX32" s="103"/>
      <c r="DY32" s="103"/>
      <c r="DZ32" s="103"/>
      <c r="EA32" s="103"/>
      <c r="EB32" s="103"/>
      <c r="EC32" s="102" t="s">
        <v>14</v>
      </c>
      <c r="ED32" s="103"/>
      <c r="EE32" s="103"/>
      <c r="EF32" s="103"/>
      <c r="EG32" s="103"/>
      <c r="EH32" s="103"/>
      <c r="EI32" s="103"/>
      <c r="EJ32" s="103"/>
      <c r="EK32" s="103"/>
      <c r="EL32" s="103"/>
      <c r="EM32" s="103"/>
      <c r="EN32" s="103"/>
      <c r="EO32" s="103"/>
      <c r="EP32" s="102" t="s">
        <v>15</v>
      </c>
      <c r="EQ32" s="103"/>
      <c r="ER32" s="103"/>
      <c r="ES32" s="103"/>
      <c r="ET32" s="103"/>
      <c r="EU32" s="103"/>
      <c r="EV32" s="103"/>
      <c r="EW32" s="103"/>
      <c r="EX32" s="103"/>
      <c r="EY32" s="103"/>
      <c r="EZ32" s="103"/>
      <c r="FA32" s="103"/>
      <c r="FB32" s="103"/>
      <c r="FC32" s="102" t="s">
        <v>16</v>
      </c>
      <c r="FD32" s="103"/>
      <c r="FE32" s="103"/>
      <c r="FF32" s="103"/>
      <c r="FG32" s="103"/>
      <c r="FH32" s="103"/>
      <c r="FI32" s="103"/>
      <c r="FJ32" s="103"/>
      <c r="FK32" s="103"/>
      <c r="FL32" s="103"/>
      <c r="FM32" s="103"/>
      <c r="FN32" s="103"/>
      <c r="FO32" s="103"/>
    </row>
    <row r="33" spans="1:171" ht="27.75" customHeight="1">
      <c r="A33" s="10"/>
      <c r="B33" s="15" t="s">
        <v>17</v>
      </c>
      <c r="C33" s="16" t="s">
        <v>18</v>
      </c>
      <c r="D33" s="16" t="s">
        <v>19</v>
      </c>
      <c r="E33" s="16" t="s">
        <v>20</v>
      </c>
      <c r="F33" s="16" t="s">
        <v>21</v>
      </c>
      <c r="G33" s="16" t="s">
        <v>22</v>
      </c>
      <c r="H33" s="16" t="s">
        <v>23</v>
      </c>
      <c r="I33" s="16" t="s">
        <v>24</v>
      </c>
      <c r="J33" s="16" t="s">
        <v>25</v>
      </c>
      <c r="K33" s="16" t="s">
        <v>26</v>
      </c>
      <c r="L33" s="16" t="s">
        <v>27</v>
      </c>
      <c r="M33" s="16" t="s">
        <v>28</v>
      </c>
      <c r="N33" s="16" t="s">
        <v>29</v>
      </c>
      <c r="O33" s="16" t="s">
        <v>30</v>
      </c>
      <c r="P33" s="16" t="s">
        <v>18</v>
      </c>
      <c r="Q33" s="16" t="s">
        <v>19</v>
      </c>
      <c r="R33" s="16" t="s">
        <v>20</v>
      </c>
      <c r="S33" s="16" t="s">
        <v>21</v>
      </c>
      <c r="T33" s="16" t="s">
        <v>22</v>
      </c>
      <c r="U33" s="16" t="s">
        <v>23</v>
      </c>
      <c r="V33" s="16" t="s">
        <v>24</v>
      </c>
      <c r="W33" s="16" t="s">
        <v>25</v>
      </c>
      <c r="X33" s="16" t="s">
        <v>26</v>
      </c>
      <c r="Y33" s="16" t="s">
        <v>27</v>
      </c>
      <c r="Z33" s="16" t="s">
        <v>28</v>
      </c>
      <c r="AA33" s="16" t="s">
        <v>29</v>
      </c>
      <c r="AB33" s="16" t="s">
        <v>31</v>
      </c>
      <c r="AC33" s="16" t="s">
        <v>18</v>
      </c>
      <c r="AD33" s="16" t="s">
        <v>19</v>
      </c>
      <c r="AE33" s="16" t="s">
        <v>20</v>
      </c>
      <c r="AF33" s="16" t="s">
        <v>21</v>
      </c>
      <c r="AG33" s="16" t="s">
        <v>22</v>
      </c>
      <c r="AH33" s="16" t="s">
        <v>23</v>
      </c>
      <c r="AI33" s="16" t="s">
        <v>24</v>
      </c>
      <c r="AJ33" s="16" t="s">
        <v>25</v>
      </c>
      <c r="AK33" s="16" t="s">
        <v>26</v>
      </c>
      <c r="AL33" s="16" t="s">
        <v>27</v>
      </c>
      <c r="AM33" s="16" t="s">
        <v>28</v>
      </c>
      <c r="AN33" s="16" t="s">
        <v>29</v>
      </c>
      <c r="AO33" s="16" t="s">
        <v>32</v>
      </c>
      <c r="AP33" s="16" t="s">
        <v>18</v>
      </c>
      <c r="AQ33" s="16" t="s">
        <v>19</v>
      </c>
      <c r="AR33" s="16" t="s">
        <v>20</v>
      </c>
      <c r="AS33" s="16" t="s">
        <v>21</v>
      </c>
      <c r="AT33" s="16" t="s">
        <v>22</v>
      </c>
      <c r="AU33" s="16" t="s">
        <v>23</v>
      </c>
      <c r="AV33" s="16" t="s">
        <v>24</v>
      </c>
      <c r="AW33" s="16" t="s">
        <v>25</v>
      </c>
      <c r="AX33" s="16" t="s">
        <v>26</v>
      </c>
      <c r="AY33" s="16" t="s">
        <v>27</v>
      </c>
      <c r="AZ33" s="16" t="s">
        <v>28</v>
      </c>
      <c r="BA33" s="16" t="s">
        <v>29</v>
      </c>
      <c r="BB33" s="16" t="s">
        <v>33</v>
      </c>
      <c r="BC33" s="16" t="s">
        <v>18</v>
      </c>
      <c r="BD33" s="16" t="s">
        <v>19</v>
      </c>
      <c r="BE33" s="16" t="s">
        <v>20</v>
      </c>
      <c r="BF33" s="16" t="s">
        <v>21</v>
      </c>
      <c r="BG33" s="16" t="s">
        <v>22</v>
      </c>
      <c r="BH33" s="16" t="s">
        <v>23</v>
      </c>
      <c r="BI33" s="16" t="s">
        <v>24</v>
      </c>
      <c r="BJ33" s="16" t="s">
        <v>25</v>
      </c>
      <c r="BK33" s="16" t="s">
        <v>26</v>
      </c>
      <c r="BL33" s="16" t="s">
        <v>27</v>
      </c>
      <c r="BM33" s="16" t="s">
        <v>28</v>
      </c>
      <c r="BN33" s="16" t="s">
        <v>29</v>
      </c>
      <c r="BO33" s="16" t="s">
        <v>34</v>
      </c>
      <c r="BP33" s="16" t="s">
        <v>18</v>
      </c>
      <c r="BQ33" s="16" t="s">
        <v>19</v>
      </c>
      <c r="BR33" s="16" t="s">
        <v>20</v>
      </c>
      <c r="BS33" s="16" t="s">
        <v>21</v>
      </c>
      <c r="BT33" s="16" t="s">
        <v>22</v>
      </c>
      <c r="BU33" s="16" t="s">
        <v>23</v>
      </c>
      <c r="BV33" s="16" t="s">
        <v>24</v>
      </c>
      <c r="BW33" s="16" t="s">
        <v>25</v>
      </c>
      <c r="BX33" s="16" t="s">
        <v>26</v>
      </c>
      <c r="BY33" s="16" t="s">
        <v>27</v>
      </c>
      <c r="BZ33" s="16" t="s">
        <v>28</v>
      </c>
      <c r="CA33" s="16" t="s">
        <v>29</v>
      </c>
      <c r="CB33" s="16" t="s">
        <v>35</v>
      </c>
      <c r="CC33" s="16" t="s">
        <v>18</v>
      </c>
      <c r="CD33" s="16" t="s">
        <v>19</v>
      </c>
      <c r="CE33" s="16" t="s">
        <v>20</v>
      </c>
      <c r="CF33" s="16" t="s">
        <v>21</v>
      </c>
      <c r="CG33" s="16" t="s">
        <v>22</v>
      </c>
      <c r="CH33" s="16" t="s">
        <v>23</v>
      </c>
      <c r="CI33" s="16" t="s">
        <v>24</v>
      </c>
      <c r="CJ33" s="16" t="s">
        <v>25</v>
      </c>
      <c r="CK33" s="16" t="s">
        <v>26</v>
      </c>
      <c r="CL33" s="16" t="s">
        <v>27</v>
      </c>
      <c r="CM33" s="16" t="s">
        <v>28</v>
      </c>
      <c r="CN33" s="16" t="s">
        <v>29</v>
      </c>
      <c r="CO33" s="16" t="s">
        <v>36</v>
      </c>
      <c r="CP33" s="16" t="s">
        <v>18</v>
      </c>
      <c r="CQ33" s="16" t="s">
        <v>19</v>
      </c>
      <c r="CR33" s="16" t="s">
        <v>20</v>
      </c>
      <c r="CS33" s="16" t="s">
        <v>21</v>
      </c>
      <c r="CT33" s="16" t="s">
        <v>22</v>
      </c>
      <c r="CU33" s="16" t="s">
        <v>23</v>
      </c>
      <c r="CV33" s="16" t="s">
        <v>24</v>
      </c>
      <c r="CW33" s="16" t="s">
        <v>25</v>
      </c>
      <c r="CX33" s="16" t="s">
        <v>26</v>
      </c>
      <c r="CY33" s="16" t="s">
        <v>27</v>
      </c>
      <c r="CZ33" s="16" t="s">
        <v>28</v>
      </c>
      <c r="DA33" s="16" t="s">
        <v>29</v>
      </c>
      <c r="DB33" s="16" t="s">
        <v>37</v>
      </c>
      <c r="DC33" s="16" t="s">
        <v>18</v>
      </c>
      <c r="DD33" s="16" t="s">
        <v>19</v>
      </c>
      <c r="DE33" s="16" t="s">
        <v>20</v>
      </c>
      <c r="DF33" s="16" t="s">
        <v>21</v>
      </c>
      <c r="DG33" s="16" t="s">
        <v>22</v>
      </c>
      <c r="DH33" s="16" t="s">
        <v>23</v>
      </c>
      <c r="DI33" s="16" t="s">
        <v>24</v>
      </c>
      <c r="DJ33" s="16" t="s">
        <v>25</v>
      </c>
      <c r="DK33" s="16" t="s">
        <v>26</v>
      </c>
      <c r="DL33" s="16" t="s">
        <v>27</v>
      </c>
      <c r="DM33" s="16" t="s">
        <v>28</v>
      </c>
      <c r="DN33" s="16" t="s">
        <v>29</v>
      </c>
      <c r="DO33" s="16" t="s">
        <v>38</v>
      </c>
      <c r="DP33" s="16" t="s">
        <v>18</v>
      </c>
      <c r="DQ33" s="16" t="s">
        <v>19</v>
      </c>
      <c r="DR33" s="16" t="s">
        <v>20</v>
      </c>
      <c r="DS33" s="16" t="s">
        <v>21</v>
      </c>
      <c r="DT33" s="16" t="s">
        <v>22</v>
      </c>
      <c r="DU33" s="16" t="s">
        <v>23</v>
      </c>
      <c r="DV33" s="16" t="s">
        <v>24</v>
      </c>
      <c r="DW33" s="16" t="s">
        <v>25</v>
      </c>
      <c r="DX33" s="16" t="s">
        <v>26</v>
      </c>
      <c r="DY33" s="16" t="s">
        <v>27</v>
      </c>
      <c r="DZ33" s="16" t="s">
        <v>28</v>
      </c>
      <c r="EA33" s="16" t="s">
        <v>29</v>
      </c>
      <c r="EB33" s="16" t="s">
        <v>39</v>
      </c>
      <c r="EC33" s="16" t="s">
        <v>18</v>
      </c>
      <c r="ED33" s="16" t="s">
        <v>19</v>
      </c>
      <c r="EE33" s="16" t="s">
        <v>20</v>
      </c>
      <c r="EF33" s="16" t="s">
        <v>21</v>
      </c>
      <c r="EG33" s="16" t="s">
        <v>22</v>
      </c>
      <c r="EH33" s="16" t="s">
        <v>23</v>
      </c>
      <c r="EI33" s="16" t="s">
        <v>24</v>
      </c>
      <c r="EJ33" s="16" t="s">
        <v>25</v>
      </c>
      <c r="EK33" s="16" t="s">
        <v>26</v>
      </c>
      <c r="EL33" s="16" t="s">
        <v>27</v>
      </c>
      <c r="EM33" s="16" t="s">
        <v>28</v>
      </c>
      <c r="EN33" s="16" t="s">
        <v>29</v>
      </c>
      <c r="EO33" s="16" t="s">
        <v>40</v>
      </c>
      <c r="EP33" s="16" t="s">
        <v>18</v>
      </c>
      <c r="EQ33" s="16" t="s">
        <v>19</v>
      </c>
      <c r="ER33" s="16" t="s">
        <v>20</v>
      </c>
      <c r="ES33" s="16" t="s">
        <v>21</v>
      </c>
      <c r="ET33" s="16" t="s">
        <v>22</v>
      </c>
      <c r="EU33" s="16" t="s">
        <v>23</v>
      </c>
      <c r="EV33" s="16" t="s">
        <v>24</v>
      </c>
      <c r="EW33" s="16" t="s">
        <v>25</v>
      </c>
      <c r="EX33" s="16" t="s">
        <v>26</v>
      </c>
      <c r="EY33" s="16" t="s">
        <v>27</v>
      </c>
      <c r="EZ33" s="16" t="s">
        <v>28</v>
      </c>
      <c r="FA33" s="16" t="s">
        <v>29</v>
      </c>
      <c r="FB33" s="16" t="s">
        <v>41</v>
      </c>
      <c r="FC33" s="16" t="s">
        <v>18</v>
      </c>
      <c r="FD33" s="16" t="s">
        <v>19</v>
      </c>
      <c r="FE33" s="16" t="s">
        <v>20</v>
      </c>
      <c r="FF33" s="16" t="s">
        <v>21</v>
      </c>
      <c r="FG33" s="16" t="s">
        <v>22</v>
      </c>
      <c r="FH33" s="16" t="s">
        <v>23</v>
      </c>
      <c r="FI33" s="16" t="s">
        <v>24</v>
      </c>
      <c r="FJ33" s="16" t="s">
        <v>25</v>
      </c>
      <c r="FK33" s="16" t="s">
        <v>26</v>
      </c>
      <c r="FL33" s="16" t="s">
        <v>27</v>
      </c>
      <c r="FM33" s="16" t="s">
        <v>28</v>
      </c>
      <c r="FN33" s="16" t="s">
        <v>29</v>
      </c>
      <c r="FO33" s="16" t="s">
        <v>42</v>
      </c>
    </row>
    <row r="34" spans="1:171" ht="27.75" customHeight="1">
      <c r="A34" s="10"/>
      <c r="B34" s="19" t="s">
        <v>43</v>
      </c>
      <c r="C34" s="20">
        <v>0</v>
      </c>
      <c r="D34" s="20">
        <v>109495507</v>
      </c>
      <c r="E34" s="20">
        <v>187847739</v>
      </c>
      <c r="F34" s="20">
        <v>265238101</v>
      </c>
      <c r="G34" s="20">
        <v>332568897</v>
      </c>
      <c r="H34" s="20">
        <v>394278543</v>
      </c>
      <c r="I34" s="20">
        <v>446664037</v>
      </c>
      <c r="J34" s="20">
        <v>504805550</v>
      </c>
      <c r="K34" s="20">
        <v>557993422</v>
      </c>
      <c r="L34" s="20">
        <v>619454289</v>
      </c>
      <c r="M34" s="20">
        <v>701289585</v>
      </c>
      <c r="N34" s="20">
        <v>852007357</v>
      </c>
      <c r="O34" s="20">
        <f t="shared" ref="O34:O39" si="50">N34</f>
        <v>852007357</v>
      </c>
      <c r="P34" s="20">
        <v>35691957</v>
      </c>
      <c r="Q34" s="20">
        <v>115879618</v>
      </c>
      <c r="R34" s="20">
        <v>210457678</v>
      </c>
      <c r="S34" s="20">
        <v>292947200</v>
      </c>
      <c r="T34" s="20">
        <v>361894458</v>
      </c>
      <c r="U34" s="20">
        <v>419786083</v>
      </c>
      <c r="V34" s="20">
        <v>476513994</v>
      </c>
      <c r="W34" s="20">
        <v>546526929</v>
      </c>
      <c r="X34" s="20">
        <v>608703218</v>
      </c>
      <c r="Y34" s="20">
        <v>688327936</v>
      </c>
      <c r="Z34" s="20">
        <v>772280679</v>
      </c>
      <c r="AA34" s="20">
        <v>976840711</v>
      </c>
      <c r="AB34" s="20">
        <f t="shared" ref="AB34:AB39" si="51">AA34</f>
        <v>976840711</v>
      </c>
      <c r="AC34" s="20">
        <v>40005015</v>
      </c>
      <c r="AD34" s="20">
        <v>118158110</v>
      </c>
      <c r="AE34" s="20">
        <v>206609169</v>
      </c>
      <c r="AF34" s="20">
        <v>287881130</v>
      </c>
      <c r="AG34" s="20">
        <v>358249243</v>
      </c>
      <c r="AH34" s="20">
        <v>428512091</v>
      </c>
      <c r="AI34" s="20">
        <v>493195502</v>
      </c>
      <c r="AJ34" s="20">
        <v>565430649</v>
      </c>
      <c r="AK34" s="20">
        <v>635240221</v>
      </c>
      <c r="AL34" s="20">
        <v>720114806</v>
      </c>
      <c r="AM34" s="20">
        <v>799381459</v>
      </c>
      <c r="AN34" s="20">
        <v>939632633</v>
      </c>
      <c r="AO34" s="20">
        <f t="shared" ref="AO34:AO39" si="52">AN34</f>
        <v>939632633</v>
      </c>
      <c r="AP34" s="20">
        <v>40701104</v>
      </c>
      <c r="AQ34" s="20">
        <v>108107750</v>
      </c>
      <c r="AR34" s="20">
        <v>184856578</v>
      </c>
      <c r="AS34" s="20">
        <v>252856020</v>
      </c>
      <c r="AT34" s="20">
        <v>319104639</v>
      </c>
      <c r="AU34" s="20">
        <v>374972572</v>
      </c>
      <c r="AV34" s="20">
        <v>431914072</v>
      </c>
      <c r="AW34" s="20">
        <v>497890053</v>
      </c>
      <c r="AX34" s="20">
        <v>572274603</v>
      </c>
      <c r="AY34" s="20">
        <v>640444837</v>
      </c>
      <c r="AZ34" s="20">
        <v>725045158</v>
      </c>
      <c r="BA34" s="20">
        <v>907408172</v>
      </c>
      <c r="BB34" s="20">
        <f t="shared" ref="BB34:BB39" si="53">BA34</f>
        <v>907408172</v>
      </c>
      <c r="BC34" s="20">
        <v>0</v>
      </c>
      <c r="BD34" s="20">
        <v>80673042</v>
      </c>
      <c r="BE34" s="20">
        <v>168539648</v>
      </c>
      <c r="BF34" s="20">
        <v>237340393</v>
      </c>
      <c r="BG34" s="20">
        <v>309376504</v>
      </c>
      <c r="BH34" s="20">
        <v>379148992</v>
      </c>
      <c r="BI34" s="20">
        <v>442209871</v>
      </c>
      <c r="BJ34" s="20">
        <v>504027341</v>
      </c>
      <c r="BK34" s="20">
        <v>570803171</v>
      </c>
      <c r="BL34" s="20">
        <v>654884646</v>
      </c>
      <c r="BM34" s="20">
        <v>732454087</v>
      </c>
      <c r="BN34" s="20">
        <v>901443445</v>
      </c>
      <c r="BO34" s="20">
        <f t="shared" ref="BO34:BO39" si="54">BN34</f>
        <v>901443445</v>
      </c>
      <c r="BP34" s="20">
        <v>0</v>
      </c>
      <c r="BQ34" s="20">
        <v>102696407</v>
      </c>
      <c r="BR34" s="20">
        <v>193837202</v>
      </c>
      <c r="BS34" s="20">
        <v>287563262</v>
      </c>
      <c r="BT34" s="20">
        <v>363596898</v>
      </c>
      <c r="BU34" s="20">
        <v>432817167</v>
      </c>
      <c r="BV34" s="20">
        <v>525171083</v>
      </c>
      <c r="BW34" s="20">
        <v>613755849</v>
      </c>
      <c r="BX34" s="20">
        <v>681368937</v>
      </c>
      <c r="BY34" s="20">
        <v>768886920</v>
      </c>
      <c r="BZ34" s="20">
        <v>859787144</v>
      </c>
      <c r="CA34" s="20">
        <v>1081677766</v>
      </c>
      <c r="CB34" s="20">
        <f t="shared" ref="CB34:CB39" si="55">CA34</f>
        <v>1081677766</v>
      </c>
      <c r="CC34" s="20">
        <v>0</v>
      </c>
      <c r="CD34" s="20">
        <v>96871169</v>
      </c>
      <c r="CE34" s="20">
        <v>193870511</v>
      </c>
      <c r="CF34" s="20">
        <v>272631717</v>
      </c>
      <c r="CG34" s="20">
        <v>327561887</v>
      </c>
      <c r="CH34" s="20">
        <v>418295604</v>
      </c>
      <c r="CI34" s="20">
        <v>502258190</v>
      </c>
      <c r="CJ34" s="20">
        <v>574520045</v>
      </c>
      <c r="CK34" s="20">
        <v>633600171</v>
      </c>
      <c r="CL34" s="20">
        <v>713927353</v>
      </c>
      <c r="CM34" s="20">
        <v>800349975</v>
      </c>
      <c r="CN34" s="20">
        <v>945847843</v>
      </c>
      <c r="CO34" s="20">
        <f t="shared" ref="CO34:CO39" si="56">CN34</f>
        <v>945847843</v>
      </c>
      <c r="CP34" s="20">
        <v>0</v>
      </c>
      <c r="CQ34" s="20">
        <v>101383549</v>
      </c>
      <c r="CR34" s="20">
        <v>198441247</v>
      </c>
      <c r="CS34" s="20">
        <v>284324137</v>
      </c>
      <c r="CT34" s="20">
        <v>358590676</v>
      </c>
      <c r="CU34" s="20">
        <v>433048907</v>
      </c>
      <c r="CV34" s="20">
        <v>503354400</v>
      </c>
      <c r="CW34" s="20">
        <v>586218042</v>
      </c>
      <c r="CX34" s="20">
        <v>653892258</v>
      </c>
      <c r="CY34" s="20">
        <v>714435373</v>
      </c>
      <c r="CZ34" s="20">
        <v>802149786</v>
      </c>
      <c r="DA34" s="20">
        <v>979979167</v>
      </c>
      <c r="DB34" s="20">
        <f t="shared" ref="DB34:DB39" si="57">DA34</f>
        <v>979979167</v>
      </c>
      <c r="DC34" s="20">
        <v>0</v>
      </c>
      <c r="DD34" s="20">
        <v>58153045</v>
      </c>
      <c r="DE34" s="20">
        <v>139608998</v>
      </c>
      <c r="DF34" s="20">
        <v>206666427</v>
      </c>
      <c r="DG34" s="20">
        <v>283374746</v>
      </c>
      <c r="DH34" s="20">
        <v>345265825</v>
      </c>
      <c r="DI34" s="20">
        <v>405594742</v>
      </c>
      <c r="DJ34" s="20">
        <v>472550892</v>
      </c>
      <c r="DK34" s="20">
        <v>616595780</v>
      </c>
      <c r="DL34" s="20">
        <v>680714110</v>
      </c>
      <c r="DM34" s="20">
        <v>760339461</v>
      </c>
      <c r="DN34" s="20">
        <v>955760345</v>
      </c>
      <c r="DO34" s="20">
        <f t="shared" ref="DO34:DO39" si="58">DN34</f>
        <v>955760345</v>
      </c>
      <c r="DP34" s="20">
        <v>0</v>
      </c>
      <c r="DQ34" s="20">
        <v>18205266</v>
      </c>
      <c r="DR34" s="20">
        <v>138456688</v>
      </c>
      <c r="DS34" s="20">
        <v>309745351</v>
      </c>
      <c r="DT34" s="20">
        <v>436281161</v>
      </c>
      <c r="DU34" s="20">
        <v>544941612</v>
      </c>
      <c r="DV34" s="20">
        <v>643572937</v>
      </c>
      <c r="DW34" s="20">
        <v>731872328</v>
      </c>
      <c r="DX34" s="20">
        <v>824719400</v>
      </c>
      <c r="DY34" s="20">
        <v>940512329</v>
      </c>
      <c r="DZ34" s="20">
        <v>1088998456</v>
      </c>
      <c r="EA34" s="20">
        <v>1417380025</v>
      </c>
      <c r="EB34" s="20">
        <f t="shared" ref="EB34:EB39" si="59">EA34</f>
        <v>1417380025</v>
      </c>
      <c r="EC34" s="20">
        <v>0</v>
      </c>
      <c r="ED34" s="20">
        <v>115017803</v>
      </c>
      <c r="EE34" s="20">
        <v>245067556</v>
      </c>
      <c r="EF34" s="20">
        <v>379975864</v>
      </c>
      <c r="EG34" s="20">
        <v>521874015</v>
      </c>
      <c r="EH34" s="20">
        <v>774852600</v>
      </c>
      <c r="EI34" s="20">
        <v>856290603</v>
      </c>
      <c r="EJ34" s="20">
        <v>943020316</v>
      </c>
      <c r="EK34" s="20">
        <v>1073272838</v>
      </c>
      <c r="EL34" s="20">
        <v>1212620083</v>
      </c>
      <c r="EM34" s="20">
        <v>1411133522</v>
      </c>
      <c r="EN34" s="20">
        <v>1603559540</v>
      </c>
      <c r="EO34" s="20">
        <f t="shared" ref="EO34:EO39" si="60">EN34</f>
        <v>1603559540</v>
      </c>
      <c r="EP34" s="20">
        <v>1418928</v>
      </c>
      <c r="EQ34" s="20">
        <v>262166719</v>
      </c>
      <c r="ER34" s="20">
        <v>478250448</v>
      </c>
      <c r="ES34" s="20">
        <v>666185288</v>
      </c>
      <c r="ET34" s="20">
        <v>837833362</v>
      </c>
      <c r="EU34" s="20">
        <v>982362882</v>
      </c>
      <c r="EV34" s="20">
        <v>1108324387</v>
      </c>
      <c r="EW34" s="20">
        <v>1217723031</v>
      </c>
      <c r="EX34" s="20">
        <v>1369623467</v>
      </c>
      <c r="EY34" s="20">
        <v>1492337572</v>
      </c>
      <c r="EZ34" s="20">
        <v>1632445535</v>
      </c>
      <c r="FA34" s="20">
        <v>1947648753</v>
      </c>
      <c r="FB34" s="20">
        <f t="shared" ref="FB34:FB39" si="61">FA34</f>
        <v>1947648753</v>
      </c>
      <c r="FC34" s="20">
        <v>0</v>
      </c>
      <c r="FD34" s="20">
        <v>162224034</v>
      </c>
      <c r="FE34" s="20">
        <v>321332158</v>
      </c>
      <c r="FF34" s="20">
        <v>469566556</v>
      </c>
      <c r="FG34" s="20">
        <v>614978745</v>
      </c>
      <c r="FH34" s="20">
        <v>776558972</v>
      </c>
      <c r="FI34" s="20">
        <v>909487841</v>
      </c>
      <c r="FJ34" s="10"/>
      <c r="FK34" s="10"/>
      <c r="FL34" s="10"/>
      <c r="FM34" s="10"/>
      <c r="FN34" s="10"/>
      <c r="FO34" s="20">
        <f t="shared" ref="FO34:FO39" si="62">FI34</f>
        <v>909487841</v>
      </c>
    </row>
    <row r="35" spans="1:171" ht="27.75" customHeight="1">
      <c r="A35" s="10"/>
      <c r="B35" s="19" t="s">
        <v>44</v>
      </c>
      <c r="C35" s="20">
        <v>0</v>
      </c>
      <c r="D35" s="20">
        <v>0</v>
      </c>
      <c r="E35" s="20">
        <v>0</v>
      </c>
      <c r="F35" s="20">
        <v>12849023</v>
      </c>
      <c r="G35" s="20">
        <v>18502602</v>
      </c>
      <c r="H35" s="20">
        <v>24001975</v>
      </c>
      <c r="I35" s="20">
        <v>28200302</v>
      </c>
      <c r="J35" s="20">
        <v>35581648</v>
      </c>
      <c r="K35" s="20">
        <v>44712998</v>
      </c>
      <c r="L35" s="20">
        <v>54749457</v>
      </c>
      <c r="M35" s="20">
        <v>68221191</v>
      </c>
      <c r="N35" s="20">
        <v>104714724</v>
      </c>
      <c r="O35" s="20">
        <f t="shared" si="50"/>
        <v>104714724</v>
      </c>
      <c r="P35" s="20">
        <v>4135149</v>
      </c>
      <c r="Q35" s="20">
        <v>12016222</v>
      </c>
      <c r="R35" s="20">
        <v>22838957</v>
      </c>
      <c r="S35" s="20">
        <v>31173658</v>
      </c>
      <c r="T35" s="20">
        <v>38126481</v>
      </c>
      <c r="U35" s="20">
        <v>48008563</v>
      </c>
      <c r="V35" s="20">
        <v>54996009</v>
      </c>
      <c r="W35" s="20">
        <v>62015391</v>
      </c>
      <c r="X35" s="20">
        <v>73214656</v>
      </c>
      <c r="Y35" s="20">
        <v>81368537</v>
      </c>
      <c r="Z35" s="20">
        <v>95966048</v>
      </c>
      <c r="AA35" s="20">
        <v>127205691</v>
      </c>
      <c r="AB35" s="20">
        <f t="shared" si="51"/>
        <v>127205691</v>
      </c>
      <c r="AC35" s="20">
        <v>1644472</v>
      </c>
      <c r="AD35" s="20">
        <v>6760437</v>
      </c>
      <c r="AE35" s="20">
        <v>14482109</v>
      </c>
      <c r="AF35" s="20">
        <v>20055802</v>
      </c>
      <c r="AG35" s="20">
        <v>26700349</v>
      </c>
      <c r="AH35" s="20">
        <v>38755843</v>
      </c>
      <c r="AI35" s="20">
        <v>45496469</v>
      </c>
      <c r="AJ35" s="20">
        <v>52480551</v>
      </c>
      <c r="AK35" s="20">
        <v>60402105</v>
      </c>
      <c r="AL35" s="20">
        <v>68110654</v>
      </c>
      <c r="AM35" s="20">
        <v>84499774</v>
      </c>
      <c r="AN35" s="20">
        <v>125549909</v>
      </c>
      <c r="AO35" s="20">
        <f t="shared" si="52"/>
        <v>125549909</v>
      </c>
      <c r="AP35" s="20">
        <v>1269137</v>
      </c>
      <c r="AQ35" s="20">
        <v>5677714</v>
      </c>
      <c r="AR35" s="20">
        <v>11079172</v>
      </c>
      <c r="AS35" s="20">
        <v>19699660</v>
      </c>
      <c r="AT35" s="20">
        <v>26881172</v>
      </c>
      <c r="AU35" s="20">
        <v>36009564</v>
      </c>
      <c r="AV35" s="20">
        <v>43753678</v>
      </c>
      <c r="AW35" s="20">
        <v>54111195</v>
      </c>
      <c r="AX35" s="20">
        <v>65957670</v>
      </c>
      <c r="AY35" s="20">
        <v>79535288</v>
      </c>
      <c r="AZ35" s="20">
        <v>98614598</v>
      </c>
      <c r="BA35" s="20">
        <v>145867704</v>
      </c>
      <c r="BB35" s="20">
        <f t="shared" si="53"/>
        <v>145867704</v>
      </c>
      <c r="BC35" s="20">
        <v>0</v>
      </c>
      <c r="BD35" s="20">
        <v>8476734</v>
      </c>
      <c r="BE35" s="20">
        <v>15590064</v>
      </c>
      <c r="BF35" s="20">
        <v>22689725</v>
      </c>
      <c r="BG35" s="20">
        <v>31479542</v>
      </c>
      <c r="BH35" s="20">
        <v>41016085</v>
      </c>
      <c r="BI35" s="20">
        <v>50471408</v>
      </c>
      <c r="BJ35" s="20">
        <v>56335889</v>
      </c>
      <c r="BK35" s="20">
        <v>65509002</v>
      </c>
      <c r="BL35" s="20">
        <v>73476914</v>
      </c>
      <c r="BM35" s="20">
        <v>84787919</v>
      </c>
      <c r="BN35" s="20">
        <v>119645504</v>
      </c>
      <c r="BO35" s="20">
        <f t="shared" si="54"/>
        <v>119645504</v>
      </c>
      <c r="BP35" s="20">
        <v>0</v>
      </c>
      <c r="BQ35" s="20">
        <v>0</v>
      </c>
      <c r="BR35" s="20">
        <v>0</v>
      </c>
      <c r="BS35" s="20">
        <v>14799182</v>
      </c>
      <c r="BT35" s="20">
        <v>20928761</v>
      </c>
      <c r="BU35" s="20">
        <v>27050471</v>
      </c>
      <c r="BV35" s="20">
        <v>36175836</v>
      </c>
      <c r="BW35" s="20">
        <v>44639401</v>
      </c>
      <c r="BX35" s="20">
        <v>52882663</v>
      </c>
      <c r="BY35" s="20">
        <v>68082147</v>
      </c>
      <c r="BZ35" s="20">
        <v>91945190</v>
      </c>
      <c r="CA35" s="20">
        <v>132633546</v>
      </c>
      <c r="CB35" s="20">
        <f t="shared" si="55"/>
        <v>132633546</v>
      </c>
      <c r="CC35" s="20">
        <v>0</v>
      </c>
      <c r="CD35" s="20">
        <v>0</v>
      </c>
      <c r="CE35" s="20">
        <v>15933925</v>
      </c>
      <c r="CF35" s="20">
        <v>27347698</v>
      </c>
      <c r="CG35" s="20">
        <v>34970453</v>
      </c>
      <c r="CH35" s="20">
        <v>42227599</v>
      </c>
      <c r="CI35" s="20">
        <v>50004801</v>
      </c>
      <c r="CJ35" s="20">
        <v>60357141</v>
      </c>
      <c r="CK35" s="20">
        <v>71496670</v>
      </c>
      <c r="CL35" s="20">
        <v>87043293</v>
      </c>
      <c r="CM35" s="20">
        <v>108285783</v>
      </c>
      <c r="CN35" s="20">
        <v>139288956</v>
      </c>
      <c r="CO35" s="20">
        <f t="shared" si="56"/>
        <v>139288956</v>
      </c>
      <c r="CP35" s="20">
        <v>0</v>
      </c>
      <c r="CQ35" s="20">
        <v>9524739</v>
      </c>
      <c r="CR35" s="20">
        <v>18778382</v>
      </c>
      <c r="CS35" s="20">
        <v>27058037</v>
      </c>
      <c r="CT35" s="20">
        <v>38359267</v>
      </c>
      <c r="CU35" s="20">
        <v>46029534</v>
      </c>
      <c r="CV35" s="20">
        <v>54019806</v>
      </c>
      <c r="CW35" s="20">
        <v>63431000</v>
      </c>
      <c r="CX35" s="20">
        <v>74898419</v>
      </c>
      <c r="CY35" s="20">
        <v>87833845</v>
      </c>
      <c r="CZ35" s="20">
        <v>101123468</v>
      </c>
      <c r="DA35" s="20">
        <v>129806818</v>
      </c>
      <c r="DB35" s="20">
        <f t="shared" si="57"/>
        <v>129806818</v>
      </c>
      <c r="DC35" s="20">
        <v>0</v>
      </c>
      <c r="DD35" s="20">
        <v>2161172</v>
      </c>
      <c r="DE35" s="20">
        <v>9902695</v>
      </c>
      <c r="DF35" s="20">
        <v>17446259</v>
      </c>
      <c r="DG35" s="20">
        <v>23088738</v>
      </c>
      <c r="DH35" s="20">
        <v>30830389</v>
      </c>
      <c r="DI35" s="20">
        <v>40520841</v>
      </c>
      <c r="DJ35" s="20">
        <v>46926966</v>
      </c>
      <c r="DK35" s="20">
        <v>55522281</v>
      </c>
      <c r="DL35" s="20">
        <v>68952930</v>
      </c>
      <c r="DM35" s="20">
        <v>83462172</v>
      </c>
      <c r="DN35" s="20">
        <v>128495787</v>
      </c>
      <c r="DO35" s="20">
        <f t="shared" si="58"/>
        <v>128495787</v>
      </c>
      <c r="DP35" s="20">
        <v>0</v>
      </c>
      <c r="DQ35" s="20">
        <v>6431623</v>
      </c>
      <c r="DR35" s="20">
        <v>21339974</v>
      </c>
      <c r="DS35" s="20">
        <v>32945027</v>
      </c>
      <c r="DT35" s="20">
        <v>47577177</v>
      </c>
      <c r="DU35" s="20">
        <v>63593303</v>
      </c>
      <c r="DV35" s="20">
        <v>79376685</v>
      </c>
      <c r="DW35" s="20">
        <v>92813663</v>
      </c>
      <c r="DX35" s="20">
        <v>104125697</v>
      </c>
      <c r="DY35" s="20">
        <v>112739918</v>
      </c>
      <c r="DZ35" s="20">
        <v>129397461</v>
      </c>
      <c r="EA35" s="20">
        <v>195957467</v>
      </c>
      <c r="EB35" s="20">
        <f t="shared" si="59"/>
        <v>195957467</v>
      </c>
      <c r="EC35" s="20">
        <v>0</v>
      </c>
      <c r="ED35" s="20">
        <v>6377090</v>
      </c>
      <c r="EE35" s="20">
        <v>23890040</v>
      </c>
      <c r="EF35" s="20">
        <v>39902005</v>
      </c>
      <c r="EG35" s="20">
        <v>58620170</v>
      </c>
      <c r="EH35" s="20">
        <v>119341758</v>
      </c>
      <c r="EI35" s="20">
        <v>136670909</v>
      </c>
      <c r="EJ35" s="20">
        <v>157100022</v>
      </c>
      <c r="EK35" s="20">
        <v>175138873</v>
      </c>
      <c r="EL35" s="20">
        <v>193499950</v>
      </c>
      <c r="EM35" s="20">
        <v>211590153</v>
      </c>
      <c r="EN35" s="20">
        <v>243896208</v>
      </c>
      <c r="EO35" s="20">
        <f t="shared" si="60"/>
        <v>243896208</v>
      </c>
      <c r="EP35" s="20">
        <v>2068692</v>
      </c>
      <c r="EQ35" s="20">
        <v>14027617</v>
      </c>
      <c r="ER35" s="20">
        <v>36168803</v>
      </c>
      <c r="ES35" s="20">
        <v>53822571</v>
      </c>
      <c r="ET35" s="20">
        <v>71880596</v>
      </c>
      <c r="EU35" s="20">
        <v>92473645</v>
      </c>
      <c r="EV35" s="20">
        <v>108898696</v>
      </c>
      <c r="EW35" s="20">
        <v>131234326</v>
      </c>
      <c r="EX35" s="20">
        <v>152827107</v>
      </c>
      <c r="EY35" s="20">
        <v>173770614</v>
      </c>
      <c r="EZ35" s="20">
        <v>201417551</v>
      </c>
      <c r="FA35" s="20">
        <v>252789386</v>
      </c>
      <c r="FB35" s="20">
        <f t="shared" si="61"/>
        <v>252789386</v>
      </c>
      <c r="FC35" s="20">
        <v>0</v>
      </c>
      <c r="FD35" s="20">
        <v>9585447</v>
      </c>
      <c r="FE35" s="20">
        <v>24838996</v>
      </c>
      <c r="FF35" s="20">
        <v>36118123</v>
      </c>
      <c r="FG35" s="20">
        <v>47381569</v>
      </c>
      <c r="FH35" s="20">
        <v>59374806</v>
      </c>
      <c r="FI35" s="20">
        <v>73650703</v>
      </c>
      <c r="FJ35" s="10"/>
      <c r="FK35" s="10"/>
      <c r="FL35" s="10"/>
      <c r="FM35" s="10"/>
      <c r="FN35" s="10"/>
      <c r="FO35" s="20">
        <f t="shared" si="62"/>
        <v>73650703</v>
      </c>
    </row>
    <row r="36" spans="1:171" ht="27.75" customHeight="1">
      <c r="A36" s="10"/>
      <c r="B36" s="19" t="s">
        <v>45</v>
      </c>
      <c r="C36" s="20">
        <v>0</v>
      </c>
      <c r="D36" s="20">
        <v>0</v>
      </c>
      <c r="E36" s="20">
        <v>2123137</v>
      </c>
      <c r="F36" s="20">
        <v>11318242</v>
      </c>
      <c r="G36" s="20">
        <v>16412231</v>
      </c>
      <c r="H36" s="20">
        <v>21503320</v>
      </c>
      <c r="I36" s="20">
        <v>26571960</v>
      </c>
      <c r="J36" s="20">
        <v>31336635</v>
      </c>
      <c r="K36" s="20">
        <v>36845348</v>
      </c>
      <c r="L36" s="20">
        <v>42847765</v>
      </c>
      <c r="M36" s="20">
        <v>49413111</v>
      </c>
      <c r="N36" s="20">
        <v>67417598</v>
      </c>
      <c r="O36" s="20">
        <f t="shared" si="50"/>
        <v>67417598</v>
      </c>
      <c r="P36" s="20">
        <v>3681645</v>
      </c>
      <c r="Q36" s="20">
        <v>8539463</v>
      </c>
      <c r="R36" s="20">
        <v>18555701</v>
      </c>
      <c r="S36" s="20">
        <v>26344808</v>
      </c>
      <c r="T36" s="20">
        <v>33283091</v>
      </c>
      <c r="U36" s="20">
        <v>38882927</v>
      </c>
      <c r="V36" s="20">
        <v>45906320</v>
      </c>
      <c r="W36" s="20">
        <v>51669887</v>
      </c>
      <c r="X36" s="20">
        <v>58317963</v>
      </c>
      <c r="Y36" s="20">
        <v>63943837</v>
      </c>
      <c r="Z36" s="20">
        <v>72706421</v>
      </c>
      <c r="AA36" s="20">
        <v>93526873</v>
      </c>
      <c r="AB36" s="20">
        <f t="shared" si="51"/>
        <v>93526873</v>
      </c>
      <c r="AC36" s="20">
        <v>0</v>
      </c>
      <c r="AD36" s="20">
        <v>7489256</v>
      </c>
      <c r="AE36" s="20">
        <v>14608985</v>
      </c>
      <c r="AF36" s="20">
        <v>20077326</v>
      </c>
      <c r="AG36" s="20">
        <v>25109701</v>
      </c>
      <c r="AH36" s="20">
        <v>31740697</v>
      </c>
      <c r="AI36" s="20">
        <v>36595708</v>
      </c>
      <c r="AJ36" s="20">
        <v>43957889</v>
      </c>
      <c r="AK36" s="20">
        <v>48847708</v>
      </c>
      <c r="AL36" s="20">
        <v>53992956</v>
      </c>
      <c r="AM36" s="20">
        <v>60335109</v>
      </c>
      <c r="AN36" s="20">
        <v>80271976</v>
      </c>
      <c r="AO36" s="20">
        <f t="shared" si="52"/>
        <v>80271976</v>
      </c>
      <c r="AP36" s="20">
        <v>0</v>
      </c>
      <c r="AQ36" s="20">
        <v>7437942</v>
      </c>
      <c r="AR36" s="20">
        <v>15597962</v>
      </c>
      <c r="AS36" s="20">
        <v>22904045</v>
      </c>
      <c r="AT36" s="20">
        <v>29421513</v>
      </c>
      <c r="AU36" s="20">
        <v>37145004</v>
      </c>
      <c r="AV36" s="20">
        <v>44696488</v>
      </c>
      <c r="AW36" s="20">
        <v>52727926</v>
      </c>
      <c r="AX36" s="20">
        <v>60463520</v>
      </c>
      <c r="AY36" s="20">
        <v>67026822</v>
      </c>
      <c r="AZ36" s="20">
        <v>76122310</v>
      </c>
      <c r="BA36" s="20">
        <v>100202686</v>
      </c>
      <c r="BB36" s="20">
        <f t="shared" si="53"/>
        <v>100202686</v>
      </c>
      <c r="BC36" s="20">
        <v>0</v>
      </c>
      <c r="BD36" s="20">
        <v>1539829</v>
      </c>
      <c r="BE36" s="20">
        <v>9980097</v>
      </c>
      <c r="BF36" s="20">
        <v>15990396</v>
      </c>
      <c r="BG36" s="20">
        <v>26512540</v>
      </c>
      <c r="BH36" s="20">
        <v>32634743</v>
      </c>
      <c r="BI36" s="20">
        <v>38873532</v>
      </c>
      <c r="BJ36" s="20">
        <v>44503197</v>
      </c>
      <c r="BK36" s="20">
        <v>51124646</v>
      </c>
      <c r="BL36" s="20">
        <v>58962002</v>
      </c>
      <c r="BM36" s="20">
        <v>71960162</v>
      </c>
      <c r="BN36" s="20">
        <v>101837360</v>
      </c>
      <c r="BO36" s="20">
        <f t="shared" si="54"/>
        <v>101837360</v>
      </c>
      <c r="BP36" s="20">
        <v>0</v>
      </c>
      <c r="BQ36" s="20">
        <v>8543845</v>
      </c>
      <c r="BR36" s="20">
        <v>16492779</v>
      </c>
      <c r="BS36" s="20">
        <v>25420378</v>
      </c>
      <c r="BT36" s="20">
        <v>33246158</v>
      </c>
      <c r="BU36" s="20">
        <v>39464017</v>
      </c>
      <c r="BV36" s="20">
        <v>45418356</v>
      </c>
      <c r="BW36" s="20">
        <v>54819773</v>
      </c>
      <c r="BX36" s="20">
        <v>62481533</v>
      </c>
      <c r="BY36" s="20">
        <v>71071550</v>
      </c>
      <c r="BZ36" s="20">
        <v>80774307</v>
      </c>
      <c r="CA36" s="20">
        <v>109754082</v>
      </c>
      <c r="CB36" s="20">
        <f t="shared" si="55"/>
        <v>109754082</v>
      </c>
      <c r="CC36" s="20">
        <v>0</v>
      </c>
      <c r="CD36" s="20">
        <v>0</v>
      </c>
      <c r="CE36" s="20">
        <v>14046798</v>
      </c>
      <c r="CF36" s="20">
        <v>23975486</v>
      </c>
      <c r="CG36" s="20">
        <v>32933206</v>
      </c>
      <c r="CH36" s="20">
        <v>44476459</v>
      </c>
      <c r="CI36" s="20">
        <v>54767019</v>
      </c>
      <c r="CJ36" s="20">
        <v>64603134</v>
      </c>
      <c r="CK36" s="20">
        <v>75187064</v>
      </c>
      <c r="CL36" s="20">
        <v>91643647</v>
      </c>
      <c r="CM36" s="20">
        <v>112911790</v>
      </c>
      <c r="CN36" s="20">
        <v>145498589</v>
      </c>
      <c r="CO36" s="20">
        <f t="shared" si="56"/>
        <v>145498589</v>
      </c>
      <c r="CP36" s="20">
        <v>0</v>
      </c>
      <c r="CQ36" s="20">
        <v>6666332</v>
      </c>
      <c r="CR36" s="20">
        <v>21867716</v>
      </c>
      <c r="CS36" s="20">
        <v>35651365</v>
      </c>
      <c r="CT36" s="20">
        <v>47287710</v>
      </c>
      <c r="CU36" s="20">
        <v>58269490</v>
      </c>
      <c r="CV36" s="20">
        <v>67196224</v>
      </c>
      <c r="CW36" s="20">
        <v>76194121</v>
      </c>
      <c r="CX36" s="20">
        <v>86850665</v>
      </c>
      <c r="CY36" s="20">
        <v>100525220</v>
      </c>
      <c r="CZ36" s="20">
        <v>114625930</v>
      </c>
      <c r="DA36" s="20">
        <v>138846156</v>
      </c>
      <c r="DB36" s="20">
        <f t="shared" si="57"/>
        <v>138846156</v>
      </c>
      <c r="DC36" s="20">
        <v>0</v>
      </c>
      <c r="DD36" s="20">
        <v>0</v>
      </c>
      <c r="DE36" s="20">
        <v>7252609</v>
      </c>
      <c r="DF36" s="20">
        <v>18124947</v>
      </c>
      <c r="DG36" s="20">
        <v>26400403</v>
      </c>
      <c r="DH36" s="20">
        <v>33265233</v>
      </c>
      <c r="DI36" s="20">
        <v>41025465</v>
      </c>
      <c r="DJ36" s="20">
        <v>48098388</v>
      </c>
      <c r="DK36" s="20">
        <v>56515227</v>
      </c>
      <c r="DL36" s="20">
        <v>64874125</v>
      </c>
      <c r="DM36" s="20">
        <v>77789880</v>
      </c>
      <c r="DN36" s="20">
        <v>108974292</v>
      </c>
      <c r="DO36" s="20">
        <f t="shared" si="58"/>
        <v>108974292</v>
      </c>
      <c r="DP36" s="20">
        <v>0</v>
      </c>
      <c r="DQ36" s="20">
        <v>2303161</v>
      </c>
      <c r="DR36" s="20">
        <v>29583551</v>
      </c>
      <c r="DS36" s="20">
        <v>49465414</v>
      </c>
      <c r="DT36" s="20">
        <v>68683761</v>
      </c>
      <c r="DU36" s="20">
        <v>84807286</v>
      </c>
      <c r="DV36" s="20">
        <v>102765834</v>
      </c>
      <c r="DW36" s="20">
        <v>120298096</v>
      </c>
      <c r="DX36" s="20">
        <v>135987986</v>
      </c>
      <c r="DY36" s="20">
        <v>156018552</v>
      </c>
      <c r="DZ36" s="20">
        <v>183226741</v>
      </c>
      <c r="EA36" s="20">
        <v>244037387</v>
      </c>
      <c r="EB36" s="20">
        <f t="shared" si="59"/>
        <v>244037387</v>
      </c>
      <c r="EC36" s="20">
        <v>0</v>
      </c>
      <c r="ED36" s="20">
        <v>11025007</v>
      </c>
      <c r="EE36" s="20">
        <v>25342159</v>
      </c>
      <c r="EF36" s="20">
        <v>43422173</v>
      </c>
      <c r="EG36" s="20">
        <v>59731566</v>
      </c>
      <c r="EH36" s="20">
        <v>80871277</v>
      </c>
      <c r="EI36" s="20">
        <v>90939725</v>
      </c>
      <c r="EJ36" s="20">
        <v>104887838</v>
      </c>
      <c r="EK36" s="20">
        <v>121545898</v>
      </c>
      <c r="EL36" s="20">
        <v>134718420</v>
      </c>
      <c r="EM36" s="20">
        <v>150454729</v>
      </c>
      <c r="EN36" s="20">
        <v>189747396</v>
      </c>
      <c r="EO36" s="20">
        <f t="shared" si="60"/>
        <v>189747396</v>
      </c>
      <c r="EP36" s="20">
        <v>2010108</v>
      </c>
      <c r="EQ36" s="20">
        <v>18132777</v>
      </c>
      <c r="ER36" s="20">
        <v>36591973</v>
      </c>
      <c r="ES36" s="20">
        <v>55560502</v>
      </c>
      <c r="ET36" s="20">
        <v>73627660</v>
      </c>
      <c r="EU36" s="20">
        <v>93134581</v>
      </c>
      <c r="EV36" s="20">
        <v>109996503</v>
      </c>
      <c r="EW36" s="20">
        <v>127458124</v>
      </c>
      <c r="EX36" s="20">
        <v>147026821</v>
      </c>
      <c r="EY36" s="20">
        <v>167611651</v>
      </c>
      <c r="EZ36" s="20">
        <v>186253362</v>
      </c>
      <c r="FA36" s="20">
        <v>231742834</v>
      </c>
      <c r="FB36" s="20">
        <f t="shared" si="61"/>
        <v>231742834</v>
      </c>
      <c r="FC36" s="20">
        <v>0</v>
      </c>
      <c r="FD36" s="20">
        <v>19469514</v>
      </c>
      <c r="FE36" s="20">
        <v>40366706</v>
      </c>
      <c r="FF36" s="20">
        <v>60258504</v>
      </c>
      <c r="FG36" s="20">
        <v>79539794</v>
      </c>
      <c r="FH36" s="20">
        <v>99543928</v>
      </c>
      <c r="FI36" s="20">
        <v>119758712</v>
      </c>
      <c r="FJ36" s="10"/>
      <c r="FK36" s="10"/>
      <c r="FL36" s="10"/>
      <c r="FM36" s="10"/>
      <c r="FN36" s="10"/>
      <c r="FO36" s="20">
        <f t="shared" si="62"/>
        <v>119758712</v>
      </c>
    </row>
    <row r="37" spans="1:171" ht="27.75" customHeight="1">
      <c r="A37" s="10"/>
      <c r="B37" s="19" t="s">
        <v>46</v>
      </c>
      <c r="C37" s="20">
        <v>0</v>
      </c>
      <c r="D37" s="20">
        <v>7450429</v>
      </c>
      <c r="E37" s="20">
        <v>13193802</v>
      </c>
      <c r="F37" s="20">
        <v>18293446</v>
      </c>
      <c r="G37" s="20">
        <v>22626920</v>
      </c>
      <c r="H37" s="20">
        <v>26415122</v>
      </c>
      <c r="I37" s="20">
        <v>30372078</v>
      </c>
      <c r="J37" s="20">
        <v>34891139</v>
      </c>
      <c r="K37" s="20">
        <v>39425450</v>
      </c>
      <c r="L37" s="20">
        <v>44372578</v>
      </c>
      <c r="M37" s="20">
        <v>49575185</v>
      </c>
      <c r="N37" s="20">
        <v>55862229</v>
      </c>
      <c r="O37" s="20">
        <f t="shared" si="50"/>
        <v>55862229</v>
      </c>
      <c r="P37" s="20">
        <v>2407710</v>
      </c>
      <c r="Q37" s="20">
        <v>5910699</v>
      </c>
      <c r="R37" s="20">
        <v>9882174</v>
      </c>
      <c r="S37" s="20">
        <v>13108974</v>
      </c>
      <c r="T37" s="20">
        <v>15732284</v>
      </c>
      <c r="U37" s="20">
        <v>19553181</v>
      </c>
      <c r="V37" s="20">
        <v>24349229</v>
      </c>
      <c r="W37" s="20">
        <v>30187369</v>
      </c>
      <c r="X37" s="20">
        <v>35622534</v>
      </c>
      <c r="Y37" s="20">
        <v>42257897</v>
      </c>
      <c r="Z37" s="20">
        <v>50178950</v>
      </c>
      <c r="AA37" s="20">
        <v>66160697</v>
      </c>
      <c r="AB37" s="20">
        <f t="shared" si="51"/>
        <v>66160697</v>
      </c>
      <c r="AC37" s="20">
        <v>5244325</v>
      </c>
      <c r="AD37" s="20">
        <v>10266262</v>
      </c>
      <c r="AE37" s="20">
        <v>16219822</v>
      </c>
      <c r="AF37" s="20">
        <v>21648618</v>
      </c>
      <c r="AG37" s="20">
        <v>27387993</v>
      </c>
      <c r="AH37" s="20">
        <v>33761936</v>
      </c>
      <c r="AI37" s="20">
        <v>38844614</v>
      </c>
      <c r="AJ37" s="20">
        <v>43222678</v>
      </c>
      <c r="AK37" s="20">
        <v>47526334</v>
      </c>
      <c r="AL37" s="20">
        <v>53352145</v>
      </c>
      <c r="AM37" s="20">
        <v>57473232</v>
      </c>
      <c r="AN37" s="20">
        <v>66424573</v>
      </c>
      <c r="AO37" s="20">
        <f t="shared" si="52"/>
        <v>66424573</v>
      </c>
      <c r="AP37" s="20">
        <v>5239069</v>
      </c>
      <c r="AQ37" s="20">
        <v>9634272</v>
      </c>
      <c r="AR37" s="20">
        <v>14245421</v>
      </c>
      <c r="AS37" s="20">
        <v>19009524</v>
      </c>
      <c r="AT37" s="20">
        <v>23475477</v>
      </c>
      <c r="AU37" s="20">
        <v>27885034</v>
      </c>
      <c r="AV37" s="20">
        <v>32415133</v>
      </c>
      <c r="AW37" s="20">
        <v>37252785</v>
      </c>
      <c r="AX37" s="20">
        <v>41640505</v>
      </c>
      <c r="AY37" s="20">
        <v>48309815</v>
      </c>
      <c r="AZ37" s="20">
        <v>56401587</v>
      </c>
      <c r="BA37" s="20">
        <v>72170849</v>
      </c>
      <c r="BB37" s="20">
        <f t="shared" si="53"/>
        <v>72170849</v>
      </c>
      <c r="BC37" s="20">
        <v>3794605</v>
      </c>
      <c r="BD37" s="20">
        <v>8887650</v>
      </c>
      <c r="BE37" s="20">
        <v>13076526</v>
      </c>
      <c r="BF37" s="20">
        <v>16300776</v>
      </c>
      <c r="BG37" s="20">
        <v>19258274</v>
      </c>
      <c r="BH37" s="20">
        <v>22907994</v>
      </c>
      <c r="BI37" s="20">
        <v>26103926</v>
      </c>
      <c r="BJ37" s="20">
        <v>29804745</v>
      </c>
      <c r="BK37" s="20">
        <v>33918911</v>
      </c>
      <c r="BL37" s="20">
        <v>41523749</v>
      </c>
      <c r="BM37" s="20">
        <v>48730813</v>
      </c>
      <c r="BN37" s="20">
        <v>60699920</v>
      </c>
      <c r="BO37" s="20">
        <f t="shared" si="54"/>
        <v>60699920</v>
      </c>
      <c r="BP37" s="20">
        <v>0</v>
      </c>
      <c r="BQ37" s="20">
        <v>4959518</v>
      </c>
      <c r="BR37" s="20">
        <v>8623561</v>
      </c>
      <c r="BS37" s="20">
        <v>12610274</v>
      </c>
      <c r="BT37" s="20">
        <v>15677706</v>
      </c>
      <c r="BU37" s="20">
        <v>18815030</v>
      </c>
      <c r="BV37" s="20">
        <v>21774664</v>
      </c>
      <c r="BW37" s="20">
        <v>25278290</v>
      </c>
      <c r="BX37" s="20">
        <v>30144344</v>
      </c>
      <c r="BY37" s="20">
        <v>37764237</v>
      </c>
      <c r="BZ37" s="20">
        <v>48335683</v>
      </c>
      <c r="CA37" s="20">
        <v>61662087</v>
      </c>
      <c r="CB37" s="20">
        <f t="shared" si="55"/>
        <v>61662087</v>
      </c>
      <c r="CC37" s="20">
        <v>2667250</v>
      </c>
      <c r="CD37" s="20">
        <v>10044327</v>
      </c>
      <c r="CE37" s="20">
        <v>16258240</v>
      </c>
      <c r="CF37" s="20">
        <v>20216983</v>
      </c>
      <c r="CG37" s="20">
        <v>23232514</v>
      </c>
      <c r="CH37" s="20">
        <v>27197118</v>
      </c>
      <c r="CI37" s="20">
        <v>32144233</v>
      </c>
      <c r="CJ37" s="20">
        <v>38307654</v>
      </c>
      <c r="CK37" s="20">
        <v>44833503</v>
      </c>
      <c r="CL37" s="20">
        <v>52317209</v>
      </c>
      <c r="CM37" s="20">
        <v>59444391</v>
      </c>
      <c r="CN37" s="20">
        <v>71411475</v>
      </c>
      <c r="CO37" s="20">
        <f t="shared" si="56"/>
        <v>71411475</v>
      </c>
      <c r="CP37" s="20">
        <v>3825181</v>
      </c>
      <c r="CQ37" s="20">
        <v>8964985</v>
      </c>
      <c r="CR37" s="20">
        <v>15055911</v>
      </c>
      <c r="CS37" s="20">
        <v>20048280</v>
      </c>
      <c r="CT37" s="20">
        <v>26317106</v>
      </c>
      <c r="CU37" s="20">
        <v>31688072</v>
      </c>
      <c r="CV37" s="20">
        <v>36444446</v>
      </c>
      <c r="CW37" s="20">
        <v>42554997</v>
      </c>
      <c r="CX37" s="20">
        <v>48413592</v>
      </c>
      <c r="CY37" s="20">
        <v>53825635</v>
      </c>
      <c r="CZ37" s="20">
        <v>60943515</v>
      </c>
      <c r="DA37" s="20">
        <v>72860066</v>
      </c>
      <c r="DB37" s="20">
        <f t="shared" si="57"/>
        <v>72860066</v>
      </c>
      <c r="DC37" s="20">
        <v>0</v>
      </c>
      <c r="DD37" s="20">
        <v>6831369</v>
      </c>
      <c r="DE37" s="20">
        <v>12735359</v>
      </c>
      <c r="DF37" s="20">
        <v>17744111</v>
      </c>
      <c r="DG37" s="20">
        <v>21871504</v>
      </c>
      <c r="DH37" s="20">
        <v>26590987</v>
      </c>
      <c r="DI37" s="20">
        <v>29792299</v>
      </c>
      <c r="DJ37" s="20">
        <v>33545628</v>
      </c>
      <c r="DK37" s="20">
        <v>38180759</v>
      </c>
      <c r="DL37" s="20">
        <v>44900676</v>
      </c>
      <c r="DM37" s="20">
        <v>49875536</v>
      </c>
      <c r="DN37" s="20">
        <v>63389831</v>
      </c>
      <c r="DO37" s="20">
        <f t="shared" si="58"/>
        <v>63389831</v>
      </c>
      <c r="DP37" s="20">
        <v>0</v>
      </c>
      <c r="DQ37" s="20">
        <v>9852119</v>
      </c>
      <c r="DR37" s="20">
        <v>18996634</v>
      </c>
      <c r="DS37" s="20">
        <v>27251266</v>
      </c>
      <c r="DT37" s="20">
        <v>35013028</v>
      </c>
      <c r="DU37" s="20">
        <v>43003795</v>
      </c>
      <c r="DV37" s="20">
        <v>50751095</v>
      </c>
      <c r="DW37" s="20">
        <v>58156520</v>
      </c>
      <c r="DX37" s="20">
        <v>66259094</v>
      </c>
      <c r="DY37" s="20">
        <v>74165411</v>
      </c>
      <c r="DZ37" s="20">
        <v>86349973</v>
      </c>
      <c r="EA37" s="20">
        <v>104365673</v>
      </c>
      <c r="EB37" s="20">
        <f t="shared" si="59"/>
        <v>104365673</v>
      </c>
      <c r="EC37" s="20">
        <v>0</v>
      </c>
      <c r="ED37" s="20">
        <v>14355305</v>
      </c>
      <c r="EE37" s="20">
        <v>24004310</v>
      </c>
      <c r="EF37" s="20">
        <v>34981155</v>
      </c>
      <c r="EG37" s="20">
        <v>44329314</v>
      </c>
      <c r="EH37" s="20">
        <v>57184018</v>
      </c>
      <c r="EI37" s="20">
        <v>67266994</v>
      </c>
      <c r="EJ37" s="20">
        <v>77238997</v>
      </c>
      <c r="EK37" s="20">
        <v>87016951</v>
      </c>
      <c r="EL37" s="20">
        <v>98032816</v>
      </c>
      <c r="EM37" s="20">
        <v>108856624</v>
      </c>
      <c r="EN37" s="20">
        <v>122976500</v>
      </c>
      <c r="EO37" s="20">
        <f t="shared" si="60"/>
        <v>122976500</v>
      </c>
      <c r="EP37" s="20">
        <v>11343929</v>
      </c>
      <c r="EQ37" s="20">
        <v>22880886</v>
      </c>
      <c r="ER37" s="20">
        <v>31954442</v>
      </c>
      <c r="ES37" s="20">
        <v>40743206</v>
      </c>
      <c r="ET37" s="20">
        <v>50003253</v>
      </c>
      <c r="EU37" s="20">
        <v>61155170</v>
      </c>
      <c r="EV37" s="20">
        <v>73000387</v>
      </c>
      <c r="EW37" s="20">
        <v>82403582</v>
      </c>
      <c r="EX37" s="20">
        <v>91424463</v>
      </c>
      <c r="EY37" s="20">
        <v>102261627</v>
      </c>
      <c r="EZ37" s="20">
        <v>115278067</v>
      </c>
      <c r="FA37" s="20">
        <v>140810158</v>
      </c>
      <c r="FB37" s="20">
        <f t="shared" si="61"/>
        <v>140810158</v>
      </c>
      <c r="FC37" s="20">
        <v>5334724</v>
      </c>
      <c r="FD37" s="20">
        <v>18823694</v>
      </c>
      <c r="FE37" s="20">
        <v>29721986</v>
      </c>
      <c r="FF37" s="20">
        <v>39558533</v>
      </c>
      <c r="FG37" s="20">
        <v>50252046</v>
      </c>
      <c r="FH37" s="20">
        <v>57851838</v>
      </c>
      <c r="FI37" s="20">
        <v>65221155</v>
      </c>
      <c r="FJ37" s="10"/>
      <c r="FK37" s="10"/>
      <c r="FL37" s="10"/>
      <c r="FM37" s="10"/>
      <c r="FN37" s="10"/>
      <c r="FO37" s="20">
        <f t="shared" si="62"/>
        <v>65221155</v>
      </c>
    </row>
    <row r="38" spans="1:171" ht="27.75" customHeight="1">
      <c r="A38" s="10"/>
      <c r="B38" s="19" t="s">
        <v>47</v>
      </c>
      <c r="C38" s="20">
        <v>0</v>
      </c>
      <c r="D38" s="20">
        <v>3153629</v>
      </c>
      <c r="E38" s="20">
        <v>6333205</v>
      </c>
      <c r="F38" s="20">
        <v>10206572</v>
      </c>
      <c r="G38" s="20">
        <v>13380354</v>
      </c>
      <c r="H38" s="20">
        <v>15204069</v>
      </c>
      <c r="I38" s="20">
        <v>18935291</v>
      </c>
      <c r="J38" s="20">
        <v>22710901</v>
      </c>
      <c r="K38" s="20">
        <v>27092685</v>
      </c>
      <c r="L38" s="20">
        <v>30577580</v>
      </c>
      <c r="M38" s="20">
        <v>35648923</v>
      </c>
      <c r="N38" s="20">
        <v>45255795</v>
      </c>
      <c r="O38" s="20">
        <f t="shared" si="50"/>
        <v>45255795</v>
      </c>
      <c r="P38" s="20">
        <v>2264225</v>
      </c>
      <c r="Q38" s="20">
        <v>4541595</v>
      </c>
      <c r="R38" s="20">
        <v>8911305</v>
      </c>
      <c r="S38" s="20">
        <v>11084249</v>
      </c>
      <c r="T38" s="20">
        <v>12623921</v>
      </c>
      <c r="U38" s="20">
        <v>14560264</v>
      </c>
      <c r="V38" s="20">
        <v>16520085</v>
      </c>
      <c r="W38" s="20">
        <v>18590642</v>
      </c>
      <c r="X38" s="20">
        <v>20057752</v>
      </c>
      <c r="Y38" s="20">
        <v>21728752</v>
      </c>
      <c r="Z38" s="20">
        <v>25609920</v>
      </c>
      <c r="AA38" s="20">
        <v>34520713</v>
      </c>
      <c r="AB38" s="20">
        <f t="shared" si="51"/>
        <v>34520713</v>
      </c>
      <c r="AC38" s="20">
        <v>1294891</v>
      </c>
      <c r="AD38" s="20">
        <v>3230391</v>
      </c>
      <c r="AE38" s="20">
        <v>6707771</v>
      </c>
      <c r="AF38" s="20">
        <v>9854285</v>
      </c>
      <c r="AG38" s="20">
        <v>12462996</v>
      </c>
      <c r="AH38" s="20">
        <v>14578473</v>
      </c>
      <c r="AI38" s="20">
        <v>18444600</v>
      </c>
      <c r="AJ38" s="20">
        <v>21445778</v>
      </c>
      <c r="AK38" s="20">
        <v>24594268</v>
      </c>
      <c r="AL38" s="20">
        <v>28879386</v>
      </c>
      <c r="AM38" s="20">
        <v>34953390</v>
      </c>
      <c r="AN38" s="20">
        <v>43649710</v>
      </c>
      <c r="AO38" s="20">
        <f t="shared" si="52"/>
        <v>43649710</v>
      </c>
      <c r="AP38" s="20">
        <v>1701148</v>
      </c>
      <c r="AQ38" s="20">
        <v>4989185</v>
      </c>
      <c r="AR38" s="20">
        <v>8908051</v>
      </c>
      <c r="AS38" s="20">
        <v>11712516</v>
      </c>
      <c r="AT38" s="20">
        <v>15151391</v>
      </c>
      <c r="AU38" s="20">
        <v>18220822</v>
      </c>
      <c r="AV38" s="20">
        <v>21901116</v>
      </c>
      <c r="AW38" s="20">
        <v>24950352</v>
      </c>
      <c r="AX38" s="20">
        <v>28607785</v>
      </c>
      <c r="AY38" s="20">
        <v>32972810</v>
      </c>
      <c r="AZ38" s="20">
        <v>38268304</v>
      </c>
      <c r="BA38" s="20">
        <v>48861397</v>
      </c>
      <c r="BB38" s="20">
        <f t="shared" si="53"/>
        <v>48861397</v>
      </c>
      <c r="BC38" s="20">
        <v>2321145</v>
      </c>
      <c r="BD38" s="20">
        <v>7642086</v>
      </c>
      <c r="BE38" s="20">
        <v>9990190</v>
      </c>
      <c r="BF38" s="20">
        <v>11333440</v>
      </c>
      <c r="BG38" s="20">
        <v>13219960</v>
      </c>
      <c r="BH38" s="20">
        <v>14644250</v>
      </c>
      <c r="BI38" s="20">
        <v>17565409</v>
      </c>
      <c r="BJ38" s="20">
        <v>19503920</v>
      </c>
      <c r="BK38" s="20">
        <v>21067209</v>
      </c>
      <c r="BL38" s="20">
        <v>23658290</v>
      </c>
      <c r="BM38" s="20">
        <v>27309272</v>
      </c>
      <c r="BN38" s="20">
        <v>34089377</v>
      </c>
      <c r="BO38" s="20">
        <f t="shared" si="54"/>
        <v>34089377</v>
      </c>
      <c r="BP38" s="20">
        <v>0</v>
      </c>
      <c r="BQ38" s="20">
        <v>2918777</v>
      </c>
      <c r="BR38" s="20">
        <v>8655533</v>
      </c>
      <c r="BS38" s="20">
        <v>12471449</v>
      </c>
      <c r="BT38" s="20">
        <v>15294277</v>
      </c>
      <c r="BU38" s="20">
        <v>17720411</v>
      </c>
      <c r="BV38" s="20">
        <v>19806946</v>
      </c>
      <c r="BW38" s="20">
        <v>21796811</v>
      </c>
      <c r="BX38" s="20">
        <v>24959259</v>
      </c>
      <c r="BY38" s="20">
        <v>30963792</v>
      </c>
      <c r="BZ38" s="20">
        <v>38358537</v>
      </c>
      <c r="CA38" s="20">
        <v>53939967</v>
      </c>
      <c r="CB38" s="20">
        <f t="shared" si="55"/>
        <v>53939967</v>
      </c>
      <c r="CC38" s="20">
        <v>303665</v>
      </c>
      <c r="CD38" s="20">
        <v>4282732</v>
      </c>
      <c r="CE38" s="20">
        <v>8015041</v>
      </c>
      <c r="CF38" s="20">
        <v>10962085</v>
      </c>
      <c r="CG38" s="20">
        <v>13797288</v>
      </c>
      <c r="CH38" s="20">
        <v>16103675</v>
      </c>
      <c r="CI38" s="20">
        <v>17499070</v>
      </c>
      <c r="CJ38" s="20">
        <v>18841178</v>
      </c>
      <c r="CK38" s="20">
        <v>20956225</v>
      </c>
      <c r="CL38" s="20">
        <v>26897713</v>
      </c>
      <c r="CM38" s="20">
        <v>39607854</v>
      </c>
      <c r="CN38" s="20">
        <v>58248413</v>
      </c>
      <c r="CO38" s="20">
        <f t="shared" si="56"/>
        <v>58248413</v>
      </c>
      <c r="CP38" s="20">
        <v>5238741</v>
      </c>
      <c r="CQ38" s="20">
        <v>10943486</v>
      </c>
      <c r="CR38" s="20">
        <v>18457428</v>
      </c>
      <c r="CS38" s="20">
        <v>27356255</v>
      </c>
      <c r="CT38" s="20">
        <v>33912011</v>
      </c>
      <c r="CU38" s="20">
        <v>39164650</v>
      </c>
      <c r="CV38" s="20">
        <v>41928107</v>
      </c>
      <c r="CW38" s="20">
        <v>45570244</v>
      </c>
      <c r="CX38" s="20">
        <v>48624248</v>
      </c>
      <c r="CY38" s="20">
        <v>50023582</v>
      </c>
      <c r="CZ38" s="20">
        <v>51847218</v>
      </c>
      <c r="DA38" s="20">
        <v>56686190</v>
      </c>
      <c r="DB38" s="20">
        <f t="shared" si="57"/>
        <v>56686190</v>
      </c>
      <c r="DC38" s="20">
        <v>839540</v>
      </c>
      <c r="DD38" s="20">
        <v>1930275</v>
      </c>
      <c r="DE38" s="20">
        <v>5065401</v>
      </c>
      <c r="DF38" s="20">
        <v>7642514</v>
      </c>
      <c r="DG38" s="20">
        <v>8217159</v>
      </c>
      <c r="DH38" s="20">
        <v>9505928</v>
      </c>
      <c r="DI38" s="20">
        <v>12107075</v>
      </c>
      <c r="DJ38" s="20">
        <v>14547935</v>
      </c>
      <c r="DK38" s="20">
        <v>17494128</v>
      </c>
      <c r="DL38" s="20">
        <v>27673768</v>
      </c>
      <c r="DM38" s="20">
        <v>40027308</v>
      </c>
      <c r="DN38" s="20">
        <v>65439532</v>
      </c>
      <c r="DO38" s="20">
        <f t="shared" si="58"/>
        <v>65439532</v>
      </c>
      <c r="DP38" s="20">
        <v>0</v>
      </c>
      <c r="DQ38" s="20">
        <v>13210998</v>
      </c>
      <c r="DR38" s="20">
        <v>26801255</v>
      </c>
      <c r="DS38" s="20">
        <v>34566510</v>
      </c>
      <c r="DT38" s="20">
        <v>40280060</v>
      </c>
      <c r="DU38" s="20">
        <v>46287111</v>
      </c>
      <c r="DV38" s="20">
        <v>50590434</v>
      </c>
      <c r="DW38" s="20">
        <v>60655017</v>
      </c>
      <c r="DX38" s="20">
        <v>67496353</v>
      </c>
      <c r="DY38" s="20">
        <v>74862435</v>
      </c>
      <c r="DZ38" s="20">
        <v>89687930</v>
      </c>
      <c r="EA38" s="20">
        <v>122803224</v>
      </c>
      <c r="EB38" s="20">
        <f t="shared" si="59"/>
        <v>122803224</v>
      </c>
      <c r="EC38" s="20">
        <v>0</v>
      </c>
      <c r="ED38" s="20">
        <v>10801902</v>
      </c>
      <c r="EE38" s="20">
        <v>21691356</v>
      </c>
      <c r="EF38" s="20">
        <v>33317068</v>
      </c>
      <c r="EG38" s="20">
        <v>44122345</v>
      </c>
      <c r="EH38" s="20">
        <v>59135603</v>
      </c>
      <c r="EI38" s="20">
        <v>66601938</v>
      </c>
      <c r="EJ38" s="20">
        <v>74752243</v>
      </c>
      <c r="EK38" s="20">
        <v>86852892</v>
      </c>
      <c r="EL38" s="20">
        <v>99348688</v>
      </c>
      <c r="EM38" s="20">
        <v>111690617</v>
      </c>
      <c r="EN38" s="20">
        <v>121236421</v>
      </c>
      <c r="EO38" s="20">
        <f t="shared" si="60"/>
        <v>121236421</v>
      </c>
      <c r="EP38" s="20">
        <v>5480453</v>
      </c>
      <c r="EQ38" s="20">
        <v>18789767</v>
      </c>
      <c r="ER38" s="20">
        <v>33876924</v>
      </c>
      <c r="ES38" s="20">
        <v>51049771</v>
      </c>
      <c r="ET38" s="20">
        <v>63060218</v>
      </c>
      <c r="EU38" s="20">
        <v>70081917</v>
      </c>
      <c r="EV38" s="20">
        <v>74458174</v>
      </c>
      <c r="EW38" s="20">
        <v>78656297</v>
      </c>
      <c r="EX38" s="20">
        <v>86517922</v>
      </c>
      <c r="EY38" s="20">
        <v>100099974</v>
      </c>
      <c r="EZ38" s="20">
        <v>112429460</v>
      </c>
      <c r="FA38" s="20">
        <v>142638019</v>
      </c>
      <c r="FB38" s="20">
        <f t="shared" si="61"/>
        <v>142638019</v>
      </c>
      <c r="FC38" s="20">
        <v>8605874</v>
      </c>
      <c r="FD38" s="20">
        <v>22342962</v>
      </c>
      <c r="FE38" s="20">
        <v>30219385</v>
      </c>
      <c r="FF38" s="20">
        <v>33540799</v>
      </c>
      <c r="FG38" s="20">
        <v>36963751</v>
      </c>
      <c r="FH38" s="20">
        <v>51185776</v>
      </c>
      <c r="FI38" s="20">
        <v>55356746</v>
      </c>
      <c r="FJ38" s="10"/>
      <c r="FK38" s="10"/>
      <c r="FL38" s="10"/>
      <c r="FM38" s="10"/>
      <c r="FN38" s="10"/>
      <c r="FO38" s="20">
        <f t="shared" si="62"/>
        <v>55356746</v>
      </c>
    </row>
    <row r="39" spans="1:171" ht="27.75" customHeight="1">
      <c r="A39" s="10"/>
      <c r="B39" s="19" t="s">
        <v>48</v>
      </c>
      <c r="C39" s="20">
        <v>0</v>
      </c>
      <c r="D39" s="20">
        <v>57591</v>
      </c>
      <c r="E39" s="20">
        <v>2904221</v>
      </c>
      <c r="F39" s="20">
        <v>4181638</v>
      </c>
      <c r="G39" s="20">
        <v>8599963</v>
      </c>
      <c r="H39" s="20">
        <v>17353835</v>
      </c>
      <c r="I39" s="20">
        <v>19639160</v>
      </c>
      <c r="J39" s="20">
        <v>20130486</v>
      </c>
      <c r="K39" s="20">
        <v>20287005</v>
      </c>
      <c r="L39" s="20">
        <v>20566868</v>
      </c>
      <c r="M39" s="20">
        <v>23635450</v>
      </c>
      <c r="N39" s="20">
        <v>25363607</v>
      </c>
      <c r="O39" s="20">
        <f t="shared" si="50"/>
        <v>25363607</v>
      </c>
      <c r="P39" s="20">
        <v>298118</v>
      </c>
      <c r="Q39" s="20">
        <v>929191</v>
      </c>
      <c r="R39" s="20">
        <v>1348993</v>
      </c>
      <c r="S39" s="20">
        <v>1710614</v>
      </c>
      <c r="T39" s="20">
        <v>1997677</v>
      </c>
      <c r="U39" s="20">
        <v>2275739</v>
      </c>
      <c r="V39" s="20">
        <v>3467099</v>
      </c>
      <c r="W39" s="20">
        <v>4389984</v>
      </c>
      <c r="X39" s="20">
        <v>5606304</v>
      </c>
      <c r="Y39" s="20">
        <v>7175069</v>
      </c>
      <c r="Z39" s="20">
        <v>9072251</v>
      </c>
      <c r="AA39" s="20">
        <v>11974051</v>
      </c>
      <c r="AB39" s="20">
        <f t="shared" si="51"/>
        <v>11974051</v>
      </c>
      <c r="AC39" s="20">
        <v>0</v>
      </c>
      <c r="AD39" s="20">
        <v>1722584</v>
      </c>
      <c r="AE39" s="20">
        <v>2423350</v>
      </c>
      <c r="AF39" s="20">
        <v>4116924</v>
      </c>
      <c r="AG39" s="20">
        <v>5773095</v>
      </c>
      <c r="AH39" s="20">
        <v>7187484</v>
      </c>
      <c r="AI39" s="20">
        <v>8310819</v>
      </c>
      <c r="AJ39" s="20">
        <v>8643566</v>
      </c>
      <c r="AK39" s="20">
        <v>10276104</v>
      </c>
      <c r="AL39" s="20">
        <v>11991317</v>
      </c>
      <c r="AM39" s="20">
        <v>13830342</v>
      </c>
      <c r="AN39" s="20">
        <v>16091959</v>
      </c>
      <c r="AO39" s="20">
        <f t="shared" si="52"/>
        <v>16091959</v>
      </c>
      <c r="AP39" s="20">
        <v>0</v>
      </c>
      <c r="AQ39" s="20">
        <v>1930720</v>
      </c>
      <c r="AR39" s="20">
        <v>3039686</v>
      </c>
      <c r="AS39" s="20">
        <v>4280290</v>
      </c>
      <c r="AT39" s="20">
        <v>5593090</v>
      </c>
      <c r="AU39" s="20">
        <v>8744083</v>
      </c>
      <c r="AV39" s="20">
        <v>10181331</v>
      </c>
      <c r="AW39" s="20">
        <v>11686410</v>
      </c>
      <c r="AX39" s="20">
        <v>13119459</v>
      </c>
      <c r="AY39" s="20">
        <v>14292697</v>
      </c>
      <c r="AZ39" s="20">
        <v>15490579</v>
      </c>
      <c r="BA39" s="20">
        <v>21241804</v>
      </c>
      <c r="BB39" s="20">
        <f t="shared" si="53"/>
        <v>21241804</v>
      </c>
      <c r="BC39" s="20">
        <v>0</v>
      </c>
      <c r="BD39" s="20">
        <v>5886400</v>
      </c>
      <c r="BE39" s="20">
        <v>7481295</v>
      </c>
      <c r="BF39" s="20">
        <v>8719920</v>
      </c>
      <c r="BG39" s="20">
        <v>11153942</v>
      </c>
      <c r="BH39" s="20">
        <v>12155230</v>
      </c>
      <c r="BI39" s="20">
        <v>13134856</v>
      </c>
      <c r="BJ39" s="20">
        <v>14455606</v>
      </c>
      <c r="BK39" s="20">
        <v>16064457</v>
      </c>
      <c r="BL39" s="20">
        <v>17132589</v>
      </c>
      <c r="BM39" s="20">
        <v>17904381</v>
      </c>
      <c r="BN39" s="20">
        <v>20784765</v>
      </c>
      <c r="BO39" s="20">
        <f t="shared" si="54"/>
        <v>20784765</v>
      </c>
      <c r="BP39" s="20">
        <v>0</v>
      </c>
      <c r="BQ39" s="20">
        <v>1041613</v>
      </c>
      <c r="BR39" s="20">
        <v>1825993</v>
      </c>
      <c r="BS39" s="20">
        <v>2954492</v>
      </c>
      <c r="BT39" s="20">
        <v>3961108</v>
      </c>
      <c r="BU39" s="20">
        <v>4263265</v>
      </c>
      <c r="BV39" s="20">
        <v>5067001</v>
      </c>
      <c r="BW39" s="20">
        <v>5568722</v>
      </c>
      <c r="BX39" s="20">
        <v>6156946</v>
      </c>
      <c r="BY39" s="20">
        <v>7114240</v>
      </c>
      <c r="BZ39" s="20">
        <v>12100538</v>
      </c>
      <c r="CA39" s="20">
        <v>14179880</v>
      </c>
      <c r="CB39" s="20">
        <f t="shared" si="55"/>
        <v>14179880</v>
      </c>
      <c r="CC39" s="20">
        <v>0</v>
      </c>
      <c r="CD39" s="20">
        <v>30830</v>
      </c>
      <c r="CE39" s="20">
        <v>126373</v>
      </c>
      <c r="CF39" s="20">
        <v>260932</v>
      </c>
      <c r="CG39" s="20">
        <v>271532</v>
      </c>
      <c r="CH39" s="20">
        <v>391694</v>
      </c>
      <c r="CI39" s="20">
        <v>448090</v>
      </c>
      <c r="CJ39" s="20">
        <v>1130221</v>
      </c>
      <c r="CK39" s="20">
        <v>1726167</v>
      </c>
      <c r="CL39" s="20">
        <v>2486239</v>
      </c>
      <c r="CM39" s="20">
        <v>3563594</v>
      </c>
      <c r="CN39" s="20">
        <v>4911613</v>
      </c>
      <c r="CO39" s="20">
        <f t="shared" si="56"/>
        <v>4911613</v>
      </c>
      <c r="CP39" s="20">
        <v>0</v>
      </c>
      <c r="CQ39" s="20">
        <v>185308</v>
      </c>
      <c r="CR39" s="20">
        <v>472311</v>
      </c>
      <c r="CS39" s="20">
        <v>867432</v>
      </c>
      <c r="CT39" s="20">
        <v>1160606</v>
      </c>
      <c r="CU39" s="20">
        <v>1516702</v>
      </c>
      <c r="CV39" s="20">
        <v>2083480</v>
      </c>
      <c r="CW39" s="20">
        <v>2750574</v>
      </c>
      <c r="CX39" s="20">
        <v>3861743</v>
      </c>
      <c r="CY39" s="20">
        <v>4604946</v>
      </c>
      <c r="CZ39" s="20">
        <v>5590277</v>
      </c>
      <c r="DA39" s="20">
        <v>7136830</v>
      </c>
      <c r="DB39" s="20">
        <f t="shared" si="57"/>
        <v>7136830</v>
      </c>
      <c r="DC39" s="20">
        <v>0</v>
      </c>
      <c r="DD39" s="20">
        <v>0</v>
      </c>
      <c r="DE39" s="20">
        <v>112783</v>
      </c>
      <c r="DF39" s="20">
        <v>865235</v>
      </c>
      <c r="DG39" s="20">
        <v>1090968</v>
      </c>
      <c r="DH39" s="20">
        <v>1329914</v>
      </c>
      <c r="DI39" s="20">
        <v>1964401</v>
      </c>
      <c r="DJ39" s="20">
        <v>2518748</v>
      </c>
      <c r="DK39" s="20">
        <v>3753691</v>
      </c>
      <c r="DL39" s="20">
        <v>4505699</v>
      </c>
      <c r="DM39" s="20">
        <v>5158128</v>
      </c>
      <c r="DN39" s="20">
        <v>6961523</v>
      </c>
      <c r="DO39" s="20">
        <f t="shared" si="58"/>
        <v>6961523</v>
      </c>
      <c r="DP39" s="20">
        <v>0</v>
      </c>
      <c r="DQ39" s="20">
        <v>14295</v>
      </c>
      <c r="DR39" s="20">
        <v>519418</v>
      </c>
      <c r="DS39" s="20">
        <v>818017</v>
      </c>
      <c r="DT39" s="20">
        <v>1410647</v>
      </c>
      <c r="DU39" s="20">
        <v>2049207</v>
      </c>
      <c r="DV39" s="20">
        <v>2506834</v>
      </c>
      <c r="DW39" s="20">
        <v>3618243</v>
      </c>
      <c r="DX39" s="20">
        <v>4988476</v>
      </c>
      <c r="DY39" s="20">
        <v>5883654</v>
      </c>
      <c r="DZ39" s="20">
        <v>7168509</v>
      </c>
      <c r="EA39" s="20">
        <v>8421473</v>
      </c>
      <c r="EB39" s="20">
        <f t="shared" si="59"/>
        <v>8421473</v>
      </c>
      <c r="EC39" s="20">
        <v>0</v>
      </c>
      <c r="ED39" s="20">
        <v>1265774</v>
      </c>
      <c r="EE39" s="20">
        <v>2147162</v>
      </c>
      <c r="EF39" s="20">
        <v>4222816</v>
      </c>
      <c r="EG39" s="20">
        <v>6702483</v>
      </c>
      <c r="EH39" s="20">
        <v>11199330</v>
      </c>
      <c r="EI39" s="20">
        <v>13041635</v>
      </c>
      <c r="EJ39" s="20">
        <v>16175866</v>
      </c>
      <c r="EK39" s="20">
        <v>20074880</v>
      </c>
      <c r="EL39" s="20">
        <v>23775698</v>
      </c>
      <c r="EM39" s="20">
        <v>27727701</v>
      </c>
      <c r="EN39" s="20">
        <v>33523348</v>
      </c>
      <c r="EO39" s="20">
        <f t="shared" si="60"/>
        <v>33523348</v>
      </c>
      <c r="EP39" s="20">
        <v>1010340</v>
      </c>
      <c r="EQ39" s="20">
        <v>5400393</v>
      </c>
      <c r="ER39" s="20">
        <v>9140892</v>
      </c>
      <c r="ES39" s="20">
        <v>13609867</v>
      </c>
      <c r="ET39" s="20">
        <v>16763840</v>
      </c>
      <c r="EU39" s="20">
        <v>19193589</v>
      </c>
      <c r="EV39" s="20">
        <v>22131755</v>
      </c>
      <c r="EW39" s="20">
        <v>27614100</v>
      </c>
      <c r="EX39" s="20">
        <v>31105744</v>
      </c>
      <c r="EY39" s="20">
        <v>35933608</v>
      </c>
      <c r="EZ39" s="20">
        <v>40868830</v>
      </c>
      <c r="FA39" s="20">
        <v>48235342</v>
      </c>
      <c r="FB39" s="20">
        <f t="shared" si="61"/>
        <v>48235342</v>
      </c>
      <c r="FC39" s="20">
        <v>506557</v>
      </c>
      <c r="FD39" s="20">
        <v>3068948</v>
      </c>
      <c r="FE39" s="20">
        <v>4760248</v>
      </c>
      <c r="FF39" s="20">
        <v>6527517</v>
      </c>
      <c r="FG39" s="20">
        <v>9351673</v>
      </c>
      <c r="FH39" s="20">
        <v>11151630</v>
      </c>
      <c r="FI39" s="20">
        <v>13543806</v>
      </c>
      <c r="FJ39" s="10"/>
      <c r="FK39" s="10"/>
      <c r="FL39" s="10"/>
      <c r="FM39" s="10"/>
      <c r="FN39" s="10"/>
      <c r="FO39" s="20">
        <f t="shared" si="62"/>
        <v>13543806</v>
      </c>
    </row>
    <row r="40" spans="1:171" ht="21.75" customHeight="1">
      <c r="A40" s="10"/>
      <c r="B40" s="15" t="s">
        <v>49</v>
      </c>
      <c r="C40" s="38">
        <f t="shared" ref="C40:AH40" si="63">SUM(C34:C39)</f>
        <v>0</v>
      </c>
      <c r="D40" s="38">
        <f t="shared" si="63"/>
        <v>120157156</v>
      </c>
      <c r="E40" s="38">
        <f t="shared" si="63"/>
        <v>212402104</v>
      </c>
      <c r="F40" s="38">
        <f t="shared" si="63"/>
        <v>322087022</v>
      </c>
      <c r="G40" s="38">
        <f t="shared" si="63"/>
        <v>412090967</v>
      </c>
      <c r="H40" s="38">
        <f t="shared" si="63"/>
        <v>498756864</v>
      </c>
      <c r="I40" s="38">
        <f t="shared" si="63"/>
        <v>570382828</v>
      </c>
      <c r="J40" s="38">
        <f t="shared" si="63"/>
        <v>649456359</v>
      </c>
      <c r="K40" s="38">
        <f t="shared" si="63"/>
        <v>726356908</v>
      </c>
      <c r="L40" s="38">
        <f t="shared" si="63"/>
        <v>812568537</v>
      </c>
      <c r="M40" s="38">
        <f t="shared" si="63"/>
        <v>927783445</v>
      </c>
      <c r="N40" s="38">
        <f t="shared" si="63"/>
        <v>1150621310</v>
      </c>
      <c r="O40" s="38">
        <f t="shared" si="63"/>
        <v>1150621310</v>
      </c>
      <c r="P40" s="38">
        <f t="shared" si="63"/>
        <v>48478804</v>
      </c>
      <c r="Q40" s="38">
        <f t="shared" si="63"/>
        <v>147816788</v>
      </c>
      <c r="R40" s="38">
        <f t="shared" si="63"/>
        <v>271994808</v>
      </c>
      <c r="S40" s="38">
        <f t="shared" si="63"/>
        <v>376369503</v>
      </c>
      <c r="T40" s="38">
        <f t="shared" si="63"/>
        <v>463657912</v>
      </c>
      <c r="U40" s="38">
        <f t="shared" si="63"/>
        <v>543066757</v>
      </c>
      <c r="V40" s="38">
        <f t="shared" si="63"/>
        <v>621752736</v>
      </c>
      <c r="W40" s="38">
        <f t="shared" si="63"/>
        <v>713380202</v>
      </c>
      <c r="X40" s="38">
        <f t="shared" si="63"/>
        <v>801522427</v>
      </c>
      <c r="Y40" s="38">
        <f t="shared" si="63"/>
        <v>904802028</v>
      </c>
      <c r="Z40" s="38">
        <f t="shared" si="63"/>
        <v>1025814269</v>
      </c>
      <c r="AA40" s="38">
        <f t="shared" si="63"/>
        <v>1310228736</v>
      </c>
      <c r="AB40" s="38">
        <f t="shared" si="63"/>
        <v>1310228736</v>
      </c>
      <c r="AC40" s="38">
        <f t="shared" si="63"/>
        <v>48188703</v>
      </c>
      <c r="AD40" s="38">
        <f t="shared" si="63"/>
        <v>147627040</v>
      </c>
      <c r="AE40" s="38">
        <f t="shared" si="63"/>
        <v>261051206</v>
      </c>
      <c r="AF40" s="38">
        <f t="shared" si="63"/>
        <v>363634085</v>
      </c>
      <c r="AG40" s="38">
        <f t="shared" si="63"/>
        <v>455683377</v>
      </c>
      <c r="AH40" s="38">
        <f t="shared" si="63"/>
        <v>554536524</v>
      </c>
      <c r="AI40" s="38">
        <f t="shared" ref="AI40:BN40" si="64">SUM(AI34:AI39)</f>
        <v>640887712</v>
      </c>
      <c r="AJ40" s="38">
        <f t="shared" si="64"/>
        <v>735181111</v>
      </c>
      <c r="AK40" s="38">
        <f t="shared" si="64"/>
        <v>826886740</v>
      </c>
      <c r="AL40" s="38">
        <f t="shared" si="64"/>
        <v>936441264</v>
      </c>
      <c r="AM40" s="38">
        <f t="shared" si="64"/>
        <v>1050473306</v>
      </c>
      <c r="AN40" s="38">
        <f t="shared" si="64"/>
        <v>1271620760</v>
      </c>
      <c r="AO40" s="38">
        <f t="shared" si="64"/>
        <v>1271620760</v>
      </c>
      <c r="AP40" s="38">
        <f t="shared" si="64"/>
        <v>48910458</v>
      </c>
      <c r="AQ40" s="38">
        <f t="shared" si="64"/>
        <v>137777583</v>
      </c>
      <c r="AR40" s="38">
        <f t="shared" si="64"/>
        <v>237726870</v>
      </c>
      <c r="AS40" s="38">
        <f t="shared" si="64"/>
        <v>330462055</v>
      </c>
      <c r="AT40" s="38">
        <f t="shared" si="64"/>
        <v>419627282</v>
      </c>
      <c r="AU40" s="38">
        <f t="shared" si="64"/>
        <v>502977079</v>
      </c>
      <c r="AV40" s="38">
        <f t="shared" si="64"/>
        <v>584861818</v>
      </c>
      <c r="AW40" s="38">
        <f t="shared" si="64"/>
        <v>678618721</v>
      </c>
      <c r="AX40" s="38">
        <f t="shared" si="64"/>
        <v>782063542</v>
      </c>
      <c r="AY40" s="38">
        <f t="shared" si="64"/>
        <v>882582269</v>
      </c>
      <c r="AZ40" s="38">
        <f t="shared" si="64"/>
        <v>1009942536</v>
      </c>
      <c r="BA40" s="38">
        <f t="shared" si="64"/>
        <v>1295752612</v>
      </c>
      <c r="BB40" s="38">
        <f t="shared" si="64"/>
        <v>1295752612</v>
      </c>
      <c r="BC40" s="38">
        <f t="shared" si="64"/>
        <v>6115750</v>
      </c>
      <c r="BD40" s="38">
        <f t="shared" si="64"/>
        <v>113105741</v>
      </c>
      <c r="BE40" s="38">
        <f t="shared" si="64"/>
        <v>224657820</v>
      </c>
      <c r="BF40" s="38">
        <f t="shared" si="64"/>
        <v>312374650</v>
      </c>
      <c r="BG40" s="38">
        <f t="shared" si="64"/>
        <v>411000762</v>
      </c>
      <c r="BH40" s="38">
        <f t="shared" si="64"/>
        <v>502507294</v>
      </c>
      <c r="BI40" s="38">
        <f t="shared" si="64"/>
        <v>588359002</v>
      </c>
      <c r="BJ40" s="38">
        <f t="shared" si="64"/>
        <v>668630698</v>
      </c>
      <c r="BK40" s="38">
        <f t="shared" si="64"/>
        <v>758487396</v>
      </c>
      <c r="BL40" s="38">
        <f t="shared" si="64"/>
        <v>869638190</v>
      </c>
      <c r="BM40" s="38">
        <f t="shared" si="64"/>
        <v>983146634</v>
      </c>
      <c r="BN40" s="38">
        <f t="shared" si="64"/>
        <v>1238500371</v>
      </c>
      <c r="BO40" s="38">
        <f t="shared" ref="BO40:CT40" si="65">SUM(BO34:BO39)</f>
        <v>1238500371</v>
      </c>
      <c r="BP40" s="38">
        <f t="shared" si="65"/>
        <v>0</v>
      </c>
      <c r="BQ40" s="38">
        <f t="shared" si="65"/>
        <v>120160160</v>
      </c>
      <c r="BR40" s="38">
        <f t="shared" si="65"/>
        <v>229435068</v>
      </c>
      <c r="BS40" s="38">
        <f t="shared" si="65"/>
        <v>355819037</v>
      </c>
      <c r="BT40" s="38">
        <f t="shared" si="65"/>
        <v>452704908</v>
      </c>
      <c r="BU40" s="38">
        <f t="shared" si="65"/>
        <v>540130361</v>
      </c>
      <c r="BV40" s="38">
        <f t="shared" si="65"/>
        <v>653413886</v>
      </c>
      <c r="BW40" s="38">
        <f t="shared" si="65"/>
        <v>765858846</v>
      </c>
      <c r="BX40" s="38">
        <f t="shared" si="65"/>
        <v>857993682</v>
      </c>
      <c r="BY40" s="38">
        <f t="shared" si="65"/>
        <v>983882886</v>
      </c>
      <c r="BZ40" s="38">
        <f t="shared" si="65"/>
        <v>1131301399</v>
      </c>
      <c r="CA40" s="38">
        <f t="shared" si="65"/>
        <v>1453847328</v>
      </c>
      <c r="CB40" s="38">
        <f t="shared" si="65"/>
        <v>1453847328</v>
      </c>
      <c r="CC40" s="38">
        <f t="shared" si="65"/>
        <v>2970915</v>
      </c>
      <c r="CD40" s="38">
        <f t="shared" si="65"/>
        <v>111229058</v>
      </c>
      <c r="CE40" s="38">
        <f t="shared" si="65"/>
        <v>248250888</v>
      </c>
      <c r="CF40" s="38">
        <f t="shared" si="65"/>
        <v>355394901</v>
      </c>
      <c r="CG40" s="38">
        <f t="shared" si="65"/>
        <v>432766880</v>
      </c>
      <c r="CH40" s="38">
        <f t="shared" si="65"/>
        <v>548692149</v>
      </c>
      <c r="CI40" s="38">
        <f t="shared" si="65"/>
        <v>657121403</v>
      </c>
      <c r="CJ40" s="38">
        <f t="shared" si="65"/>
        <v>757759373</v>
      </c>
      <c r="CK40" s="38">
        <f t="shared" si="65"/>
        <v>847799800</v>
      </c>
      <c r="CL40" s="38">
        <f t="shared" si="65"/>
        <v>974315454</v>
      </c>
      <c r="CM40" s="38">
        <f t="shared" si="65"/>
        <v>1124163387</v>
      </c>
      <c r="CN40" s="38">
        <f t="shared" si="65"/>
        <v>1365206889</v>
      </c>
      <c r="CO40" s="38">
        <f t="shared" si="65"/>
        <v>1365206889</v>
      </c>
      <c r="CP40" s="38">
        <f t="shared" si="65"/>
        <v>9063922</v>
      </c>
      <c r="CQ40" s="38">
        <f t="shared" si="65"/>
        <v>137668399</v>
      </c>
      <c r="CR40" s="38">
        <f t="shared" si="65"/>
        <v>273072995</v>
      </c>
      <c r="CS40" s="38">
        <f t="shared" si="65"/>
        <v>395305506</v>
      </c>
      <c r="CT40" s="38">
        <f t="shared" si="65"/>
        <v>505627376</v>
      </c>
      <c r="CU40" s="38">
        <f t="shared" ref="CU40:DZ40" si="66">SUM(CU34:CU39)</f>
        <v>609717355</v>
      </c>
      <c r="CV40" s="38">
        <f t="shared" si="66"/>
        <v>705026463</v>
      </c>
      <c r="CW40" s="38">
        <f t="shared" si="66"/>
        <v>816718978</v>
      </c>
      <c r="CX40" s="38">
        <f t="shared" si="66"/>
        <v>916540925</v>
      </c>
      <c r="CY40" s="38">
        <f t="shared" si="66"/>
        <v>1011248601</v>
      </c>
      <c r="CZ40" s="38">
        <f t="shared" si="66"/>
        <v>1136280194</v>
      </c>
      <c r="DA40" s="38">
        <f t="shared" si="66"/>
        <v>1385315227</v>
      </c>
      <c r="DB40" s="38">
        <f t="shared" si="66"/>
        <v>1385315227</v>
      </c>
      <c r="DC40" s="38">
        <f t="shared" si="66"/>
        <v>839540</v>
      </c>
      <c r="DD40" s="38">
        <f t="shared" si="66"/>
        <v>69075861</v>
      </c>
      <c r="DE40" s="38">
        <f t="shared" si="66"/>
        <v>174677845</v>
      </c>
      <c r="DF40" s="38">
        <f t="shared" si="66"/>
        <v>268489493</v>
      </c>
      <c r="DG40" s="38">
        <f t="shared" si="66"/>
        <v>364043518</v>
      </c>
      <c r="DH40" s="38">
        <f t="shared" si="66"/>
        <v>446788276</v>
      </c>
      <c r="DI40" s="38">
        <f t="shared" si="66"/>
        <v>531004823</v>
      </c>
      <c r="DJ40" s="38">
        <f t="shared" si="66"/>
        <v>618188557</v>
      </c>
      <c r="DK40" s="38">
        <f t="shared" si="66"/>
        <v>788061866</v>
      </c>
      <c r="DL40" s="38">
        <f t="shared" si="66"/>
        <v>891621308</v>
      </c>
      <c r="DM40" s="38">
        <f t="shared" si="66"/>
        <v>1016652485</v>
      </c>
      <c r="DN40" s="38">
        <f t="shared" si="66"/>
        <v>1329021310</v>
      </c>
      <c r="DO40" s="38">
        <f t="shared" si="66"/>
        <v>1329021310</v>
      </c>
      <c r="DP40" s="38">
        <f t="shared" si="66"/>
        <v>0</v>
      </c>
      <c r="DQ40" s="38">
        <f t="shared" si="66"/>
        <v>50017462</v>
      </c>
      <c r="DR40" s="38">
        <f t="shared" si="66"/>
        <v>235697520</v>
      </c>
      <c r="DS40" s="38">
        <f t="shared" si="66"/>
        <v>454791585</v>
      </c>
      <c r="DT40" s="38">
        <f t="shared" si="66"/>
        <v>629245834</v>
      </c>
      <c r="DU40" s="38">
        <f t="shared" si="66"/>
        <v>784682314</v>
      </c>
      <c r="DV40" s="38">
        <f t="shared" si="66"/>
        <v>929563819</v>
      </c>
      <c r="DW40" s="38">
        <f t="shared" si="66"/>
        <v>1067413867</v>
      </c>
      <c r="DX40" s="38">
        <f t="shared" si="66"/>
        <v>1203577006</v>
      </c>
      <c r="DY40" s="38">
        <f t="shared" si="66"/>
        <v>1364182299</v>
      </c>
      <c r="DZ40" s="38">
        <f t="shared" si="66"/>
        <v>1584829070</v>
      </c>
      <c r="EA40" s="38">
        <f t="shared" ref="EA40:FF40" si="67">SUM(EA34:EA39)</f>
        <v>2092965249</v>
      </c>
      <c r="EB40" s="38">
        <f t="shared" si="67"/>
        <v>2092965249</v>
      </c>
      <c r="EC40" s="38">
        <f t="shared" si="67"/>
        <v>0</v>
      </c>
      <c r="ED40" s="38">
        <f t="shared" si="67"/>
        <v>158842881</v>
      </c>
      <c r="EE40" s="38">
        <f t="shared" si="67"/>
        <v>342142583</v>
      </c>
      <c r="EF40" s="38">
        <f t="shared" si="67"/>
        <v>535821081</v>
      </c>
      <c r="EG40" s="38">
        <f t="shared" si="67"/>
        <v>735379893</v>
      </c>
      <c r="EH40" s="38">
        <f t="shared" si="67"/>
        <v>1102584586</v>
      </c>
      <c r="EI40" s="38">
        <f t="shared" si="67"/>
        <v>1230811804</v>
      </c>
      <c r="EJ40" s="38">
        <f t="shared" si="67"/>
        <v>1373175282</v>
      </c>
      <c r="EK40" s="38">
        <f t="shared" si="67"/>
        <v>1563902332</v>
      </c>
      <c r="EL40" s="38">
        <f t="shared" si="67"/>
        <v>1761995655</v>
      </c>
      <c r="EM40" s="38">
        <f t="shared" si="67"/>
        <v>2021453346</v>
      </c>
      <c r="EN40" s="38">
        <f t="shared" si="67"/>
        <v>2314939413</v>
      </c>
      <c r="EO40" s="38">
        <f t="shared" si="67"/>
        <v>2314939413</v>
      </c>
      <c r="EP40" s="38">
        <f t="shared" si="67"/>
        <v>23332450</v>
      </c>
      <c r="EQ40" s="38">
        <f t="shared" si="67"/>
        <v>341398159</v>
      </c>
      <c r="ER40" s="38">
        <f t="shared" si="67"/>
        <v>625983482</v>
      </c>
      <c r="ES40" s="38">
        <f t="shared" si="67"/>
        <v>880971205</v>
      </c>
      <c r="ET40" s="38">
        <f t="shared" si="67"/>
        <v>1113168929</v>
      </c>
      <c r="EU40" s="38">
        <f t="shared" si="67"/>
        <v>1318401784</v>
      </c>
      <c r="EV40" s="38">
        <f t="shared" si="67"/>
        <v>1496809902</v>
      </c>
      <c r="EW40" s="38">
        <f t="shared" si="67"/>
        <v>1665089460</v>
      </c>
      <c r="EX40" s="38">
        <f t="shared" si="67"/>
        <v>1878525524</v>
      </c>
      <c r="EY40" s="38">
        <f t="shared" si="67"/>
        <v>2072015046</v>
      </c>
      <c r="EZ40" s="38">
        <f t="shared" si="67"/>
        <v>2288692805</v>
      </c>
      <c r="FA40" s="38">
        <f t="shared" si="67"/>
        <v>2763864492</v>
      </c>
      <c r="FB40" s="38">
        <f t="shared" si="67"/>
        <v>2763864492</v>
      </c>
      <c r="FC40" s="38">
        <f t="shared" si="67"/>
        <v>14447155</v>
      </c>
      <c r="FD40" s="38">
        <f t="shared" si="67"/>
        <v>235514599</v>
      </c>
      <c r="FE40" s="38">
        <f t="shared" si="67"/>
        <v>451239479</v>
      </c>
      <c r="FF40" s="38">
        <f t="shared" si="67"/>
        <v>645570032</v>
      </c>
      <c r="FG40" s="38">
        <f t="shared" ref="FG40:GL40" si="68">SUM(FG34:FG39)</f>
        <v>838467578</v>
      </c>
      <c r="FH40" s="38">
        <f t="shared" si="68"/>
        <v>1055666950</v>
      </c>
      <c r="FI40" s="38">
        <f t="shared" si="68"/>
        <v>1237018963</v>
      </c>
      <c r="FJ40" s="38">
        <f t="shared" si="68"/>
        <v>0</v>
      </c>
      <c r="FK40" s="38">
        <f t="shared" si="68"/>
        <v>0</v>
      </c>
      <c r="FL40" s="38">
        <f t="shared" si="68"/>
        <v>0</v>
      </c>
      <c r="FM40" s="38">
        <f t="shared" si="68"/>
        <v>0</v>
      </c>
      <c r="FN40" s="38">
        <f t="shared" si="68"/>
        <v>0</v>
      </c>
      <c r="FO40" s="38">
        <f t="shared" si="68"/>
        <v>1237018963</v>
      </c>
    </row>
    <row r="41" spans="1:171" ht="14.25" customHeight="1">
      <c r="A41" s="10"/>
      <c r="B41" s="18" t="s">
        <v>54</v>
      </c>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row>
    <row r="42" spans="1:171"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row>
    <row r="43" spans="1:171" ht="14.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row>
    <row r="44" spans="1:171" ht="25.5" customHeight="1">
      <c r="A44" s="10"/>
      <c r="B44" s="106" t="s">
        <v>55</v>
      </c>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5"/>
      <c r="FN44" s="105"/>
      <c r="FO44" s="105"/>
    </row>
    <row r="45" spans="1:171"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row>
    <row r="46" spans="1:171" ht="15.75" customHeight="1">
      <c r="A46" s="10"/>
      <c r="B46" s="104" t="s">
        <v>56</v>
      </c>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5"/>
      <c r="FN46" s="105"/>
      <c r="FO46" s="105"/>
    </row>
    <row r="47" spans="1:171" ht="21.75" customHeight="1">
      <c r="A47" s="10"/>
      <c r="B47" s="14"/>
      <c r="C47" s="102" t="s">
        <v>4</v>
      </c>
      <c r="D47" s="103"/>
      <c r="E47" s="103"/>
      <c r="F47" s="103"/>
      <c r="G47" s="103"/>
      <c r="H47" s="103"/>
      <c r="I47" s="103"/>
      <c r="J47" s="103"/>
      <c r="K47" s="103"/>
      <c r="L47" s="103"/>
      <c r="M47" s="103"/>
      <c r="N47" s="103"/>
      <c r="O47" s="103"/>
      <c r="P47" s="102" t="s">
        <v>5</v>
      </c>
      <c r="Q47" s="103"/>
      <c r="R47" s="103"/>
      <c r="S47" s="103"/>
      <c r="T47" s="103"/>
      <c r="U47" s="103"/>
      <c r="V47" s="103"/>
      <c r="W47" s="103"/>
      <c r="X47" s="103"/>
      <c r="Y47" s="103"/>
      <c r="Z47" s="103"/>
      <c r="AA47" s="103"/>
      <c r="AB47" s="103"/>
      <c r="AC47" s="102" t="s">
        <v>6</v>
      </c>
      <c r="AD47" s="103"/>
      <c r="AE47" s="103"/>
      <c r="AF47" s="103"/>
      <c r="AG47" s="103"/>
      <c r="AH47" s="103"/>
      <c r="AI47" s="103"/>
      <c r="AJ47" s="103"/>
      <c r="AK47" s="103"/>
      <c r="AL47" s="103"/>
      <c r="AM47" s="103"/>
      <c r="AN47" s="103"/>
      <c r="AO47" s="103"/>
      <c r="AP47" s="102" t="s">
        <v>7</v>
      </c>
      <c r="AQ47" s="103"/>
      <c r="AR47" s="103"/>
      <c r="AS47" s="103"/>
      <c r="AT47" s="103"/>
      <c r="AU47" s="103"/>
      <c r="AV47" s="103"/>
      <c r="AW47" s="103"/>
      <c r="AX47" s="103"/>
      <c r="AY47" s="103"/>
      <c r="AZ47" s="103"/>
      <c r="BA47" s="103"/>
      <c r="BB47" s="103"/>
      <c r="BC47" s="102" t="s">
        <v>8</v>
      </c>
      <c r="BD47" s="103"/>
      <c r="BE47" s="103"/>
      <c r="BF47" s="103"/>
      <c r="BG47" s="103"/>
      <c r="BH47" s="103"/>
      <c r="BI47" s="103"/>
      <c r="BJ47" s="103"/>
      <c r="BK47" s="103"/>
      <c r="BL47" s="103"/>
      <c r="BM47" s="103"/>
      <c r="BN47" s="103"/>
      <c r="BO47" s="103"/>
      <c r="BP47" s="102" t="s">
        <v>9</v>
      </c>
      <c r="BQ47" s="103"/>
      <c r="BR47" s="103"/>
      <c r="BS47" s="103"/>
      <c r="BT47" s="103"/>
      <c r="BU47" s="103"/>
      <c r="BV47" s="103"/>
      <c r="BW47" s="103"/>
      <c r="BX47" s="103"/>
      <c r="BY47" s="103"/>
      <c r="BZ47" s="103"/>
      <c r="CA47" s="103"/>
      <c r="CB47" s="103"/>
      <c r="CC47" s="102" t="s">
        <v>10</v>
      </c>
      <c r="CD47" s="103"/>
      <c r="CE47" s="103"/>
      <c r="CF47" s="103"/>
      <c r="CG47" s="103"/>
      <c r="CH47" s="103"/>
      <c r="CI47" s="103"/>
      <c r="CJ47" s="103"/>
      <c r="CK47" s="103"/>
      <c r="CL47" s="103"/>
      <c r="CM47" s="103"/>
      <c r="CN47" s="103"/>
      <c r="CO47" s="103"/>
      <c r="CP47" s="102" t="s">
        <v>57</v>
      </c>
      <c r="CQ47" s="103"/>
      <c r="CR47" s="103"/>
      <c r="CS47" s="103"/>
      <c r="CT47" s="103"/>
      <c r="CU47" s="103"/>
      <c r="CV47" s="103"/>
      <c r="CW47" s="103"/>
      <c r="CX47" s="103"/>
      <c r="CY47" s="103"/>
      <c r="CZ47" s="103"/>
      <c r="DA47" s="103"/>
      <c r="DB47" s="103"/>
      <c r="DC47" s="102" t="s">
        <v>58</v>
      </c>
      <c r="DD47" s="103"/>
      <c r="DE47" s="103"/>
      <c r="DF47" s="103"/>
      <c r="DG47" s="103"/>
      <c r="DH47" s="103"/>
      <c r="DI47" s="103"/>
      <c r="DJ47" s="103"/>
      <c r="DK47" s="103"/>
      <c r="DL47" s="103"/>
      <c r="DM47" s="103"/>
      <c r="DN47" s="103"/>
      <c r="DO47" s="103"/>
      <c r="DP47" s="102" t="s">
        <v>13</v>
      </c>
      <c r="DQ47" s="103"/>
      <c r="DR47" s="103"/>
      <c r="DS47" s="103"/>
      <c r="DT47" s="103"/>
      <c r="DU47" s="103"/>
      <c r="DV47" s="103"/>
      <c r="DW47" s="103"/>
      <c r="DX47" s="103"/>
      <c r="DY47" s="103"/>
      <c r="DZ47" s="103"/>
      <c r="EA47" s="103"/>
      <c r="EB47" s="103"/>
      <c r="EC47" s="102" t="s">
        <v>14</v>
      </c>
      <c r="ED47" s="103"/>
      <c r="EE47" s="103"/>
      <c r="EF47" s="103"/>
      <c r="EG47" s="103"/>
      <c r="EH47" s="103"/>
      <c r="EI47" s="103"/>
      <c r="EJ47" s="103"/>
      <c r="EK47" s="103"/>
      <c r="EL47" s="103"/>
      <c r="EM47" s="103"/>
      <c r="EN47" s="103"/>
      <c r="EO47" s="103"/>
      <c r="EP47" s="102" t="s">
        <v>15</v>
      </c>
      <c r="EQ47" s="103"/>
      <c r="ER47" s="103"/>
      <c r="ES47" s="103"/>
      <c r="ET47" s="103"/>
      <c r="EU47" s="103"/>
      <c r="EV47" s="103"/>
      <c r="EW47" s="103"/>
      <c r="EX47" s="103"/>
      <c r="EY47" s="103"/>
      <c r="EZ47" s="103"/>
      <c r="FA47" s="103"/>
      <c r="FB47" s="103"/>
      <c r="FC47" s="102" t="s">
        <v>16</v>
      </c>
      <c r="FD47" s="103"/>
      <c r="FE47" s="103"/>
      <c r="FF47" s="103"/>
      <c r="FG47" s="103"/>
      <c r="FH47" s="103"/>
      <c r="FI47" s="103"/>
      <c r="FJ47" s="103"/>
      <c r="FK47" s="103"/>
      <c r="FL47" s="103"/>
      <c r="FM47" s="103"/>
      <c r="FN47" s="103"/>
      <c r="FO47" s="103"/>
    </row>
    <row r="48" spans="1:171" ht="27.75" customHeight="1">
      <c r="A48" s="10"/>
      <c r="B48" s="15" t="s">
        <v>17</v>
      </c>
      <c r="C48" s="16" t="s">
        <v>18</v>
      </c>
      <c r="D48" s="16" t="s">
        <v>19</v>
      </c>
      <c r="E48" s="16" t="s">
        <v>20</v>
      </c>
      <c r="F48" s="16" t="s">
        <v>21</v>
      </c>
      <c r="G48" s="16" t="s">
        <v>22</v>
      </c>
      <c r="H48" s="16" t="s">
        <v>23</v>
      </c>
      <c r="I48" s="16" t="s">
        <v>24</v>
      </c>
      <c r="J48" s="16" t="s">
        <v>25</v>
      </c>
      <c r="K48" s="16" t="s">
        <v>26</v>
      </c>
      <c r="L48" s="16" t="s">
        <v>27</v>
      </c>
      <c r="M48" s="16" t="s">
        <v>28</v>
      </c>
      <c r="N48" s="16" t="s">
        <v>29</v>
      </c>
      <c r="O48" s="16" t="s">
        <v>30</v>
      </c>
      <c r="P48" s="16" t="s">
        <v>18</v>
      </c>
      <c r="Q48" s="16" t="s">
        <v>19</v>
      </c>
      <c r="R48" s="16" t="s">
        <v>20</v>
      </c>
      <c r="S48" s="16" t="s">
        <v>21</v>
      </c>
      <c r="T48" s="16" t="s">
        <v>22</v>
      </c>
      <c r="U48" s="16" t="s">
        <v>23</v>
      </c>
      <c r="V48" s="16" t="s">
        <v>24</v>
      </c>
      <c r="W48" s="16" t="s">
        <v>25</v>
      </c>
      <c r="X48" s="16" t="s">
        <v>26</v>
      </c>
      <c r="Y48" s="16" t="s">
        <v>27</v>
      </c>
      <c r="Z48" s="16" t="s">
        <v>28</v>
      </c>
      <c r="AA48" s="16" t="s">
        <v>29</v>
      </c>
      <c r="AB48" s="16" t="s">
        <v>31</v>
      </c>
      <c r="AC48" s="16" t="s">
        <v>18</v>
      </c>
      <c r="AD48" s="16" t="s">
        <v>19</v>
      </c>
      <c r="AE48" s="16" t="s">
        <v>20</v>
      </c>
      <c r="AF48" s="16" t="s">
        <v>21</v>
      </c>
      <c r="AG48" s="16" t="s">
        <v>22</v>
      </c>
      <c r="AH48" s="16" t="s">
        <v>23</v>
      </c>
      <c r="AI48" s="16" t="s">
        <v>24</v>
      </c>
      <c r="AJ48" s="16" t="s">
        <v>25</v>
      </c>
      <c r="AK48" s="16" t="s">
        <v>26</v>
      </c>
      <c r="AL48" s="16" t="s">
        <v>27</v>
      </c>
      <c r="AM48" s="16" t="s">
        <v>28</v>
      </c>
      <c r="AN48" s="16" t="s">
        <v>29</v>
      </c>
      <c r="AO48" s="16" t="s">
        <v>32</v>
      </c>
      <c r="AP48" s="16" t="s">
        <v>18</v>
      </c>
      <c r="AQ48" s="16" t="s">
        <v>19</v>
      </c>
      <c r="AR48" s="16" t="s">
        <v>20</v>
      </c>
      <c r="AS48" s="16" t="s">
        <v>21</v>
      </c>
      <c r="AT48" s="16" t="s">
        <v>22</v>
      </c>
      <c r="AU48" s="16" t="s">
        <v>23</v>
      </c>
      <c r="AV48" s="16" t="s">
        <v>24</v>
      </c>
      <c r="AW48" s="16" t="s">
        <v>25</v>
      </c>
      <c r="AX48" s="16" t="s">
        <v>26</v>
      </c>
      <c r="AY48" s="16" t="s">
        <v>27</v>
      </c>
      <c r="AZ48" s="16" t="s">
        <v>28</v>
      </c>
      <c r="BA48" s="16" t="s">
        <v>29</v>
      </c>
      <c r="BB48" s="16" t="s">
        <v>33</v>
      </c>
      <c r="BC48" s="16" t="s">
        <v>18</v>
      </c>
      <c r="BD48" s="16" t="s">
        <v>19</v>
      </c>
      <c r="BE48" s="16" t="s">
        <v>20</v>
      </c>
      <c r="BF48" s="16" t="s">
        <v>21</v>
      </c>
      <c r="BG48" s="16" t="s">
        <v>22</v>
      </c>
      <c r="BH48" s="16" t="s">
        <v>23</v>
      </c>
      <c r="BI48" s="16" t="s">
        <v>24</v>
      </c>
      <c r="BJ48" s="16" t="s">
        <v>25</v>
      </c>
      <c r="BK48" s="16" t="s">
        <v>26</v>
      </c>
      <c r="BL48" s="16" t="s">
        <v>27</v>
      </c>
      <c r="BM48" s="16" t="s">
        <v>28</v>
      </c>
      <c r="BN48" s="16" t="s">
        <v>29</v>
      </c>
      <c r="BO48" s="16" t="s">
        <v>34</v>
      </c>
      <c r="BP48" s="16" t="s">
        <v>18</v>
      </c>
      <c r="BQ48" s="16" t="s">
        <v>19</v>
      </c>
      <c r="BR48" s="16" t="s">
        <v>20</v>
      </c>
      <c r="BS48" s="16" t="s">
        <v>21</v>
      </c>
      <c r="BT48" s="16" t="s">
        <v>22</v>
      </c>
      <c r="BU48" s="16" t="s">
        <v>23</v>
      </c>
      <c r="BV48" s="16" t="s">
        <v>24</v>
      </c>
      <c r="BW48" s="16" t="s">
        <v>25</v>
      </c>
      <c r="BX48" s="16" t="s">
        <v>26</v>
      </c>
      <c r="BY48" s="16" t="s">
        <v>27</v>
      </c>
      <c r="BZ48" s="16" t="s">
        <v>28</v>
      </c>
      <c r="CA48" s="16" t="s">
        <v>29</v>
      </c>
      <c r="CB48" s="16" t="s">
        <v>35</v>
      </c>
      <c r="CC48" s="16" t="s">
        <v>18</v>
      </c>
      <c r="CD48" s="16" t="s">
        <v>19</v>
      </c>
      <c r="CE48" s="16" t="s">
        <v>20</v>
      </c>
      <c r="CF48" s="16" t="s">
        <v>21</v>
      </c>
      <c r="CG48" s="16" t="s">
        <v>22</v>
      </c>
      <c r="CH48" s="16" t="s">
        <v>23</v>
      </c>
      <c r="CI48" s="16" t="s">
        <v>24</v>
      </c>
      <c r="CJ48" s="16" t="s">
        <v>25</v>
      </c>
      <c r="CK48" s="16" t="s">
        <v>26</v>
      </c>
      <c r="CL48" s="16" t="s">
        <v>27</v>
      </c>
      <c r="CM48" s="16" t="s">
        <v>28</v>
      </c>
      <c r="CN48" s="16" t="s">
        <v>29</v>
      </c>
      <c r="CO48" s="16" t="s">
        <v>36</v>
      </c>
      <c r="CP48" s="16" t="s">
        <v>18</v>
      </c>
      <c r="CQ48" s="16" t="s">
        <v>19</v>
      </c>
      <c r="CR48" s="16" t="s">
        <v>20</v>
      </c>
      <c r="CS48" s="16" t="s">
        <v>21</v>
      </c>
      <c r="CT48" s="16" t="s">
        <v>22</v>
      </c>
      <c r="CU48" s="16" t="s">
        <v>23</v>
      </c>
      <c r="CV48" s="16" t="s">
        <v>24</v>
      </c>
      <c r="CW48" s="16" t="s">
        <v>25</v>
      </c>
      <c r="CX48" s="16" t="s">
        <v>26</v>
      </c>
      <c r="CY48" s="16" t="s">
        <v>27</v>
      </c>
      <c r="CZ48" s="16" t="s">
        <v>28</v>
      </c>
      <c r="DA48" s="16" t="s">
        <v>29</v>
      </c>
      <c r="DB48" s="16" t="s">
        <v>37</v>
      </c>
      <c r="DC48" s="16" t="s">
        <v>18</v>
      </c>
      <c r="DD48" s="16" t="s">
        <v>19</v>
      </c>
      <c r="DE48" s="16" t="s">
        <v>20</v>
      </c>
      <c r="DF48" s="16" t="s">
        <v>21</v>
      </c>
      <c r="DG48" s="16" t="s">
        <v>22</v>
      </c>
      <c r="DH48" s="16" t="s">
        <v>23</v>
      </c>
      <c r="DI48" s="16" t="s">
        <v>24</v>
      </c>
      <c r="DJ48" s="16" t="s">
        <v>25</v>
      </c>
      <c r="DK48" s="16" t="s">
        <v>26</v>
      </c>
      <c r="DL48" s="16" t="s">
        <v>27</v>
      </c>
      <c r="DM48" s="16" t="s">
        <v>28</v>
      </c>
      <c r="DN48" s="16" t="s">
        <v>29</v>
      </c>
      <c r="DO48" s="16" t="s">
        <v>38</v>
      </c>
      <c r="DP48" s="16" t="s">
        <v>18</v>
      </c>
      <c r="DQ48" s="16" t="s">
        <v>19</v>
      </c>
      <c r="DR48" s="16" t="s">
        <v>20</v>
      </c>
      <c r="DS48" s="16" t="s">
        <v>21</v>
      </c>
      <c r="DT48" s="16" t="s">
        <v>22</v>
      </c>
      <c r="DU48" s="16" t="s">
        <v>23</v>
      </c>
      <c r="DV48" s="16" t="s">
        <v>24</v>
      </c>
      <c r="DW48" s="16" t="s">
        <v>25</v>
      </c>
      <c r="DX48" s="16" t="s">
        <v>26</v>
      </c>
      <c r="DY48" s="16" t="s">
        <v>27</v>
      </c>
      <c r="DZ48" s="16" t="s">
        <v>28</v>
      </c>
      <c r="EA48" s="16" t="s">
        <v>29</v>
      </c>
      <c r="EB48" s="16" t="s">
        <v>39</v>
      </c>
      <c r="EC48" s="16" t="s">
        <v>18</v>
      </c>
      <c r="ED48" s="16" t="s">
        <v>19</v>
      </c>
      <c r="EE48" s="16" t="s">
        <v>20</v>
      </c>
      <c r="EF48" s="16" t="s">
        <v>21</v>
      </c>
      <c r="EG48" s="16" t="s">
        <v>22</v>
      </c>
      <c r="EH48" s="16" t="s">
        <v>23</v>
      </c>
      <c r="EI48" s="16" t="s">
        <v>24</v>
      </c>
      <c r="EJ48" s="16" t="s">
        <v>25</v>
      </c>
      <c r="EK48" s="16" t="s">
        <v>26</v>
      </c>
      <c r="EL48" s="16" t="s">
        <v>27</v>
      </c>
      <c r="EM48" s="16" t="s">
        <v>28</v>
      </c>
      <c r="EN48" s="16" t="s">
        <v>29</v>
      </c>
      <c r="EO48" s="16" t="s">
        <v>40</v>
      </c>
      <c r="EP48" s="16" t="s">
        <v>18</v>
      </c>
      <c r="EQ48" s="16" t="s">
        <v>19</v>
      </c>
      <c r="ER48" s="16" t="s">
        <v>20</v>
      </c>
      <c r="ES48" s="16" t="s">
        <v>21</v>
      </c>
      <c r="ET48" s="16" t="s">
        <v>22</v>
      </c>
      <c r="EU48" s="16" t="s">
        <v>23</v>
      </c>
      <c r="EV48" s="16" t="s">
        <v>24</v>
      </c>
      <c r="EW48" s="16" t="s">
        <v>25</v>
      </c>
      <c r="EX48" s="16" t="s">
        <v>26</v>
      </c>
      <c r="EY48" s="16" t="s">
        <v>27</v>
      </c>
      <c r="EZ48" s="16" t="s">
        <v>28</v>
      </c>
      <c r="FA48" s="16" t="s">
        <v>29</v>
      </c>
      <c r="FB48" s="16" t="s">
        <v>41</v>
      </c>
      <c r="FC48" s="16" t="s">
        <v>18</v>
      </c>
      <c r="FD48" s="16" t="s">
        <v>19</v>
      </c>
      <c r="FE48" s="16" t="s">
        <v>20</v>
      </c>
      <c r="FF48" s="16" t="s">
        <v>21</v>
      </c>
      <c r="FG48" s="16" t="s">
        <v>22</v>
      </c>
      <c r="FH48" s="16" t="s">
        <v>23</v>
      </c>
      <c r="FI48" s="16" t="s">
        <v>24</v>
      </c>
      <c r="FJ48" s="16" t="s">
        <v>25</v>
      </c>
      <c r="FK48" s="16" t="s">
        <v>26</v>
      </c>
      <c r="FL48" s="16" t="s">
        <v>27</v>
      </c>
      <c r="FM48" s="16" t="s">
        <v>28</v>
      </c>
      <c r="FN48" s="16" t="s">
        <v>29</v>
      </c>
      <c r="FO48" s="16" t="s">
        <v>42</v>
      </c>
    </row>
    <row r="49" spans="1:171" ht="27.75" customHeight="1">
      <c r="A49" s="10"/>
      <c r="B49" s="19" t="s">
        <v>43</v>
      </c>
      <c r="C49" s="20">
        <v>2953248</v>
      </c>
      <c r="D49" s="20">
        <v>2953248</v>
      </c>
      <c r="E49" s="20">
        <v>2953248</v>
      </c>
      <c r="F49" s="20">
        <v>2953248</v>
      </c>
      <c r="G49" s="20">
        <v>2953248</v>
      </c>
      <c r="H49" s="20">
        <v>2953248</v>
      </c>
      <c r="I49" s="20">
        <v>2953248</v>
      </c>
      <c r="J49" s="20">
        <v>2953248</v>
      </c>
      <c r="K49" s="20">
        <v>2953248</v>
      </c>
      <c r="L49" s="20">
        <v>2953248</v>
      </c>
      <c r="M49" s="20">
        <v>2953248</v>
      </c>
      <c r="N49" s="20">
        <v>2953248</v>
      </c>
      <c r="O49" s="20">
        <f t="shared" ref="O49:O54" si="69">N49</f>
        <v>2953248</v>
      </c>
      <c r="P49" s="20">
        <v>1753030</v>
      </c>
      <c r="Q49" s="20">
        <v>1753030</v>
      </c>
      <c r="R49" s="20">
        <v>1753030</v>
      </c>
      <c r="S49" s="20">
        <v>1753030</v>
      </c>
      <c r="T49" s="20">
        <v>1753030</v>
      </c>
      <c r="U49" s="20">
        <v>1753030</v>
      </c>
      <c r="V49" s="20">
        <v>1753030</v>
      </c>
      <c r="W49" s="20">
        <v>1753030</v>
      </c>
      <c r="X49" s="20">
        <v>1753030</v>
      </c>
      <c r="Y49" s="20">
        <v>1753030</v>
      </c>
      <c r="Z49" s="20">
        <v>1753030</v>
      </c>
      <c r="AA49" s="20">
        <v>1753030</v>
      </c>
      <c r="AB49" s="20">
        <f t="shared" ref="AB49:AB54" si="70">AA49</f>
        <v>1753030</v>
      </c>
      <c r="AC49" s="20">
        <v>1791359</v>
      </c>
      <c r="AD49" s="20">
        <v>1791359</v>
      </c>
      <c r="AE49" s="20">
        <v>1791359</v>
      </c>
      <c r="AF49" s="20">
        <v>1791359</v>
      </c>
      <c r="AG49" s="20">
        <v>1791359</v>
      </c>
      <c r="AH49" s="20">
        <v>1791359</v>
      </c>
      <c r="AI49" s="20">
        <v>1791359</v>
      </c>
      <c r="AJ49" s="20">
        <v>1791359</v>
      </c>
      <c r="AK49" s="20">
        <v>1791359</v>
      </c>
      <c r="AL49" s="20">
        <v>1791359</v>
      </c>
      <c r="AM49" s="20">
        <v>1791359</v>
      </c>
      <c r="AN49" s="20">
        <v>1791359</v>
      </c>
      <c r="AO49" s="20">
        <f t="shared" ref="AO49:AO54" si="71">AN49</f>
        <v>1791359</v>
      </c>
      <c r="AP49" s="20">
        <v>1779405</v>
      </c>
      <c r="AQ49" s="20">
        <v>1779405</v>
      </c>
      <c r="AR49" s="20">
        <v>1779405</v>
      </c>
      <c r="AS49" s="20">
        <v>1779405</v>
      </c>
      <c r="AT49" s="20">
        <v>1779405</v>
      </c>
      <c r="AU49" s="20">
        <v>1779405</v>
      </c>
      <c r="AV49" s="20">
        <v>1779405</v>
      </c>
      <c r="AW49" s="20">
        <v>1779405</v>
      </c>
      <c r="AX49" s="20">
        <v>1779405</v>
      </c>
      <c r="AY49" s="20">
        <v>1779405</v>
      </c>
      <c r="AZ49" s="20">
        <v>1779405</v>
      </c>
      <c r="BA49" s="20">
        <v>1779405</v>
      </c>
      <c r="BB49" s="20">
        <f t="shared" ref="BB49:BB54" si="72">BA49</f>
        <v>1779405</v>
      </c>
      <c r="BC49" s="20">
        <v>1606877</v>
      </c>
      <c r="BD49" s="20">
        <v>1606877</v>
      </c>
      <c r="BE49" s="20">
        <v>1606877</v>
      </c>
      <c r="BF49" s="20">
        <v>1606877</v>
      </c>
      <c r="BG49" s="20">
        <v>1606877</v>
      </c>
      <c r="BH49" s="20">
        <v>1606877</v>
      </c>
      <c r="BI49" s="20">
        <v>1606877</v>
      </c>
      <c r="BJ49" s="20">
        <v>1606877</v>
      </c>
      <c r="BK49" s="20">
        <v>1606877</v>
      </c>
      <c r="BL49" s="20">
        <v>1606877</v>
      </c>
      <c r="BM49" s="20">
        <v>1606877</v>
      </c>
      <c r="BN49" s="20">
        <v>1606877</v>
      </c>
      <c r="BO49" s="20">
        <f t="shared" ref="BO49:BO54" si="73">BN49</f>
        <v>1606877</v>
      </c>
      <c r="BP49" s="20">
        <v>1639746</v>
      </c>
      <c r="BQ49" s="20">
        <v>1639746</v>
      </c>
      <c r="BR49" s="20">
        <v>1639746</v>
      </c>
      <c r="BS49" s="20">
        <v>1639746</v>
      </c>
      <c r="BT49" s="20">
        <v>1639746</v>
      </c>
      <c r="BU49" s="20">
        <v>1639746</v>
      </c>
      <c r="BV49" s="20">
        <v>1639746</v>
      </c>
      <c r="BW49" s="20">
        <v>1639746</v>
      </c>
      <c r="BX49" s="20">
        <v>1639746</v>
      </c>
      <c r="BY49" s="20">
        <v>1639746</v>
      </c>
      <c r="BZ49" s="20">
        <v>1639746</v>
      </c>
      <c r="CA49" s="20">
        <v>1639746</v>
      </c>
      <c r="CB49" s="20">
        <f t="shared" ref="CB49:CB54" si="74">CA49</f>
        <v>1639746</v>
      </c>
      <c r="CC49" s="20">
        <v>1704539</v>
      </c>
      <c r="CD49" s="20">
        <v>1704539</v>
      </c>
      <c r="CE49" s="20">
        <v>1704539</v>
      </c>
      <c r="CF49" s="20">
        <v>1704539</v>
      </c>
      <c r="CG49" s="20">
        <v>1704539</v>
      </c>
      <c r="CH49" s="20">
        <v>1704539</v>
      </c>
      <c r="CI49" s="20">
        <v>1704539</v>
      </c>
      <c r="CJ49" s="20">
        <v>1704539</v>
      </c>
      <c r="CK49" s="20">
        <v>1704539</v>
      </c>
      <c r="CL49" s="20">
        <v>1704539</v>
      </c>
      <c r="CM49" s="20">
        <v>1704539</v>
      </c>
      <c r="CN49" s="20">
        <v>1704539</v>
      </c>
      <c r="CO49" s="20">
        <f t="shared" ref="CO49:CO54" si="75">CN49</f>
        <v>1704539</v>
      </c>
      <c r="CP49" s="20">
        <v>1930914</v>
      </c>
      <c r="CQ49" s="20">
        <v>1930914</v>
      </c>
      <c r="CR49" s="20">
        <v>1930914</v>
      </c>
      <c r="CS49" s="20">
        <v>1930914</v>
      </c>
      <c r="CT49" s="20">
        <v>1930914</v>
      </c>
      <c r="CU49" s="20">
        <v>1930914</v>
      </c>
      <c r="CV49" s="20">
        <v>1930914</v>
      </c>
      <c r="CW49" s="20">
        <v>1930914</v>
      </c>
      <c r="CX49" s="20">
        <v>1930914</v>
      </c>
      <c r="CY49" s="20">
        <v>1930914</v>
      </c>
      <c r="CZ49" s="20">
        <v>1930914</v>
      </c>
      <c r="DA49" s="20">
        <v>1930914</v>
      </c>
      <c r="DB49" s="20">
        <f t="shared" ref="DB49:DB54" si="76">DA49</f>
        <v>1930914</v>
      </c>
      <c r="DC49" s="20">
        <v>298233</v>
      </c>
      <c r="DD49" s="20">
        <v>298233</v>
      </c>
      <c r="DE49" s="20">
        <v>298233</v>
      </c>
      <c r="DF49" s="20">
        <v>298233</v>
      </c>
      <c r="DG49" s="20">
        <v>298233</v>
      </c>
      <c r="DH49" s="20">
        <v>298233</v>
      </c>
      <c r="DI49" s="20">
        <v>298233</v>
      </c>
      <c r="DJ49" s="20">
        <v>298233</v>
      </c>
      <c r="DK49" s="20">
        <v>298233</v>
      </c>
      <c r="DL49" s="20">
        <v>298233</v>
      </c>
      <c r="DM49" s="20">
        <v>298233</v>
      </c>
      <c r="DN49" s="20">
        <v>298233</v>
      </c>
      <c r="DO49" s="20">
        <f t="shared" ref="DO49:DO54" si="77">DN49</f>
        <v>298233</v>
      </c>
      <c r="DP49" s="20">
        <v>22089448</v>
      </c>
      <c r="DQ49" s="20">
        <v>22089448</v>
      </c>
      <c r="DR49" s="20">
        <v>22089448</v>
      </c>
      <c r="DS49" s="20">
        <v>22089448</v>
      </c>
      <c r="DT49" s="20">
        <v>22089448</v>
      </c>
      <c r="DU49" s="20">
        <v>22089448</v>
      </c>
      <c r="DV49" s="20">
        <v>22089448</v>
      </c>
      <c r="DW49" s="20">
        <v>22089448</v>
      </c>
      <c r="DX49" s="20">
        <v>22089448</v>
      </c>
      <c r="DY49" s="20">
        <v>22089448</v>
      </c>
      <c r="DZ49" s="20">
        <v>22089448</v>
      </c>
      <c r="EA49" s="20">
        <v>22089448</v>
      </c>
      <c r="EB49" s="20">
        <f t="shared" ref="EB49:EB54" si="78">EA49</f>
        <v>22089448</v>
      </c>
      <c r="EC49" s="20">
        <v>1135861</v>
      </c>
      <c r="ED49" s="20">
        <v>1135861</v>
      </c>
      <c r="EE49" s="20">
        <v>1135861</v>
      </c>
      <c r="EF49" s="20">
        <v>1135861</v>
      </c>
      <c r="EG49" s="20">
        <v>1135861</v>
      </c>
      <c r="EH49" s="20">
        <v>1135861</v>
      </c>
      <c r="EI49" s="20">
        <v>1135861</v>
      </c>
      <c r="EJ49" s="20">
        <v>1135861</v>
      </c>
      <c r="EK49" s="20">
        <v>1135861</v>
      </c>
      <c r="EL49" s="20">
        <v>1135861</v>
      </c>
      <c r="EM49" s="20">
        <v>1135861</v>
      </c>
      <c r="EN49" s="20">
        <v>1135861</v>
      </c>
      <c r="EO49" s="20">
        <f t="shared" ref="EO49:EO54" si="79">EN49</f>
        <v>1135861</v>
      </c>
      <c r="EP49" s="20">
        <v>6540884</v>
      </c>
      <c r="EQ49" s="20">
        <v>6540884</v>
      </c>
      <c r="ER49" s="20">
        <v>6540884</v>
      </c>
      <c r="ES49" s="20">
        <v>6540884</v>
      </c>
      <c r="ET49" s="20">
        <v>6540884</v>
      </c>
      <c r="EU49" s="20">
        <v>6540884</v>
      </c>
      <c r="EV49" s="20">
        <v>6540884</v>
      </c>
      <c r="EW49" s="20">
        <v>6540884</v>
      </c>
      <c r="EX49" s="20">
        <v>6540884</v>
      </c>
      <c r="EY49" s="20">
        <v>6540884</v>
      </c>
      <c r="EZ49" s="20">
        <v>6540884</v>
      </c>
      <c r="FA49" s="20">
        <v>6540884</v>
      </c>
      <c r="FB49" s="20">
        <f t="shared" ref="FB49:FB54" si="80">FA49</f>
        <v>6540884</v>
      </c>
      <c r="FC49" s="20">
        <v>1062955</v>
      </c>
      <c r="FD49" s="20">
        <v>1062955</v>
      </c>
      <c r="FE49" s="20">
        <v>1062955</v>
      </c>
      <c r="FF49" s="20">
        <v>1062955</v>
      </c>
      <c r="FG49" s="20">
        <v>1062955</v>
      </c>
      <c r="FH49" s="20">
        <v>1062955</v>
      </c>
      <c r="FI49" s="20">
        <v>1062955</v>
      </c>
      <c r="FJ49" s="10"/>
      <c r="FK49" s="10"/>
      <c r="FL49" s="10"/>
      <c r="FM49" s="10"/>
      <c r="FN49" s="10"/>
      <c r="FO49" s="20">
        <f t="shared" ref="FO49:FO54" si="81">FI49</f>
        <v>1062955</v>
      </c>
    </row>
    <row r="50" spans="1:171" ht="27.75" customHeight="1">
      <c r="A50" s="10"/>
      <c r="B50" s="19" t="s">
        <v>44</v>
      </c>
      <c r="C50" s="20">
        <v>381750</v>
      </c>
      <c r="D50" s="20">
        <v>381750</v>
      </c>
      <c r="E50" s="20">
        <v>381750</v>
      </c>
      <c r="F50" s="20">
        <v>381750</v>
      </c>
      <c r="G50" s="20">
        <v>381750</v>
      </c>
      <c r="H50" s="20">
        <v>381750</v>
      </c>
      <c r="I50" s="20">
        <v>381750</v>
      </c>
      <c r="J50" s="20">
        <v>381750</v>
      </c>
      <c r="K50" s="20">
        <v>381750</v>
      </c>
      <c r="L50" s="20">
        <v>381750</v>
      </c>
      <c r="M50" s="20">
        <v>381750</v>
      </c>
      <c r="N50" s="20">
        <v>381750</v>
      </c>
      <c r="O50" s="20">
        <f t="shared" si="69"/>
        <v>381750</v>
      </c>
      <c r="P50" s="20">
        <v>362280</v>
      </c>
      <c r="Q50" s="20">
        <v>362280</v>
      </c>
      <c r="R50" s="20">
        <v>362280</v>
      </c>
      <c r="S50" s="20">
        <v>362280</v>
      </c>
      <c r="T50" s="20">
        <v>362280</v>
      </c>
      <c r="U50" s="20">
        <v>362280</v>
      </c>
      <c r="V50" s="20">
        <v>362280</v>
      </c>
      <c r="W50" s="20">
        <v>362280</v>
      </c>
      <c r="X50" s="20">
        <v>362280</v>
      </c>
      <c r="Y50" s="20">
        <v>362280</v>
      </c>
      <c r="Z50" s="20">
        <v>362280</v>
      </c>
      <c r="AA50" s="20">
        <v>362280</v>
      </c>
      <c r="AB50" s="20">
        <f t="shared" si="70"/>
        <v>362280</v>
      </c>
      <c r="AC50" s="20">
        <v>327142</v>
      </c>
      <c r="AD50" s="20">
        <v>327142</v>
      </c>
      <c r="AE50" s="20">
        <v>327142</v>
      </c>
      <c r="AF50" s="20">
        <v>327142</v>
      </c>
      <c r="AG50" s="20">
        <v>327142</v>
      </c>
      <c r="AH50" s="20">
        <v>327142</v>
      </c>
      <c r="AI50" s="20">
        <v>327142</v>
      </c>
      <c r="AJ50" s="20">
        <v>327142</v>
      </c>
      <c r="AK50" s="20">
        <v>327142</v>
      </c>
      <c r="AL50" s="20">
        <v>327142</v>
      </c>
      <c r="AM50" s="20">
        <v>327142</v>
      </c>
      <c r="AN50" s="20">
        <v>327142</v>
      </c>
      <c r="AO50" s="20">
        <f t="shared" si="71"/>
        <v>327142</v>
      </c>
      <c r="AP50" s="20">
        <v>174624</v>
      </c>
      <c r="AQ50" s="20">
        <v>174624</v>
      </c>
      <c r="AR50" s="20">
        <v>174624</v>
      </c>
      <c r="AS50" s="20">
        <v>174624</v>
      </c>
      <c r="AT50" s="20">
        <v>174624</v>
      </c>
      <c r="AU50" s="20">
        <v>174624</v>
      </c>
      <c r="AV50" s="20">
        <v>174624</v>
      </c>
      <c r="AW50" s="20">
        <v>174624</v>
      </c>
      <c r="AX50" s="20">
        <v>174624</v>
      </c>
      <c r="AY50" s="20">
        <v>174624</v>
      </c>
      <c r="AZ50" s="20">
        <v>174624</v>
      </c>
      <c r="BA50" s="20">
        <v>174624</v>
      </c>
      <c r="BB50" s="20">
        <f t="shared" si="72"/>
        <v>174624</v>
      </c>
      <c r="BC50" s="20">
        <v>139517</v>
      </c>
      <c r="BD50" s="20">
        <v>139517</v>
      </c>
      <c r="BE50" s="20">
        <v>139517</v>
      </c>
      <c r="BF50" s="20">
        <v>139517</v>
      </c>
      <c r="BG50" s="20">
        <v>139517</v>
      </c>
      <c r="BH50" s="20">
        <v>139517</v>
      </c>
      <c r="BI50" s="20">
        <v>139517</v>
      </c>
      <c r="BJ50" s="20">
        <v>139517</v>
      </c>
      <c r="BK50" s="20">
        <v>139517</v>
      </c>
      <c r="BL50" s="20">
        <v>139517</v>
      </c>
      <c r="BM50" s="20">
        <v>139517</v>
      </c>
      <c r="BN50" s="20">
        <v>139517</v>
      </c>
      <c r="BO50" s="20">
        <f t="shared" si="73"/>
        <v>139517</v>
      </c>
      <c r="BP50" s="20">
        <v>115465</v>
      </c>
      <c r="BQ50" s="20">
        <v>115465</v>
      </c>
      <c r="BR50" s="20">
        <v>115465</v>
      </c>
      <c r="BS50" s="20">
        <v>115465</v>
      </c>
      <c r="BT50" s="20">
        <v>115465</v>
      </c>
      <c r="BU50" s="20">
        <v>115465</v>
      </c>
      <c r="BV50" s="20">
        <v>115465</v>
      </c>
      <c r="BW50" s="20">
        <v>115465</v>
      </c>
      <c r="BX50" s="20">
        <v>115465</v>
      </c>
      <c r="BY50" s="20">
        <v>115465</v>
      </c>
      <c r="BZ50" s="20">
        <v>115465</v>
      </c>
      <c r="CA50" s="20">
        <v>115465</v>
      </c>
      <c r="CB50" s="20">
        <f t="shared" si="74"/>
        <v>115465</v>
      </c>
      <c r="CC50" s="20">
        <v>188388</v>
      </c>
      <c r="CD50" s="20">
        <v>188388</v>
      </c>
      <c r="CE50" s="20">
        <v>188388</v>
      </c>
      <c r="CF50" s="20">
        <v>188388</v>
      </c>
      <c r="CG50" s="20">
        <v>188388</v>
      </c>
      <c r="CH50" s="20">
        <v>188388</v>
      </c>
      <c r="CI50" s="20">
        <v>188388</v>
      </c>
      <c r="CJ50" s="20">
        <v>188388</v>
      </c>
      <c r="CK50" s="20">
        <v>188388</v>
      </c>
      <c r="CL50" s="20">
        <v>188388</v>
      </c>
      <c r="CM50" s="20">
        <v>188388</v>
      </c>
      <c r="CN50" s="20">
        <v>188388</v>
      </c>
      <c r="CO50" s="20">
        <f t="shared" si="75"/>
        <v>188388</v>
      </c>
      <c r="CP50" s="20">
        <v>128859</v>
      </c>
      <c r="CQ50" s="20">
        <v>128859</v>
      </c>
      <c r="CR50" s="20">
        <v>128859</v>
      </c>
      <c r="CS50" s="20">
        <v>128859</v>
      </c>
      <c r="CT50" s="20">
        <v>128859</v>
      </c>
      <c r="CU50" s="20">
        <v>128859</v>
      </c>
      <c r="CV50" s="20">
        <v>128859</v>
      </c>
      <c r="CW50" s="20">
        <v>128859</v>
      </c>
      <c r="CX50" s="20">
        <v>128859</v>
      </c>
      <c r="CY50" s="20">
        <v>128859</v>
      </c>
      <c r="CZ50" s="20">
        <v>128859</v>
      </c>
      <c r="DA50" s="20">
        <v>128859</v>
      </c>
      <c r="DB50" s="20">
        <f t="shared" si="76"/>
        <v>128859</v>
      </c>
      <c r="DC50" s="20">
        <v>130362</v>
      </c>
      <c r="DD50" s="20">
        <v>130362</v>
      </c>
      <c r="DE50" s="20">
        <v>130362</v>
      </c>
      <c r="DF50" s="20">
        <v>130362</v>
      </c>
      <c r="DG50" s="20">
        <v>130362</v>
      </c>
      <c r="DH50" s="20">
        <v>130362</v>
      </c>
      <c r="DI50" s="20">
        <v>130362</v>
      </c>
      <c r="DJ50" s="20">
        <v>130362</v>
      </c>
      <c r="DK50" s="20">
        <v>130362</v>
      </c>
      <c r="DL50" s="20">
        <v>130362</v>
      </c>
      <c r="DM50" s="20">
        <v>130362</v>
      </c>
      <c r="DN50" s="20">
        <v>130362</v>
      </c>
      <c r="DO50" s="20">
        <f t="shared" si="77"/>
        <v>130362</v>
      </c>
      <c r="DP50" s="20">
        <v>647086</v>
      </c>
      <c r="DQ50" s="20">
        <v>647086</v>
      </c>
      <c r="DR50" s="20">
        <v>647086</v>
      </c>
      <c r="DS50" s="20">
        <v>647086</v>
      </c>
      <c r="DT50" s="20">
        <v>647086</v>
      </c>
      <c r="DU50" s="20">
        <v>647086</v>
      </c>
      <c r="DV50" s="20">
        <v>647086</v>
      </c>
      <c r="DW50" s="20">
        <v>647086</v>
      </c>
      <c r="DX50" s="20">
        <v>647086</v>
      </c>
      <c r="DY50" s="20">
        <v>647086</v>
      </c>
      <c r="DZ50" s="20">
        <v>647086</v>
      </c>
      <c r="EA50" s="20">
        <v>647086</v>
      </c>
      <c r="EB50" s="20">
        <f t="shared" si="78"/>
        <v>647086</v>
      </c>
      <c r="EC50" s="20">
        <v>856525</v>
      </c>
      <c r="ED50" s="20">
        <v>856525</v>
      </c>
      <c r="EE50" s="20">
        <v>856525</v>
      </c>
      <c r="EF50" s="20">
        <v>856525</v>
      </c>
      <c r="EG50" s="20">
        <v>856525</v>
      </c>
      <c r="EH50" s="20">
        <v>856525</v>
      </c>
      <c r="EI50" s="20">
        <v>856525</v>
      </c>
      <c r="EJ50" s="20">
        <v>856525</v>
      </c>
      <c r="EK50" s="20">
        <v>856525</v>
      </c>
      <c r="EL50" s="20">
        <v>856525</v>
      </c>
      <c r="EM50" s="20">
        <v>856525</v>
      </c>
      <c r="EN50" s="20">
        <v>856525</v>
      </c>
      <c r="EO50" s="20">
        <f t="shared" si="79"/>
        <v>856525</v>
      </c>
      <c r="EP50" s="20">
        <v>1233864</v>
      </c>
      <c r="EQ50" s="20">
        <v>1233864</v>
      </c>
      <c r="ER50" s="20">
        <v>1233864</v>
      </c>
      <c r="ES50" s="20">
        <v>1233864</v>
      </c>
      <c r="ET50" s="20">
        <v>1233864</v>
      </c>
      <c r="EU50" s="20">
        <v>1233864</v>
      </c>
      <c r="EV50" s="20">
        <v>1233864</v>
      </c>
      <c r="EW50" s="20">
        <v>1233864</v>
      </c>
      <c r="EX50" s="20">
        <v>1233864</v>
      </c>
      <c r="EY50" s="20">
        <v>1233864</v>
      </c>
      <c r="EZ50" s="20">
        <v>1233864</v>
      </c>
      <c r="FA50" s="20">
        <v>1233864</v>
      </c>
      <c r="FB50" s="20">
        <f t="shared" si="80"/>
        <v>1233864</v>
      </c>
      <c r="FC50" s="20">
        <v>651088</v>
      </c>
      <c r="FD50" s="20">
        <v>651088</v>
      </c>
      <c r="FE50" s="20">
        <v>651088</v>
      </c>
      <c r="FF50" s="20">
        <v>651088</v>
      </c>
      <c r="FG50" s="20">
        <v>651088</v>
      </c>
      <c r="FH50" s="20">
        <v>651088</v>
      </c>
      <c r="FI50" s="20">
        <v>651088</v>
      </c>
      <c r="FJ50" s="10"/>
      <c r="FK50" s="10"/>
      <c r="FL50" s="10"/>
      <c r="FM50" s="10"/>
      <c r="FN50" s="10"/>
      <c r="FO50" s="20">
        <f t="shared" si="81"/>
        <v>651088</v>
      </c>
    </row>
    <row r="51" spans="1:171" ht="27.75" customHeight="1">
      <c r="A51" s="10"/>
      <c r="B51" s="19" t="s">
        <v>45</v>
      </c>
      <c r="C51" s="20">
        <v>40007</v>
      </c>
      <c r="D51" s="20">
        <v>40007</v>
      </c>
      <c r="E51" s="20">
        <v>40007</v>
      </c>
      <c r="F51" s="20">
        <v>40007</v>
      </c>
      <c r="G51" s="20">
        <v>40007</v>
      </c>
      <c r="H51" s="20">
        <v>40007</v>
      </c>
      <c r="I51" s="20">
        <v>40007</v>
      </c>
      <c r="J51" s="20">
        <v>40007</v>
      </c>
      <c r="K51" s="20">
        <v>40007</v>
      </c>
      <c r="L51" s="20">
        <v>40007</v>
      </c>
      <c r="M51" s="20">
        <v>40007</v>
      </c>
      <c r="N51" s="20">
        <v>40007</v>
      </c>
      <c r="O51" s="20">
        <f t="shared" si="69"/>
        <v>40007</v>
      </c>
      <c r="P51" s="20">
        <v>78467</v>
      </c>
      <c r="Q51" s="20">
        <v>78467</v>
      </c>
      <c r="R51" s="20">
        <v>78467</v>
      </c>
      <c r="S51" s="20">
        <v>78467</v>
      </c>
      <c r="T51" s="20">
        <v>78467</v>
      </c>
      <c r="U51" s="20">
        <v>78467</v>
      </c>
      <c r="V51" s="20">
        <v>78467</v>
      </c>
      <c r="W51" s="20">
        <v>78467</v>
      </c>
      <c r="X51" s="20">
        <v>78467</v>
      </c>
      <c r="Y51" s="20">
        <v>78467</v>
      </c>
      <c r="Z51" s="20">
        <v>78467</v>
      </c>
      <c r="AA51" s="20">
        <v>78467</v>
      </c>
      <c r="AB51" s="20">
        <f t="shared" si="70"/>
        <v>78467</v>
      </c>
      <c r="AC51" s="20">
        <v>62947</v>
      </c>
      <c r="AD51" s="20">
        <v>62947</v>
      </c>
      <c r="AE51" s="20">
        <v>62947</v>
      </c>
      <c r="AF51" s="20">
        <v>62947</v>
      </c>
      <c r="AG51" s="20">
        <v>62947</v>
      </c>
      <c r="AH51" s="20">
        <v>62947</v>
      </c>
      <c r="AI51" s="20">
        <v>62947</v>
      </c>
      <c r="AJ51" s="20">
        <v>62947</v>
      </c>
      <c r="AK51" s="20">
        <v>62947</v>
      </c>
      <c r="AL51" s="20">
        <v>62947</v>
      </c>
      <c r="AM51" s="20">
        <v>62947</v>
      </c>
      <c r="AN51" s="20">
        <v>62947</v>
      </c>
      <c r="AO51" s="20">
        <f t="shared" si="71"/>
        <v>62947</v>
      </c>
      <c r="AP51" s="20">
        <v>49257</v>
      </c>
      <c r="AQ51" s="20">
        <v>49257</v>
      </c>
      <c r="AR51" s="20">
        <v>49257</v>
      </c>
      <c r="AS51" s="20">
        <v>49257</v>
      </c>
      <c r="AT51" s="20">
        <v>49257</v>
      </c>
      <c r="AU51" s="20">
        <v>49257</v>
      </c>
      <c r="AV51" s="20">
        <v>49257</v>
      </c>
      <c r="AW51" s="20">
        <v>49257</v>
      </c>
      <c r="AX51" s="20">
        <v>49257</v>
      </c>
      <c r="AY51" s="20">
        <v>49257</v>
      </c>
      <c r="AZ51" s="20">
        <v>49257</v>
      </c>
      <c r="BA51" s="20">
        <v>49257</v>
      </c>
      <c r="BB51" s="20">
        <f t="shared" si="72"/>
        <v>49257</v>
      </c>
      <c r="BC51" s="20">
        <v>610722</v>
      </c>
      <c r="BD51" s="20">
        <v>610722</v>
      </c>
      <c r="BE51" s="20">
        <v>610722</v>
      </c>
      <c r="BF51" s="20">
        <v>610722</v>
      </c>
      <c r="BG51" s="20">
        <v>610722</v>
      </c>
      <c r="BH51" s="20">
        <v>610722</v>
      </c>
      <c r="BI51" s="20">
        <v>610722</v>
      </c>
      <c r="BJ51" s="20">
        <v>610722</v>
      </c>
      <c r="BK51" s="20">
        <v>610722</v>
      </c>
      <c r="BL51" s="20">
        <v>610722</v>
      </c>
      <c r="BM51" s="20">
        <v>610722</v>
      </c>
      <c r="BN51" s="20">
        <v>610722</v>
      </c>
      <c r="BO51" s="20">
        <f t="shared" si="73"/>
        <v>610722</v>
      </c>
      <c r="BP51" s="20">
        <v>166534</v>
      </c>
      <c r="BQ51" s="20">
        <v>166534</v>
      </c>
      <c r="BR51" s="20">
        <v>166534</v>
      </c>
      <c r="BS51" s="20">
        <v>166534</v>
      </c>
      <c r="BT51" s="20">
        <v>166534</v>
      </c>
      <c r="BU51" s="20">
        <v>166534</v>
      </c>
      <c r="BV51" s="20">
        <v>166534</v>
      </c>
      <c r="BW51" s="20">
        <v>166534</v>
      </c>
      <c r="BX51" s="20">
        <v>166534</v>
      </c>
      <c r="BY51" s="20">
        <v>166534</v>
      </c>
      <c r="BZ51" s="20">
        <v>166534</v>
      </c>
      <c r="CA51" s="20">
        <v>166534</v>
      </c>
      <c r="CB51" s="20">
        <f t="shared" si="74"/>
        <v>166534</v>
      </c>
      <c r="CC51" s="20">
        <v>206665</v>
      </c>
      <c r="CD51" s="20">
        <v>206665</v>
      </c>
      <c r="CE51" s="20">
        <v>206665</v>
      </c>
      <c r="CF51" s="20">
        <v>206665</v>
      </c>
      <c r="CG51" s="20">
        <v>206665</v>
      </c>
      <c r="CH51" s="20">
        <v>206665</v>
      </c>
      <c r="CI51" s="20">
        <v>206665</v>
      </c>
      <c r="CJ51" s="20">
        <v>206665</v>
      </c>
      <c r="CK51" s="20">
        <v>206665</v>
      </c>
      <c r="CL51" s="20">
        <v>206665</v>
      </c>
      <c r="CM51" s="20">
        <v>206665</v>
      </c>
      <c r="CN51" s="20">
        <v>206665</v>
      </c>
      <c r="CO51" s="20">
        <f t="shared" si="75"/>
        <v>206665</v>
      </c>
      <c r="CP51" s="20">
        <v>160447</v>
      </c>
      <c r="CQ51" s="20">
        <v>160447</v>
      </c>
      <c r="CR51" s="20">
        <v>160447</v>
      </c>
      <c r="CS51" s="20">
        <v>160447</v>
      </c>
      <c r="CT51" s="20">
        <v>160447</v>
      </c>
      <c r="CU51" s="20">
        <v>160447</v>
      </c>
      <c r="CV51" s="20">
        <v>160447</v>
      </c>
      <c r="CW51" s="20">
        <v>160447</v>
      </c>
      <c r="CX51" s="20">
        <v>160447</v>
      </c>
      <c r="CY51" s="20">
        <v>160447</v>
      </c>
      <c r="CZ51" s="20">
        <v>160447</v>
      </c>
      <c r="DA51" s="20">
        <v>160447</v>
      </c>
      <c r="DB51" s="20">
        <f t="shared" si="76"/>
        <v>160447</v>
      </c>
      <c r="DC51" s="20">
        <v>455326</v>
      </c>
      <c r="DD51" s="20">
        <v>455326</v>
      </c>
      <c r="DE51" s="20">
        <v>455326</v>
      </c>
      <c r="DF51" s="20">
        <v>455326</v>
      </c>
      <c r="DG51" s="20">
        <v>455326</v>
      </c>
      <c r="DH51" s="20">
        <v>455326</v>
      </c>
      <c r="DI51" s="20">
        <v>455326</v>
      </c>
      <c r="DJ51" s="20">
        <v>455326</v>
      </c>
      <c r="DK51" s="20">
        <v>455326</v>
      </c>
      <c r="DL51" s="20">
        <v>455326</v>
      </c>
      <c r="DM51" s="20">
        <v>455326</v>
      </c>
      <c r="DN51" s="20">
        <v>455326</v>
      </c>
      <c r="DO51" s="20">
        <f t="shared" si="77"/>
        <v>455326</v>
      </c>
      <c r="DP51" s="20">
        <v>622609</v>
      </c>
      <c r="DQ51" s="20">
        <v>622609</v>
      </c>
      <c r="DR51" s="20">
        <v>622609</v>
      </c>
      <c r="DS51" s="20">
        <v>622609</v>
      </c>
      <c r="DT51" s="20">
        <v>622609</v>
      </c>
      <c r="DU51" s="20">
        <v>622609</v>
      </c>
      <c r="DV51" s="20">
        <v>622609</v>
      </c>
      <c r="DW51" s="20">
        <v>622609</v>
      </c>
      <c r="DX51" s="20">
        <v>622609</v>
      </c>
      <c r="DY51" s="20">
        <v>622609</v>
      </c>
      <c r="DZ51" s="20">
        <v>622609</v>
      </c>
      <c r="EA51" s="20">
        <v>622609</v>
      </c>
      <c r="EB51" s="20">
        <f t="shared" si="78"/>
        <v>622609</v>
      </c>
      <c r="EC51" s="20">
        <v>636104</v>
      </c>
      <c r="ED51" s="20">
        <v>636104</v>
      </c>
      <c r="EE51" s="20">
        <v>636104</v>
      </c>
      <c r="EF51" s="20">
        <v>636104</v>
      </c>
      <c r="EG51" s="20">
        <v>636104</v>
      </c>
      <c r="EH51" s="20">
        <v>636104</v>
      </c>
      <c r="EI51" s="20">
        <v>636104</v>
      </c>
      <c r="EJ51" s="20">
        <v>636104</v>
      </c>
      <c r="EK51" s="20">
        <v>636104</v>
      </c>
      <c r="EL51" s="20">
        <v>636104</v>
      </c>
      <c r="EM51" s="20">
        <v>636104</v>
      </c>
      <c r="EN51" s="20">
        <v>636104</v>
      </c>
      <c r="EO51" s="20">
        <f t="shared" si="79"/>
        <v>636104</v>
      </c>
      <c r="EP51" s="20">
        <v>1352415</v>
      </c>
      <c r="EQ51" s="20">
        <v>1352415</v>
      </c>
      <c r="ER51" s="20">
        <v>1352415</v>
      </c>
      <c r="ES51" s="20">
        <v>1352415</v>
      </c>
      <c r="ET51" s="20">
        <v>1352415</v>
      </c>
      <c r="EU51" s="20">
        <v>1352415</v>
      </c>
      <c r="EV51" s="20">
        <v>1352415</v>
      </c>
      <c r="EW51" s="20">
        <v>1352415</v>
      </c>
      <c r="EX51" s="20">
        <v>1352415</v>
      </c>
      <c r="EY51" s="20">
        <v>1352415</v>
      </c>
      <c r="EZ51" s="20">
        <v>1352415</v>
      </c>
      <c r="FA51" s="20">
        <v>1352415</v>
      </c>
      <c r="FB51" s="20">
        <f t="shared" si="80"/>
        <v>1352415</v>
      </c>
      <c r="FC51" s="20">
        <v>667445</v>
      </c>
      <c r="FD51" s="20">
        <v>667445</v>
      </c>
      <c r="FE51" s="20">
        <v>667445</v>
      </c>
      <c r="FF51" s="20">
        <v>667445</v>
      </c>
      <c r="FG51" s="20">
        <v>667445</v>
      </c>
      <c r="FH51" s="20">
        <v>667445</v>
      </c>
      <c r="FI51" s="20">
        <v>667445</v>
      </c>
      <c r="FJ51" s="10"/>
      <c r="FK51" s="10"/>
      <c r="FL51" s="10"/>
      <c r="FM51" s="10"/>
      <c r="FN51" s="10"/>
      <c r="FO51" s="20">
        <f t="shared" si="81"/>
        <v>667445</v>
      </c>
    </row>
    <row r="52" spans="1:171" ht="27.75" customHeight="1">
      <c r="A52" s="10"/>
      <c r="B52" s="19" t="s">
        <v>46</v>
      </c>
      <c r="C52" s="20">
        <v>166373</v>
      </c>
      <c r="D52" s="20">
        <v>166373</v>
      </c>
      <c r="E52" s="20">
        <v>166373</v>
      </c>
      <c r="F52" s="20">
        <v>166373</v>
      </c>
      <c r="G52" s="20">
        <v>166373</v>
      </c>
      <c r="H52" s="20">
        <v>166373</v>
      </c>
      <c r="I52" s="20">
        <v>166373</v>
      </c>
      <c r="J52" s="20">
        <v>166373</v>
      </c>
      <c r="K52" s="20">
        <v>166373</v>
      </c>
      <c r="L52" s="20">
        <v>166373</v>
      </c>
      <c r="M52" s="20">
        <v>166373</v>
      </c>
      <c r="N52" s="20">
        <v>166373</v>
      </c>
      <c r="O52" s="20">
        <f t="shared" si="69"/>
        <v>166373</v>
      </c>
      <c r="P52" s="20">
        <v>1590037</v>
      </c>
      <c r="Q52" s="20">
        <v>1590037</v>
      </c>
      <c r="R52" s="20">
        <v>1590037</v>
      </c>
      <c r="S52" s="20">
        <v>1590037</v>
      </c>
      <c r="T52" s="20">
        <v>1590037</v>
      </c>
      <c r="U52" s="20">
        <v>1590037</v>
      </c>
      <c r="V52" s="20">
        <v>1590037</v>
      </c>
      <c r="W52" s="20">
        <v>1590037</v>
      </c>
      <c r="X52" s="20">
        <v>1590037</v>
      </c>
      <c r="Y52" s="20">
        <v>1590037</v>
      </c>
      <c r="Z52" s="20">
        <v>1590037</v>
      </c>
      <c r="AA52" s="20">
        <v>1590037</v>
      </c>
      <c r="AB52" s="20">
        <f t="shared" si="70"/>
        <v>1590037</v>
      </c>
      <c r="AC52" s="20">
        <v>6130543</v>
      </c>
      <c r="AD52" s="20">
        <v>6130543</v>
      </c>
      <c r="AE52" s="20">
        <v>6130543</v>
      </c>
      <c r="AF52" s="20">
        <v>6130543</v>
      </c>
      <c r="AG52" s="20">
        <v>6130543</v>
      </c>
      <c r="AH52" s="20">
        <v>6130543</v>
      </c>
      <c r="AI52" s="20">
        <v>6130543</v>
      </c>
      <c r="AJ52" s="20">
        <v>6130543</v>
      </c>
      <c r="AK52" s="20">
        <v>6130543</v>
      </c>
      <c r="AL52" s="20">
        <v>6130543</v>
      </c>
      <c r="AM52" s="20">
        <v>6130543</v>
      </c>
      <c r="AN52" s="20">
        <v>6130543</v>
      </c>
      <c r="AO52" s="20">
        <f t="shared" si="71"/>
        <v>6130543</v>
      </c>
      <c r="AP52" s="20">
        <v>3892493</v>
      </c>
      <c r="AQ52" s="20">
        <v>3892493</v>
      </c>
      <c r="AR52" s="20">
        <v>3892493</v>
      </c>
      <c r="AS52" s="20">
        <v>3892493</v>
      </c>
      <c r="AT52" s="20">
        <v>3892493</v>
      </c>
      <c r="AU52" s="20">
        <v>3892493</v>
      </c>
      <c r="AV52" s="20">
        <v>3892493</v>
      </c>
      <c r="AW52" s="20">
        <v>3892493</v>
      </c>
      <c r="AX52" s="20">
        <v>3892493</v>
      </c>
      <c r="AY52" s="20">
        <v>3892493</v>
      </c>
      <c r="AZ52" s="20">
        <v>3892493</v>
      </c>
      <c r="BA52" s="20">
        <v>3892493</v>
      </c>
      <c r="BB52" s="20">
        <f t="shared" si="72"/>
        <v>3892493</v>
      </c>
      <c r="BC52" s="20">
        <v>1987092</v>
      </c>
      <c r="BD52" s="20">
        <v>1987092</v>
      </c>
      <c r="BE52" s="20">
        <v>1987092</v>
      </c>
      <c r="BF52" s="20">
        <v>1987092</v>
      </c>
      <c r="BG52" s="20">
        <v>1987092</v>
      </c>
      <c r="BH52" s="20">
        <v>1987092</v>
      </c>
      <c r="BI52" s="20">
        <v>1987092</v>
      </c>
      <c r="BJ52" s="20">
        <v>1987092</v>
      </c>
      <c r="BK52" s="20">
        <v>1987092</v>
      </c>
      <c r="BL52" s="20">
        <v>1987092</v>
      </c>
      <c r="BM52" s="20">
        <v>1987092</v>
      </c>
      <c r="BN52" s="20">
        <v>1987092</v>
      </c>
      <c r="BO52" s="20">
        <f t="shared" si="73"/>
        <v>1987092</v>
      </c>
      <c r="BP52" s="20">
        <v>2440271</v>
      </c>
      <c r="BQ52" s="20">
        <v>2440271</v>
      </c>
      <c r="BR52" s="20">
        <v>2440271</v>
      </c>
      <c r="BS52" s="20">
        <v>2440271</v>
      </c>
      <c r="BT52" s="20">
        <v>2440271</v>
      </c>
      <c r="BU52" s="20">
        <v>2440271</v>
      </c>
      <c r="BV52" s="20">
        <v>2440271</v>
      </c>
      <c r="BW52" s="20">
        <v>2440271</v>
      </c>
      <c r="BX52" s="20">
        <v>2440271</v>
      </c>
      <c r="BY52" s="20">
        <v>2440271</v>
      </c>
      <c r="BZ52" s="20">
        <v>2440271</v>
      </c>
      <c r="CA52" s="20">
        <v>2440271</v>
      </c>
      <c r="CB52" s="20">
        <f t="shared" si="74"/>
        <v>2440271</v>
      </c>
      <c r="CC52" s="20">
        <v>2488259</v>
      </c>
      <c r="CD52" s="20">
        <v>2488259</v>
      </c>
      <c r="CE52" s="20">
        <v>2488259</v>
      </c>
      <c r="CF52" s="20">
        <v>2488259</v>
      </c>
      <c r="CG52" s="20">
        <v>2488259</v>
      </c>
      <c r="CH52" s="20">
        <v>2488259</v>
      </c>
      <c r="CI52" s="20">
        <v>2488259</v>
      </c>
      <c r="CJ52" s="20">
        <v>2488259</v>
      </c>
      <c r="CK52" s="20">
        <v>2488259</v>
      </c>
      <c r="CL52" s="20">
        <v>2488259</v>
      </c>
      <c r="CM52" s="20">
        <v>2488259</v>
      </c>
      <c r="CN52" s="20">
        <v>2488259</v>
      </c>
      <c r="CO52" s="20">
        <f t="shared" si="75"/>
        <v>2488259</v>
      </c>
      <c r="CP52" s="20">
        <v>2902086</v>
      </c>
      <c r="CQ52" s="20">
        <v>2902086</v>
      </c>
      <c r="CR52" s="20">
        <v>2902086</v>
      </c>
      <c r="CS52" s="20">
        <v>2902086</v>
      </c>
      <c r="CT52" s="20">
        <v>2902086</v>
      </c>
      <c r="CU52" s="20">
        <v>2902086</v>
      </c>
      <c r="CV52" s="20">
        <v>2902086</v>
      </c>
      <c r="CW52" s="20">
        <v>2902086</v>
      </c>
      <c r="CX52" s="20">
        <v>2902086</v>
      </c>
      <c r="CY52" s="20">
        <v>2902086</v>
      </c>
      <c r="CZ52" s="20">
        <v>2902086</v>
      </c>
      <c r="DA52" s="20">
        <v>2902086</v>
      </c>
      <c r="DB52" s="20">
        <f t="shared" si="76"/>
        <v>2902086</v>
      </c>
      <c r="DC52" s="20">
        <v>1322297</v>
      </c>
      <c r="DD52" s="20">
        <v>1322297</v>
      </c>
      <c r="DE52" s="20">
        <v>1322297</v>
      </c>
      <c r="DF52" s="20">
        <v>1322297</v>
      </c>
      <c r="DG52" s="20">
        <v>1322297</v>
      </c>
      <c r="DH52" s="20">
        <v>1322297</v>
      </c>
      <c r="DI52" s="20">
        <v>1322297</v>
      </c>
      <c r="DJ52" s="20">
        <v>1322297</v>
      </c>
      <c r="DK52" s="20">
        <v>1322297</v>
      </c>
      <c r="DL52" s="20">
        <v>1322297</v>
      </c>
      <c r="DM52" s="20">
        <v>1322297</v>
      </c>
      <c r="DN52" s="20">
        <v>1322297</v>
      </c>
      <c r="DO52" s="20">
        <f t="shared" si="77"/>
        <v>1322297</v>
      </c>
      <c r="DP52" s="20">
        <v>1814843</v>
      </c>
      <c r="DQ52" s="20">
        <v>1814843</v>
      </c>
      <c r="DR52" s="20">
        <v>1814843</v>
      </c>
      <c r="DS52" s="20">
        <v>1814843</v>
      </c>
      <c r="DT52" s="20">
        <v>1814843</v>
      </c>
      <c r="DU52" s="20">
        <v>1814843</v>
      </c>
      <c r="DV52" s="20">
        <v>1814843</v>
      </c>
      <c r="DW52" s="20">
        <v>1814843</v>
      </c>
      <c r="DX52" s="20">
        <v>1814843</v>
      </c>
      <c r="DY52" s="20">
        <v>1814843</v>
      </c>
      <c r="DZ52" s="20">
        <v>1814843</v>
      </c>
      <c r="EA52" s="20">
        <v>1814843</v>
      </c>
      <c r="EB52" s="20">
        <f t="shared" si="78"/>
        <v>1814843</v>
      </c>
      <c r="EC52" s="20">
        <v>5152528</v>
      </c>
      <c r="ED52" s="20">
        <v>5152528</v>
      </c>
      <c r="EE52" s="20">
        <v>5152528</v>
      </c>
      <c r="EF52" s="20">
        <v>5152528</v>
      </c>
      <c r="EG52" s="20">
        <v>5152528</v>
      </c>
      <c r="EH52" s="20">
        <v>5152528</v>
      </c>
      <c r="EI52" s="20">
        <v>5152528</v>
      </c>
      <c r="EJ52" s="20">
        <v>5152528</v>
      </c>
      <c r="EK52" s="20">
        <v>5152528</v>
      </c>
      <c r="EL52" s="20">
        <v>5152528</v>
      </c>
      <c r="EM52" s="20">
        <v>5152528</v>
      </c>
      <c r="EN52" s="20">
        <v>5152528</v>
      </c>
      <c r="EO52" s="20">
        <f t="shared" si="79"/>
        <v>5152528</v>
      </c>
      <c r="EP52" s="20">
        <v>2635679</v>
      </c>
      <c r="EQ52" s="20">
        <v>2635679</v>
      </c>
      <c r="ER52" s="20">
        <v>2635679</v>
      </c>
      <c r="ES52" s="20">
        <v>2635679</v>
      </c>
      <c r="ET52" s="20">
        <v>2635679</v>
      </c>
      <c r="EU52" s="20">
        <v>2635679</v>
      </c>
      <c r="EV52" s="20">
        <v>2635679</v>
      </c>
      <c r="EW52" s="20">
        <v>2635679</v>
      </c>
      <c r="EX52" s="20">
        <v>2635679</v>
      </c>
      <c r="EY52" s="20">
        <v>2635679</v>
      </c>
      <c r="EZ52" s="20">
        <v>2635679</v>
      </c>
      <c r="FA52" s="20">
        <v>2635679</v>
      </c>
      <c r="FB52" s="20">
        <f t="shared" si="80"/>
        <v>2635679</v>
      </c>
      <c r="FC52" s="20">
        <v>2135157</v>
      </c>
      <c r="FD52" s="20">
        <v>2135157</v>
      </c>
      <c r="FE52" s="20">
        <v>2135157</v>
      </c>
      <c r="FF52" s="20">
        <v>2135157</v>
      </c>
      <c r="FG52" s="20">
        <v>2135157</v>
      </c>
      <c r="FH52" s="20">
        <v>2135157</v>
      </c>
      <c r="FI52" s="20">
        <v>2135157</v>
      </c>
      <c r="FJ52" s="10"/>
      <c r="FK52" s="10"/>
      <c r="FL52" s="10"/>
      <c r="FM52" s="10"/>
      <c r="FN52" s="10"/>
      <c r="FO52" s="20">
        <f t="shared" si="81"/>
        <v>2135157</v>
      </c>
    </row>
    <row r="53" spans="1:171" ht="27.75" customHeight="1">
      <c r="A53" s="10"/>
      <c r="B53" s="19" t="s">
        <v>47</v>
      </c>
      <c r="C53" s="20">
        <v>231070</v>
      </c>
      <c r="D53" s="20">
        <v>231070</v>
      </c>
      <c r="E53" s="20">
        <v>231070</v>
      </c>
      <c r="F53" s="20">
        <v>231070</v>
      </c>
      <c r="G53" s="20">
        <v>231070</v>
      </c>
      <c r="H53" s="20">
        <v>231070</v>
      </c>
      <c r="I53" s="20">
        <v>231070</v>
      </c>
      <c r="J53" s="20">
        <v>231070</v>
      </c>
      <c r="K53" s="20">
        <v>231070</v>
      </c>
      <c r="L53" s="20">
        <v>231070</v>
      </c>
      <c r="M53" s="20">
        <v>231070</v>
      </c>
      <c r="N53" s="20">
        <v>231070</v>
      </c>
      <c r="O53" s="20">
        <f t="shared" si="69"/>
        <v>231070</v>
      </c>
      <c r="P53" s="20">
        <v>467863</v>
      </c>
      <c r="Q53" s="20">
        <v>467863</v>
      </c>
      <c r="R53" s="20">
        <v>467863</v>
      </c>
      <c r="S53" s="20">
        <v>467863</v>
      </c>
      <c r="T53" s="20">
        <v>467863</v>
      </c>
      <c r="U53" s="20">
        <v>467863</v>
      </c>
      <c r="V53" s="20">
        <v>467863</v>
      </c>
      <c r="W53" s="20">
        <v>467863</v>
      </c>
      <c r="X53" s="20">
        <v>467863</v>
      </c>
      <c r="Y53" s="20">
        <v>467863</v>
      </c>
      <c r="Z53" s="20">
        <v>467863</v>
      </c>
      <c r="AA53" s="20">
        <v>467863</v>
      </c>
      <c r="AB53" s="20">
        <f t="shared" si="70"/>
        <v>467863</v>
      </c>
      <c r="AC53" s="20">
        <v>173175</v>
      </c>
      <c r="AD53" s="20">
        <v>173175</v>
      </c>
      <c r="AE53" s="20">
        <v>173175</v>
      </c>
      <c r="AF53" s="20">
        <v>173175</v>
      </c>
      <c r="AG53" s="20">
        <v>173175</v>
      </c>
      <c r="AH53" s="20">
        <v>173175</v>
      </c>
      <c r="AI53" s="20">
        <v>173175</v>
      </c>
      <c r="AJ53" s="20">
        <v>173175</v>
      </c>
      <c r="AK53" s="20">
        <v>173175</v>
      </c>
      <c r="AL53" s="20">
        <v>173175</v>
      </c>
      <c r="AM53" s="20">
        <v>173175</v>
      </c>
      <c r="AN53" s="20">
        <v>173175</v>
      </c>
      <c r="AO53" s="20">
        <f t="shared" si="71"/>
        <v>173175</v>
      </c>
      <c r="AP53" s="20">
        <v>100131</v>
      </c>
      <c r="AQ53" s="20">
        <v>100131</v>
      </c>
      <c r="AR53" s="20">
        <v>100131</v>
      </c>
      <c r="AS53" s="20">
        <v>100131</v>
      </c>
      <c r="AT53" s="20">
        <v>100131</v>
      </c>
      <c r="AU53" s="20">
        <v>100131</v>
      </c>
      <c r="AV53" s="20">
        <v>100131</v>
      </c>
      <c r="AW53" s="20">
        <v>100131</v>
      </c>
      <c r="AX53" s="20">
        <v>100131</v>
      </c>
      <c r="AY53" s="20">
        <v>100131</v>
      </c>
      <c r="AZ53" s="20">
        <v>100131</v>
      </c>
      <c r="BA53" s="20">
        <v>100131</v>
      </c>
      <c r="BB53" s="20">
        <f t="shared" si="72"/>
        <v>100131</v>
      </c>
      <c r="BC53" s="20">
        <v>95500</v>
      </c>
      <c r="BD53" s="20">
        <v>95500</v>
      </c>
      <c r="BE53" s="20">
        <v>95500</v>
      </c>
      <c r="BF53" s="20">
        <v>95500</v>
      </c>
      <c r="BG53" s="20">
        <v>95500</v>
      </c>
      <c r="BH53" s="20">
        <v>95500</v>
      </c>
      <c r="BI53" s="20">
        <v>95500</v>
      </c>
      <c r="BJ53" s="20">
        <v>95500</v>
      </c>
      <c r="BK53" s="20">
        <v>95500</v>
      </c>
      <c r="BL53" s="20">
        <v>95500</v>
      </c>
      <c r="BM53" s="20">
        <v>95500</v>
      </c>
      <c r="BN53" s="20">
        <v>95500</v>
      </c>
      <c r="BO53" s="20">
        <f t="shared" si="73"/>
        <v>95500</v>
      </c>
      <c r="BP53" s="20">
        <v>97653</v>
      </c>
      <c r="BQ53" s="20">
        <v>97653</v>
      </c>
      <c r="BR53" s="20">
        <v>97653</v>
      </c>
      <c r="BS53" s="20">
        <v>97653</v>
      </c>
      <c r="BT53" s="20">
        <v>97653</v>
      </c>
      <c r="BU53" s="20">
        <v>97653</v>
      </c>
      <c r="BV53" s="20">
        <v>97653</v>
      </c>
      <c r="BW53" s="20">
        <v>97653</v>
      </c>
      <c r="BX53" s="20">
        <v>97653</v>
      </c>
      <c r="BY53" s="20">
        <v>97653</v>
      </c>
      <c r="BZ53" s="20">
        <v>97653</v>
      </c>
      <c r="CA53" s="20">
        <v>97653</v>
      </c>
      <c r="CB53" s="20">
        <f t="shared" si="74"/>
        <v>97653</v>
      </c>
      <c r="CC53" s="20">
        <v>72183</v>
      </c>
      <c r="CD53" s="20">
        <v>72183</v>
      </c>
      <c r="CE53" s="20">
        <v>72183</v>
      </c>
      <c r="CF53" s="20">
        <v>72183</v>
      </c>
      <c r="CG53" s="20">
        <v>72183</v>
      </c>
      <c r="CH53" s="20">
        <v>72183</v>
      </c>
      <c r="CI53" s="20">
        <v>72183</v>
      </c>
      <c r="CJ53" s="20">
        <v>72183</v>
      </c>
      <c r="CK53" s="20">
        <v>72183</v>
      </c>
      <c r="CL53" s="20">
        <v>72183</v>
      </c>
      <c r="CM53" s="20">
        <v>72183</v>
      </c>
      <c r="CN53" s="20">
        <v>72183</v>
      </c>
      <c r="CO53" s="20">
        <f t="shared" si="75"/>
        <v>72183</v>
      </c>
      <c r="CP53" s="20">
        <v>103404</v>
      </c>
      <c r="CQ53" s="20">
        <v>103404</v>
      </c>
      <c r="CR53" s="20">
        <v>103404</v>
      </c>
      <c r="CS53" s="20">
        <v>103404</v>
      </c>
      <c r="CT53" s="20">
        <v>103404</v>
      </c>
      <c r="CU53" s="20">
        <v>103404</v>
      </c>
      <c r="CV53" s="20">
        <v>103404</v>
      </c>
      <c r="CW53" s="20">
        <v>103404</v>
      </c>
      <c r="CX53" s="20">
        <v>103404</v>
      </c>
      <c r="CY53" s="20">
        <v>103404</v>
      </c>
      <c r="CZ53" s="20">
        <v>103404</v>
      </c>
      <c r="DA53" s="20">
        <v>103404</v>
      </c>
      <c r="DB53" s="20">
        <f t="shared" si="76"/>
        <v>103404</v>
      </c>
      <c r="DC53" s="20">
        <v>76973</v>
      </c>
      <c r="DD53" s="20">
        <v>76973</v>
      </c>
      <c r="DE53" s="20">
        <v>76973</v>
      </c>
      <c r="DF53" s="20">
        <v>76973</v>
      </c>
      <c r="DG53" s="20">
        <v>76973</v>
      </c>
      <c r="DH53" s="20">
        <v>76973</v>
      </c>
      <c r="DI53" s="20">
        <v>76973</v>
      </c>
      <c r="DJ53" s="20">
        <v>76973</v>
      </c>
      <c r="DK53" s="20">
        <v>76973</v>
      </c>
      <c r="DL53" s="20">
        <v>76973</v>
      </c>
      <c r="DM53" s="20">
        <v>76973</v>
      </c>
      <c r="DN53" s="20">
        <v>76973</v>
      </c>
      <c r="DO53" s="20">
        <f t="shared" si="77"/>
        <v>76973</v>
      </c>
      <c r="DP53" s="20">
        <v>240323</v>
      </c>
      <c r="DQ53" s="20">
        <v>240323</v>
      </c>
      <c r="DR53" s="20">
        <v>240323</v>
      </c>
      <c r="DS53" s="20">
        <v>240323</v>
      </c>
      <c r="DT53" s="20">
        <v>240323</v>
      </c>
      <c r="DU53" s="20">
        <v>240323</v>
      </c>
      <c r="DV53" s="20">
        <v>240323</v>
      </c>
      <c r="DW53" s="20">
        <v>240323</v>
      </c>
      <c r="DX53" s="20">
        <v>240323</v>
      </c>
      <c r="DY53" s="20">
        <v>240323</v>
      </c>
      <c r="DZ53" s="20">
        <v>240323</v>
      </c>
      <c r="EA53" s="20">
        <v>240323</v>
      </c>
      <c r="EB53" s="20">
        <f t="shared" si="78"/>
        <v>240323</v>
      </c>
      <c r="EC53" s="20">
        <v>251537</v>
      </c>
      <c r="ED53" s="20">
        <v>251537</v>
      </c>
      <c r="EE53" s="20">
        <v>251537</v>
      </c>
      <c r="EF53" s="20">
        <v>251537</v>
      </c>
      <c r="EG53" s="20">
        <v>251537</v>
      </c>
      <c r="EH53" s="20">
        <v>251537</v>
      </c>
      <c r="EI53" s="20">
        <v>251537</v>
      </c>
      <c r="EJ53" s="20">
        <v>251537</v>
      </c>
      <c r="EK53" s="20">
        <v>251537</v>
      </c>
      <c r="EL53" s="20">
        <v>251537</v>
      </c>
      <c r="EM53" s="20">
        <v>251537</v>
      </c>
      <c r="EN53" s="20">
        <v>251537</v>
      </c>
      <c r="EO53" s="20">
        <f t="shared" si="79"/>
        <v>251537</v>
      </c>
      <c r="EP53" s="20">
        <v>924967</v>
      </c>
      <c r="EQ53" s="20">
        <v>924967</v>
      </c>
      <c r="ER53" s="20">
        <v>924967</v>
      </c>
      <c r="ES53" s="20">
        <v>924967</v>
      </c>
      <c r="ET53" s="20">
        <v>924967</v>
      </c>
      <c r="EU53" s="20">
        <v>924967</v>
      </c>
      <c r="EV53" s="20">
        <v>924967</v>
      </c>
      <c r="EW53" s="20">
        <v>924967</v>
      </c>
      <c r="EX53" s="20">
        <v>924967</v>
      </c>
      <c r="EY53" s="20">
        <v>924967</v>
      </c>
      <c r="EZ53" s="20">
        <v>924967</v>
      </c>
      <c r="FA53" s="20">
        <v>924967</v>
      </c>
      <c r="FB53" s="20">
        <f t="shared" si="80"/>
        <v>924967</v>
      </c>
      <c r="FC53" s="20">
        <v>294239</v>
      </c>
      <c r="FD53" s="20">
        <v>294239</v>
      </c>
      <c r="FE53" s="20">
        <v>294239</v>
      </c>
      <c r="FF53" s="20">
        <v>294239</v>
      </c>
      <c r="FG53" s="20">
        <v>294239</v>
      </c>
      <c r="FH53" s="20">
        <v>294239</v>
      </c>
      <c r="FI53" s="20">
        <v>294239</v>
      </c>
      <c r="FJ53" s="10"/>
      <c r="FK53" s="10"/>
      <c r="FL53" s="10"/>
      <c r="FM53" s="10"/>
      <c r="FN53" s="10"/>
      <c r="FO53" s="20">
        <f t="shared" si="81"/>
        <v>294239</v>
      </c>
    </row>
    <row r="54" spans="1:171" ht="27.75" customHeight="1">
      <c r="A54" s="10"/>
      <c r="B54" s="19" t="s">
        <v>48</v>
      </c>
      <c r="C54" s="20">
        <v>104782</v>
      </c>
      <c r="D54" s="20">
        <v>104782</v>
      </c>
      <c r="E54" s="20">
        <v>104782</v>
      </c>
      <c r="F54" s="20">
        <v>104782</v>
      </c>
      <c r="G54" s="20">
        <v>104782</v>
      </c>
      <c r="H54" s="20">
        <v>104782</v>
      </c>
      <c r="I54" s="20">
        <v>104782</v>
      </c>
      <c r="J54" s="20">
        <v>104782</v>
      </c>
      <c r="K54" s="20">
        <v>104782</v>
      </c>
      <c r="L54" s="20">
        <v>104782</v>
      </c>
      <c r="M54" s="20">
        <v>104782</v>
      </c>
      <c r="N54" s="20">
        <v>104782</v>
      </c>
      <c r="O54" s="20">
        <f t="shared" si="69"/>
        <v>104782</v>
      </c>
      <c r="P54" s="20">
        <v>95648</v>
      </c>
      <c r="Q54" s="20">
        <v>95648</v>
      </c>
      <c r="R54" s="20">
        <v>95648</v>
      </c>
      <c r="S54" s="20">
        <v>95648</v>
      </c>
      <c r="T54" s="20">
        <v>95648</v>
      </c>
      <c r="U54" s="20">
        <v>95648</v>
      </c>
      <c r="V54" s="20">
        <v>95648</v>
      </c>
      <c r="W54" s="20">
        <v>95648</v>
      </c>
      <c r="X54" s="20">
        <v>95648</v>
      </c>
      <c r="Y54" s="20">
        <v>95648</v>
      </c>
      <c r="Z54" s="20">
        <v>95648</v>
      </c>
      <c r="AA54" s="20">
        <v>95648</v>
      </c>
      <c r="AB54" s="20">
        <f t="shared" si="70"/>
        <v>95648</v>
      </c>
      <c r="AC54" s="20">
        <v>96011</v>
      </c>
      <c r="AD54" s="20">
        <v>96011</v>
      </c>
      <c r="AE54" s="20">
        <v>96011</v>
      </c>
      <c r="AF54" s="20">
        <v>96011</v>
      </c>
      <c r="AG54" s="20">
        <v>96011</v>
      </c>
      <c r="AH54" s="20">
        <v>96011</v>
      </c>
      <c r="AI54" s="20">
        <v>96011</v>
      </c>
      <c r="AJ54" s="20">
        <v>96011</v>
      </c>
      <c r="AK54" s="20">
        <v>96011</v>
      </c>
      <c r="AL54" s="20">
        <v>96011</v>
      </c>
      <c r="AM54" s="20">
        <v>96011</v>
      </c>
      <c r="AN54" s="20">
        <v>96011</v>
      </c>
      <c r="AO54" s="20">
        <f t="shared" si="71"/>
        <v>96011</v>
      </c>
      <c r="AP54" s="20">
        <v>123692</v>
      </c>
      <c r="AQ54" s="20">
        <v>123692</v>
      </c>
      <c r="AR54" s="20">
        <v>123692</v>
      </c>
      <c r="AS54" s="20">
        <v>123692</v>
      </c>
      <c r="AT54" s="20">
        <v>123692</v>
      </c>
      <c r="AU54" s="20">
        <v>123692</v>
      </c>
      <c r="AV54" s="20">
        <v>123692</v>
      </c>
      <c r="AW54" s="20">
        <v>123692</v>
      </c>
      <c r="AX54" s="20">
        <v>123692</v>
      </c>
      <c r="AY54" s="20">
        <v>123692</v>
      </c>
      <c r="AZ54" s="20">
        <v>123692</v>
      </c>
      <c r="BA54" s="20">
        <v>123692</v>
      </c>
      <c r="BB54" s="20">
        <f t="shared" si="72"/>
        <v>123692</v>
      </c>
      <c r="BC54" s="20">
        <v>101075</v>
      </c>
      <c r="BD54" s="20">
        <v>101075</v>
      </c>
      <c r="BE54" s="20">
        <v>101075</v>
      </c>
      <c r="BF54" s="20">
        <v>101075</v>
      </c>
      <c r="BG54" s="20">
        <v>101075</v>
      </c>
      <c r="BH54" s="20">
        <v>101075</v>
      </c>
      <c r="BI54" s="20">
        <v>101075</v>
      </c>
      <c r="BJ54" s="20">
        <v>101075</v>
      </c>
      <c r="BK54" s="20">
        <v>101075</v>
      </c>
      <c r="BL54" s="20">
        <v>101075</v>
      </c>
      <c r="BM54" s="20">
        <v>101075</v>
      </c>
      <c r="BN54" s="20">
        <v>101075</v>
      </c>
      <c r="BO54" s="20">
        <f t="shared" si="73"/>
        <v>101075</v>
      </c>
      <c r="BP54" s="20">
        <v>111887</v>
      </c>
      <c r="BQ54" s="20">
        <v>111887</v>
      </c>
      <c r="BR54" s="20">
        <v>111887</v>
      </c>
      <c r="BS54" s="20">
        <v>111887</v>
      </c>
      <c r="BT54" s="20">
        <v>111887</v>
      </c>
      <c r="BU54" s="20">
        <v>111887</v>
      </c>
      <c r="BV54" s="20">
        <v>111887</v>
      </c>
      <c r="BW54" s="20">
        <v>111887</v>
      </c>
      <c r="BX54" s="20">
        <v>111887</v>
      </c>
      <c r="BY54" s="20">
        <v>111887</v>
      </c>
      <c r="BZ54" s="20">
        <v>111887</v>
      </c>
      <c r="CA54" s="20">
        <v>111887</v>
      </c>
      <c r="CB54" s="20">
        <f t="shared" si="74"/>
        <v>111887</v>
      </c>
      <c r="CC54" s="20">
        <v>185782</v>
      </c>
      <c r="CD54" s="20">
        <v>185782</v>
      </c>
      <c r="CE54" s="20">
        <v>185782</v>
      </c>
      <c r="CF54" s="20">
        <v>185782</v>
      </c>
      <c r="CG54" s="20">
        <v>185782</v>
      </c>
      <c r="CH54" s="20">
        <v>185782</v>
      </c>
      <c r="CI54" s="20">
        <v>185782</v>
      </c>
      <c r="CJ54" s="20">
        <v>185782</v>
      </c>
      <c r="CK54" s="20">
        <v>185782</v>
      </c>
      <c r="CL54" s="20">
        <v>185782</v>
      </c>
      <c r="CM54" s="20">
        <v>185782</v>
      </c>
      <c r="CN54" s="20">
        <v>185782</v>
      </c>
      <c r="CO54" s="20">
        <f t="shared" si="75"/>
        <v>185782</v>
      </c>
      <c r="CP54" s="20">
        <v>107372</v>
      </c>
      <c r="CQ54" s="20">
        <v>107372</v>
      </c>
      <c r="CR54" s="20">
        <v>107372</v>
      </c>
      <c r="CS54" s="20">
        <v>107372</v>
      </c>
      <c r="CT54" s="20">
        <v>107372</v>
      </c>
      <c r="CU54" s="20">
        <v>107372</v>
      </c>
      <c r="CV54" s="20">
        <v>107372</v>
      </c>
      <c r="CW54" s="20">
        <v>107372</v>
      </c>
      <c r="CX54" s="20">
        <v>107372</v>
      </c>
      <c r="CY54" s="20">
        <v>107372</v>
      </c>
      <c r="CZ54" s="20">
        <v>107372</v>
      </c>
      <c r="DA54" s="20">
        <v>107372</v>
      </c>
      <c r="DB54" s="20">
        <f t="shared" si="76"/>
        <v>107372</v>
      </c>
      <c r="DC54" s="20">
        <v>169485</v>
      </c>
      <c r="DD54" s="20">
        <v>169485</v>
      </c>
      <c r="DE54" s="20">
        <v>169485</v>
      </c>
      <c r="DF54" s="20">
        <v>169485</v>
      </c>
      <c r="DG54" s="20">
        <v>169485</v>
      </c>
      <c r="DH54" s="20">
        <v>169485</v>
      </c>
      <c r="DI54" s="20">
        <v>169485</v>
      </c>
      <c r="DJ54" s="20">
        <v>169485</v>
      </c>
      <c r="DK54" s="20">
        <v>169485</v>
      </c>
      <c r="DL54" s="20">
        <v>169485</v>
      </c>
      <c r="DM54" s="20">
        <v>169485</v>
      </c>
      <c r="DN54" s="20">
        <v>169485</v>
      </c>
      <c r="DO54" s="20">
        <f t="shared" si="77"/>
        <v>169485</v>
      </c>
      <c r="DP54" s="20">
        <v>556957</v>
      </c>
      <c r="DQ54" s="20">
        <v>556957</v>
      </c>
      <c r="DR54" s="20">
        <v>556957</v>
      </c>
      <c r="DS54" s="20">
        <v>556957</v>
      </c>
      <c r="DT54" s="20">
        <v>556957</v>
      </c>
      <c r="DU54" s="20">
        <v>556957</v>
      </c>
      <c r="DV54" s="20">
        <v>556957</v>
      </c>
      <c r="DW54" s="20">
        <v>556957</v>
      </c>
      <c r="DX54" s="20">
        <v>556957</v>
      </c>
      <c r="DY54" s="20">
        <v>556957</v>
      </c>
      <c r="DZ54" s="20">
        <v>556957</v>
      </c>
      <c r="EA54" s="20">
        <v>556957</v>
      </c>
      <c r="EB54" s="20">
        <f t="shared" si="78"/>
        <v>556957</v>
      </c>
      <c r="EC54" s="20">
        <v>615757</v>
      </c>
      <c r="ED54" s="20">
        <v>615757</v>
      </c>
      <c r="EE54" s="20">
        <v>615757</v>
      </c>
      <c r="EF54" s="20">
        <v>615757</v>
      </c>
      <c r="EG54" s="20">
        <v>615757</v>
      </c>
      <c r="EH54" s="20">
        <v>615757</v>
      </c>
      <c r="EI54" s="20">
        <v>615757</v>
      </c>
      <c r="EJ54" s="20">
        <v>615757</v>
      </c>
      <c r="EK54" s="20">
        <v>615757</v>
      </c>
      <c r="EL54" s="20">
        <v>615757</v>
      </c>
      <c r="EM54" s="20">
        <v>615757</v>
      </c>
      <c r="EN54" s="20">
        <v>615757</v>
      </c>
      <c r="EO54" s="20">
        <f t="shared" si="79"/>
        <v>615757</v>
      </c>
      <c r="EP54" s="20">
        <v>555640</v>
      </c>
      <c r="EQ54" s="20">
        <v>555640</v>
      </c>
      <c r="ER54" s="20">
        <v>555640</v>
      </c>
      <c r="ES54" s="20">
        <v>555640</v>
      </c>
      <c r="ET54" s="20">
        <v>555640</v>
      </c>
      <c r="EU54" s="20">
        <v>555640</v>
      </c>
      <c r="EV54" s="20">
        <v>555640</v>
      </c>
      <c r="EW54" s="20">
        <v>555640</v>
      </c>
      <c r="EX54" s="20">
        <v>555640</v>
      </c>
      <c r="EY54" s="20">
        <v>555640</v>
      </c>
      <c r="EZ54" s="20">
        <v>555640</v>
      </c>
      <c r="FA54" s="20">
        <v>555640</v>
      </c>
      <c r="FB54" s="20">
        <f t="shared" si="80"/>
        <v>555640</v>
      </c>
      <c r="FC54" s="20">
        <v>392933</v>
      </c>
      <c r="FD54" s="20">
        <v>392933</v>
      </c>
      <c r="FE54" s="20">
        <v>392933</v>
      </c>
      <c r="FF54" s="20">
        <v>392933</v>
      </c>
      <c r="FG54" s="20">
        <v>392933</v>
      </c>
      <c r="FH54" s="20">
        <v>392933</v>
      </c>
      <c r="FI54" s="20">
        <v>392933</v>
      </c>
      <c r="FJ54" s="10"/>
      <c r="FK54" s="10"/>
      <c r="FL54" s="10"/>
      <c r="FM54" s="10"/>
      <c r="FN54" s="10"/>
      <c r="FO54" s="20">
        <f t="shared" si="81"/>
        <v>392933</v>
      </c>
    </row>
    <row r="55" spans="1:171" ht="21.75" customHeight="1">
      <c r="A55" s="10"/>
      <c r="B55" s="15" t="s">
        <v>49</v>
      </c>
      <c r="C55" s="38">
        <f t="shared" ref="C55:AH55" si="82">SUM(C49:C54)</f>
        <v>3877230</v>
      </c>
      <c r="D55" s="38">
        <f t="shared" si="82"/>
        <v>3877230</v>
      </c>
      <c r="E55" s="38">
        <f t="shared" si="82"/>
        <v>3877230</v>
      </c>
      <c r="F55" s="38">
        <f t="shared" si="82"/>
        <v>3877230</v>
      </c>
      <c r="G55" s="38">
        <f t="shared" si="82"/>
        <v>3877230</v>
      </c>
      <c r="H55" s="38">
        <f t="shared" si="82"/>
        <v>3877230</v>
      </c>
      <c r="I55" s="38">
        <f t="shared" si="82"/>
        <v>3877230</v>
      </c>
      <c r="J55" s="38">
        <f t="shared" si="82"/>
        <v>3877230</v>
      </c>
      <c r="K55" s="38">
        <f t="shared" si="82"/>
        <v>3877230</v>
      </c>
      <c r="L55" s="38">
        <f t="shared" si="82"/>
        <v>3877230</v>
      </c>
      <c r="M55" s="38">
        <f t="shared" si="82"/>
        <v>3877230</v>
      </c>
      <c r="N55" s="38">
        <f t="shared" si="82"/>
        <v>3877230</v>
      </c>
      <c r="O55" s="38">
        <f t="shared" si="82"/>
        <v>3877230</v>
      </c>
      <c r="P55" s="38">
        <f t="shared" si="82"/>
        <v>4347325</v>
      </c>
      <c r="Q55" s="38">
        <f t="shared" si="82"/>
        <v>4347325</v>
      </c>
      <c r="R55" s="38">
        <f t="shared" si="82"/>
        <v>4347325</v>
      </c>
      <c r="S55" s="38">
        <f t="shared" si="82"/>
        <v>4347325</v>
      </c>
      <c r="T55" s="38">
        <f t="shared" si="82"/>
        <v>4347325</v>
      </c>
      <c r="U55" s="38">
        <f t="shared" si="82"/>
        <v>4347325</v>
      </c>
      <c r="V55" s="38">
        <f t="shared" si="82"/>
        <v>4347325</v>
      </c>
      <c r="W55" s="38">
        <f t="shared" si="82"/>
        <v>4347325</v>
      </c>
      <c r="X55" s="38">
        <f t="shared" si="82"/>
        <v>4347325</v>
      </c>
      <c r="Y55" s="38">
        <f t="shared" si="82"/>
        <v>4347325</v>
      </c>
      <c r="Z55" s="38">
        <f t="shared" si="82"/>
        <v>4347325</v>
      </c>
      <c r="AA55" s="38">
        <f t="shared" si="82"/>
        <v>4347325</v>
      </c>
      <c r="AB55" s="38">
        <f t="shared" si="82"/>
        <v>4347325</v>
      </c>
      <c r="AC55" s="38">
        <f t="shared" si="82"/>
        <v>8581177</v>
      </c>
      <c r="AD55" s="38">
        <f t="shared" si="82"/>
        <v>8581177</v>
      </c>
      <c r="AE55" s="38">
        <f t="shared" si="82"/>
        <v>8581177</v>
      </c>
      <c r="AF55" s="38">
        <f t="shared" si="82"/>
        <v>8581177</v>
      </c>
      <c r="AG55" s="38">
        <f t="shared" si="82"/>
        <v>8581177</v>
      </c>
      <c r="AH55" s="38">
        <f t="shared" si="82"/>
        <v>8581177</v>
      </c>
      <c r="AI55" s="38">
        <f t="shared" ref="AI55:BN55" si="83">SUM(AI49:AI54)</f>
        <v>8581177</v>
      </c>
      <c r="AJ55" s="38">
        <f t="shared" si="83"/>
        <v>8581177</v>
      </c>
      <c r="AK55" s="38">
        <f t="shared" si="83"/>
        <v>8581177</v>
      </c>
      <c r="AL55" s="38">
        <f t="shared" si="83"/>
        <v>8581177</v>
      </c>
      <c r="AM55" s="38">
        <f t="shared" si="83"/>
        <v>8581177</v>
      </c>
      <c r="AN55" s="38">
        <f t="shared" si="83"/>
        <v>8581177</v>
      </c>
      <c r="AO55" s="38">
        <f t="shared" si="83"/>
        <v>8581177</v>
      </c>
      <c r="AP55" s="38">
        <f t="shared" si="83"/>
        <v>6119602</v>
      </c>
      <c r="AQ55" s="38">
        <f t="shared" si="83"/>
        <v>6119602</v>
      </c>
      <c r="AR55" s="38">
        <f t="shared" si="83"/>
        <v>6119602</v>
      </c>
      <c r="AS55" s="38">
        <f t="shared" si="83"/>
        <v>6119602</v>
      </c>
      <c r="AT55" s="38">
        <f t="shared" si="83"/>
        <v>6119602</v>
      </c>
      <c r="AU55" s="38">
        <f t="shared" si="83"/>
        <v>6119602</v>
      </c>
      <c r="AV55" s="38">
        <f t="shared" si="83"/>
        <v>6119602</v>
      </c>
      <c r="AW55" s="38">
        <f t="shared" si="83"/>
        <v>6119602</v>
      </c>
      <c r="AX55" s="38">
        <f t="shared" si="83"/>
        <v>6119602</v>
      </c>
      <c r="AY55" s="38">
        <f t="shared" si="83"/>
        <v>6119602</v>
      </c>
      <c r="AZ55" s="38">
        <f t="shared" si="83"/>
        <v>6119602</v>
      </c>
      <c r="BA55" s="38">
        <f t="shared" si="83"/>
        <v>6119602</v>
      </c>
      <c r="BB55" s="38">
        <f t="shared" si="83"/>
        <v>6119602</v>
      </c>
      <c r="BC55" s="38">
        <f t="shared" si="83"/>
        <v>4540783</v>
      </c>
      <c r="BD55" s="38">
        <f t="shared" si="83"/>
        <v>4540783</v>
      </c>
      <c r="BE55" s="38">
        <f t="shared" si="83"/>
        <v>4540783</v>
      </c>
      <c r="BF55" s="38">
        <f t="shared" si="83"/>
        <v>4540783</v>
      </c>
      <c r="BG55" s="38">
        <f t="shared" si="83"/>
        <v>4540783</v>
      </c>
      <c r="BH55" s="38">
        <f t="shared" si="83"/>
        <v>4540783</v>
      </c>
      <c r="BI55" s="38">
        <f t="shared" si="83"/>
        <v>4540783</v>
      </c>
      <c r="BJ55" s="38">
        <f t="shared" si="83"/>
        <v>4540783</v>
      </c>
      <c r="BK55" s="38">
        <f t="shared" si="83"/>
        <v>4540783</v>
      </c>
      <c r="BL55" s="38">
        <f t="shared" si="83"/>
        <v>4540783</v>
      </c>
      <c r="BM55" s="38">
        <f t="shared" si="83"/>
        <v>4540783</v>
      </c>
      <c r="BN55" s="38">
        <f t="shared" si="83"/>
        <v>4540783</v>
      </c>
      <c r="BO55" s="38">
        <f t="shared" ref="BO55:CT55" si="84">SUM(BO49:BO54)</f>
        <v>4540783</v>
      </c>
      <c r="BP55" s="38">
        <f t="shared" si="84"/>
        <v>4571556</v>
      </c>
      <c r="BQ55" s="38">
        <f t="shared" si="84"/>
        <v>4571556</v>
      </c>
      <c r="BR55" s="38">
        <f t="shared" si="84"/>
        <v>4571556</v>
      </c>
      <c r="BS55" s="38">
        <f t="shared" si="84"/>
        <v>4571556</v>
      </c>
      <c r="BT55" s="38">
        <f t="shared" si="84"/>
        <v>4571556</v>
      </c>
      <c r="BU55" s="38">
        <f t="shared" si="84"/>
        <v>4571556</v>
      </c>
      <c r="BV55" s="38">
        <f t="shared" si="84"/>
        <v>4571556</v>
      </c>
      <c r="BW55" s="38">
        <f t="shared" si="84"/>
        <v>4571556</v>
      </c>
      <c r="BX55" s="38">
        <f t="shared" si="84"/>
        <v>4571556</v>
      </c>
      <c r="BY55" s="38">
        <f t="shared" si="84"/>
        <v>4571556</v>
      </c>
      <c r="BZ55" s="38">
        <f t="shared" si="84"/>
        <v>4571556</v>
      </c>
      <c r="CA55" s="38">
        <f t="shared" si="84"/>
        <v>4571556</v>
      </c>
      <c r="CB55" s="38">
        <f t="shared" si="84"/>
        <v>4571556</v>
      </c>
      <c r="CC55" s="38">
        <f t="shared" si="84"/>
        <v>4845816</v>
      </c>
      <c r="CD55" s="38">
        <f t="shared" si="84"/>
        <v>4845816</v>
      </c>
      <c r="CE55" s="38">
        <f t="shared" si="84"/>
        <v>4845816</v>
      </c>
      <c r="CF55" s="38">
        <f t="shared" si="84"/>
        <v>4845816</v>
      </c>
      <c r="CG55" s="38">
        <f t="shared" si="84"/>
        <v>4845816</v>
      </c>
      <c r="CH55" s="38">
        <f t="shared" si="84"/>
        <v>4845816</v>
      </c>
      <c r="CI55" s="38">
        <f t="shared" si="84"/>
        <v>4845816</v>
      </c>
      <c r="CJ55" s="38">
        <f t="shared" si="84"/>
        <v>4845816</v>
      </c>
      <c r="CK55" s="38">
        <f t="shared" si="84"/>
        <v>4845816</v>
      </c>
      <c r="CL55" s="38">
        <f t="shared" si="84"/>
        <v>4845816</v>
      </c>
      <c r="CM55" s="38">
        <f t="shared" si="84"/>
        <v>4845816</v>
      </c>
      <c r="CN55" s="38">
        <f t="shared" si="84"/>
        <v>4845816</v>
      </c>
      <c r="CO55" s="38">
        <f t="shared" si="84"/>
        <v>4845816</v>
      </c>
      <c r="CP55" s="38">
        <f t="shared" si="84"/>
        <v>5333082</v>
      </c>
      <c r="CQ55" s="38">
        <f t="shared" si="84"/>
        <v>5333082</v>
      </c>
      <c r="CR55" s="38">
        <f t="shared" si="84"/>
        <v>5333082</v>
      </c>
      <c r="CS55" s="38">
        <f t="shared" si="84"/>
        <v>5333082</v>
      </c>
      <c r="CT55" s="38">
        <f t="shared" si="84"/>
        <v>5333082</v>
      </c>
      <c r="CU55" s="38">
        <f t="shared" ref="CU55:DZ55" si="85">SUM(CU49:CU54)</f>
        <v>5333082</v>
      </c>
      <c r="CV55" s="38">
        <f t="shared" si="85"/>
        <v>5333082</v>
      </c>
      <c r="CW55" s="38">
        <f t="shared" si="85"/>
        <v>5333082</v>
      </c>
      <c r="CX55" s="38">
        <f t="shared" si="85"/>
        <v>5333082</v>
      </c>
      <c r="CY55" s="38">
        <f t="shared" si="85"/>
        <v>5333082</v>
      </c>
      <c r="CZ55" s="38">
        <f t="shared" si="85"/>
        <v>5333082</v>
      </c>
      <c r="DA55" s="38">
        <f t="shared" si="85"/>
        <v>5333082</v>
      </c>
      <c r="DB55" s="38">
        <f t="shared" si="85"/>
        <v>5333082</v>
      </c>
      <c r="DC55" s="38">
        <f t="shared" si="85"/>
        <v>2452676</v>
      </c>
      <c r="DD55" s="38">
        <f t="shared" si="85"/>
        <v>2452676</v>
      </c>
      <c r="DE55" s="38">
        <f t="shared" si="85"/>
        <v>2452676</v>
      </c>
      <c r="DF55" s="38">
        <f t="shared" si="85"/>
        <v>2452676</v>
      </c>
      <c r="DG55" s="38">
        <f t="shared" si="85"/>
        <v>2452676</v>
      </c>
      <c r="DH55" s="38">
        <f t="shared" si="85"/>
        <v>2452676</v>
      </c>
      <c r="DI55" s="38">
        <f t="shared" si="85"/>
        <v>2452676</v>
      </c>
      <c r="DJ55" s="38">
        <f t="shared" si="85"/>
        <v>2452676</v>
      </c>
      <c r="DK55" s="38">
        <f t="shared" si="85"/>
        <v>2452676</v>
      </c>
      <c r="DL55" s="38">
        <f t="shared" si="85"/>
        <v>2452676</v>
      </c>
      <c r="DM55" s="38">
        <f t="shared" si="85"/>
        <v>2452676</v>
      </c>
      <c r="DN55" s="38">
        <f t="shared" si="85"/>
        <v>2452676</v>
      </c>
      <c r="DO55" s="38">
        <f t="shared" si="85"/>
        <v>2452676</v>
      </c>
      <c r="DP55" s="38">
        <f t="shared" si="85"/>
        <v>25971266</v>
      </c>
      <c r="DQ55" s="38">
        <f t="shared" si="85"/>
        <v>25971266</v>
      </c>
      <c r="DR55" s="38">
        <f t="shared" si="85"/>
        <v>25971266</v>
      </c>
      <c r="DS55" s="38">
        <f t="shared" si="85"/>
        <v>25971266</v>
      </c>
      <c r="DT55" s="38">
        <f t="shared" si="85"/>
        <v>25971266</v>
      </c>
      <c r="DU55" s="38">
        <f t="shared" si="85"/>
        <v>25971266</v>
      </c>
      <c r="DV55" s="38">
        <f t="shared" si="85"/>
        <v>25971266</v>
      </c>
      <c r="DW55" s="38">
        <f t="shared" si="85"/>
        <v>25971266</v>
      </c>
      <c r="DX55" s="38">
        <f t="shared" si="85"/>
        <v>25971266</v>
      </c>
      <c r="DY55" s="38">
        <f t="shared" si="85"/>
        <v>25971266</v>
      </c>
      <c r="DZ55" s="38">
        <f t="shared" si="85"/>
        <v>25971266</v>
      </c>
      <c r="EA55" s="38">
        <f t="shared" ref="EA55:FF55" si="86">SUM(EA49:EA54)</f>
        <v>25971266</v>
      </c>
      <c r="EB55" s="38">
        <f t="shared" si="86"/>
        <v>25971266</v>
      </c>
      <c r="EC55" s="38">
        <f t="shared" si="86"/>
        <v>8648312</v>
      </c>
      <c r="ED55" s="38">
        <f t="shared" si="86"/>
        <v>8648312</v>
      </c>
      <c r="EE55" s="38">
        <f t="shared" si="86"/>
        <v>8648312</v>
      </c>
      <c r="EF55" s="38">
        <f t="shared" si="86"/>
        <v>8648312</v>
      </c>
      <c r="EG55" s="38">
        <f t="shared" si="86"/>
        <v>8648312</v>
      </c>
      <c r="EH55" s="38">
        <f t="shared" si="86"/>
        <v>8648312</v>
      </c>
      <c r="EI55" s="38">
        <f t="shared" si="86"/>
        <v>8648312</v>
      </c>
      <c r="EJ55" s="38">
        <f t="shared" si="86"/>
        <v>8648312</v>
      </c>
      <c r="EK55" s="38">
        <f t="shared" si="86"/>
        <v>8648312</v>
      </c>
      <c r="EL55" s="38">
        <f t="shared" si="86"/>
        <v>8648312</v>
      </c>
      <c r="EM55" s="38">
        <f t="shared" si="86"/>
        <v>8648312</v>
      </c>
      <c r="EN55" s="38">
        <f t="shared" si="86"/>
        <v>8648312</v>
      </c>
      <c r="EO55" s="38">
        <f t="shared" si="86"/>
        <v>8648312</v>
      </c>
      <c r="EP55" s="38">
        <f t="shared" si="86"/>
        <v>13243449</v>
      </c>
      <c r="EQ55" s="38">
        <f t="shared" si="86"/>
        <v>13243449</v>
      </c>
      <c r="ER55" s="38">
        <f t="shared" si="86"/>
        <v>13243449</v>
      </c>
      <c r="ES55" s="38">
        <f t="shared" si="86"/>
        <v>13243449</v>
      </c>
      <c r="ET55" s="38">
        <f t="shared" si="86"/>
        <v>13243449</v>
      </c>
      <c r="EU55" s="38">
        <f t="shared" si="86"/>
        <v>13243449</v>
      </c>
      <c r="EV55" s="38">
        <f t="shared" si="86"/>
        <v>13243449</v>
      </c>
      <c r="EW55" s="38">
        <f t="shared" si="86"/>
        <v>13243449</v>
      </c>
      <c r="EX55" s="38">
        <f t="shared" si="86"/>
        <v>13243449</v>
      </c>
      <c r="EY55" s="38">
        <f t="shared" si="86"/>
        <v>13243449</v>
      </c>
      <c r="EZ55" s="38">
        <f t="shared" si="86"/>
        <v>13243449</v>
      </c>
      <c r="FA55" s="38">
        <f t="shared" si="86"/>
        <v>13243449</v>
      </c>
      <c r="FB55" s="38">
        <f t="shared" si="86"/>
        <v>13243449</v>
      </c>
      <c r="FC55" s="38">
        <f t="shared" si="86"/>
        <v>5203817</v>
      </c>
      <c r="FD55" s="38">
        <f t="shared" si="86"/>
        <v>5203817</v>
      </c>
      <c r="FE55" s="38">
        <f t="shared" si="86"/>
        <v>5203817</v>
      </c>
      <c r="FF55" s="38">
        <f t="shared" si="86"/>
        <v>5203817</v>
      </c>
      <c r="FG55" s="38">
        <f t="shared" ref="FG55:GL55" si="87">SUM(FG49:FG54)</f>
        <v>5203817</v>
      </c>
      <c r="FH55" s="38">
        <f t="shared" si="87"/>
        <v>5203817</v>
      </c>
      <c r="FI55" s="38">
        <f t="shared" si="87"/>
        <v>5203817</v>
      </c>
      <c r="FJ55" s="38">
        <f t="shared" si="87"/>
        <v>0</v>
      </c>
      <c r="FK55" s="38">
        <f t="shared" si="87"/>
        <v>0</v>
      </c>
      <c r="FL55" s="38">
        <f t="shared" si="87"/>
        <v>0</v>
      </c>
      <c r="FM55" s="38">
        <f t="shared" si="87"/>
        <v>0</v>
      </c>
      <c r="FN55" s="38">
        <f t="shared" si="87"/>
        <v>0</v>
      </c>
      <c r="FO55" s="38">
        <f t="shared" si="87"/>
        <v>5203817</v>
      </c>
    </row>
    <row r="56" spans="1:171" ht="14.25" customHeight="1">
      <c r="A56" s="10"/>
      <c r="B56" s="18" t="s">
        <v>54</v>
      </c>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row>
    <row r="57" spans="1:171"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row>
    <row r="58" spans="1:171" ht="15.75" customHeight="1">
      <c r="A58" s="10"/>
      <c r="B58" s="104" t="s">
        <v>59</v>
      </c>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c r="CQ58" s="105"/>
      <c r="CR58" s="105"/>
      <c r="CS58" s="105"/>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5"/>
      <c r="DY58" s="105"/>
      <c r="DZ58" s="105"/>
      <c r="EA58" s="105"/>
      <c r="EB58" s="105"/>
      <c r="EC58" s="105"/>
      <c r="ED58" s="105"/>
      <c r="EE58" s="105"/>
      <c r="EF58" s="105"/>
      <c r="EG58" s="105"/>
      <c r="EH58" s="105"/>
      <c r="EI58" s="105"/>
      <c r="EJ58" s="105"/>
      <c r="EK58" s="105"/>
      <c r="EL58" s="105"/>
      <c r="EM58" s="105"/>
      <c r="EN58" s="105"/>
      <c r="EO58" s="105"/>
      <c r="EP58" s="105"/>
      <c r="EQ58" s="105"/>
      <c r="ER58" s="105"/>
      <c r="ES58" s="105"/>
      <c r="ET58" s="105"/>
      <c r="EU58" s="105"/>
      <c r="EV58" s="105"/>
      <c r="EW58" s="105"/>
      <c r="EX58" s="105"/>
      <c r="EY58" s="105"/>
      <c r="EZ58" s="105"/>
      <c r="FA58" s="105"/>
      <c r="FB58" s="105"/>
      <c r="FC58" s="105"/>
      <c r="FD58" s="105"/>
      <c r="FE58" s="105"/>
      <c r="FF58" s="105"/>
      <c r="FG58" s="105"/>
      <c r="FH58" s="105"/>
      <c r="FI58" s="105"/>
      <c r="FJ58" s="105"/>
      <c r="FK58" s="105"/>
      <c r="FL58" s="105"/>
      <c r="FM58" s="105"/>
      <c r="FN58" s="105"/>
      <c r="FO58" s="105"/>
    </row>
    <row r="59" spans="1:171" ht="21.75" customHeight="1">
      <c r="A59" s="10"/>
      <c r="B59" s="14"/>
      <c r="C59" s="102" t="s">
        <v>4</v>
      </c>
      <c r="D59" s="103"/>
      <c r="E59" s="103"/>
      <c r="F59" s="103"/>
      <c r="G59" s="103"/>
      <c r="H59" s="103"/>
      <c r="I59" s="103"/>
      <c r="J59" s="103"/>
      <c r="K59" s="103"/>
      <c r="L59" s="103"/>
      <c r="M59" s="103"/>
      <c r="N59" s="103"/>
      <c r="O59" s="103"/>
      <c r="P59" s="102" t="s">
        <v>5</v>
      </c>
      <c r="Q59" s="103"/>
      <c r="R59" s="103"/>
      <c r="S59" s="103"/>
      <c r="T59" s="103"/>
      <c r="U59" s="103"/>
      <c r="V59" s="103"/>
      <c r="W59" s="103"/>
      <c r="X59" s="103"/>
      <c r="Y59" s="103"/>
      <c r="Z59" s="103"/>
      <c r="AA59" s="103"/>
      <c r="AB59" s="103"/>
      <c r="AC59" s="102" t="s">
        <v>6</v>
      </c>
      <c r="AD59" s="103"/>
      <c r="AE59" s="103"/>
      <c r="AF59" s="103"/>
      <c r="AG59" s="103"/>
      <c r="AH59" s="103"/>
      <c r="AI59" s="103"/>
      <c r="AJ59" s="103"/>
      <c r="AK59" s="103"/>
      <c r="AL59" s="103"/>
      <c r="AM59" s="103"/>
      <c r="AN59" s="103"/>
      <c r="AO59" s="103"/>
      <c r="AP59" s="102" t="s">
        <v>7</v>
      </c>
      <c r="AQ59" s="103"/>
      <c r="AR59" s="103"/>
      <c r="AS59" s="103"/>
      <c r="AT59" s="103"/>
      <c r="AU59" s="103"/>
      <c r="AV59" s="103"/>
      <c r="AW59" s="103"/>
      <c r="AX59" s="103"/>
      <c r="AY59" s="103"/>
      <c r="AZ59" s="103"/>
      <c r="BA59" s="103"/>
      <c r="BB59" s="103"/>
      <c r="BC59" s="102" t="s">
        <v>8</v>
      </c>
      <c r="BD59" s="103"/>
      <c r="BE59" s="103"/>
      <c r="BF59" s="103"/>
      <c r="BG59" s="103"/>
      <c r="BH59" s="103"/>
      <c r="BI59" s="103"/>
      <c r="BJ59" s="103"/>
      <c r="BK59" s="103"/>
      <c r="BL59" s="103"/>
      <c r="BM59" s="103"/>
      <c r="BN59" s="103"/>
      <c r="BO59" s="103"/>
      <c r="BP59" s="102" t="s">
        <v>9</v>
      </c>
      <c r="BQ59" s="103"/>
      <c r="BR59" s="103"/>
      <c r="BS59" s="103"/>
      <c r="BT59" s="103"/>
      <c r="BU59" s="103"/>
      <c r="BV59" s="103"/>
      <c r="BW59" s="103"/>
      <c r="BX59" s="103"/>
      <c r="BY59" s="103"/>
      <c r="BZ59" s="103"/>
      <c r="CA59" s="103"/>
      <c r="CB59" s="103"/>
      <c r="CC59" s="102" t="s">
        <v>10</v>
      </c>
      <c r="CD59" s="103"/>
      <c r="CE59" s="103"/>
      <c r="CF59" s="103"/>
      <c r="CG59" s="103"/>
      <c r="CH59" s="103"/>
      <c r="CI59" s="103"/>
      <c r="CJ59" s="103"/>
      <c r="CK59" s="103"/>
      <c r="CL59" s="103"/>
      <c r="CM59" s="103"/>
      <c r="CN59" s="103"/>
      <c r="CO59" s="103"/>
      <c r="CP59" s="102" t="s">
        <v>57</v>
      </c>
      <c r="CQ59" s="103"/>
      <c r="CR59" s="103"/>
      <c r="CS59" s="103"/>
      <c r="CT59" s="103"/>
      <c r="CU59" s="103"/>
      <c r="CV59" s="103"/>
      <c r="CW59" s="103"/>
      <c r="CX59" s="103"/>
      <c r="CY59" s="103"/>
      <c r="CZ59" s="103"/>
      <c r="DA59" s="103"/>
      <c r="DB59" s="103"/>
      <c r="DC59" s="102" t="s">
        <v>58</v>
      </c>
      <c r="DD59" s="103"/>
      <c r="DE59" s="103"/>
      <c r="DF59" s="103"/>
      <c r="DG59" s="103"/>
      <c r="DH59" s="103"/>
      <c r="DI59" s="103"/>
      <c r="DJ59" s="103"/>
      <c r="DK59" s="103"/>
      <c r="DL59" s="103"/>
      <c r="DM59" s="103"/>
      <c r="DN59" s="103"/>
      <c r="DO59" s="103"/>
      <c r="DP59" s="102" t="s">
        <v>13</v>
      </c>
      <c r="DQ59" s="103"/>
      <c r="DR59" s="103"/>
      <c r="DS59" s="103"/>
      <c r="DT59" s="103"/>
      <c r="DU59" s="103"/>
      <c r="DV59" s="103"/>
      <c r="DW59" s="103"/>
      <c r="DX59" s="103"/>
      <c r="DY59" s="103"/>
      <c r="DZ59" s="103"/>
      <c r="EA59" s="103"/>
      <c r="EB59" s="103"/>
      <c r="EC59" s="102" t="s">
        <v>14</v>
      </c>
      <c r="ED59" s="103"/>
      <c r="EE59" s="103"/>
      <c r="EF59" s="103"/>
      <c r="EG59" s="103"/>
      <c r="EH59" s="103"/>
      <c r="EI59" s="103"/>
      <c r="EJ59" s="103"/>
      <c r="EK59" s="103"/>
      <c r="EL59" s="103"/>
      <c r="EM59" s="103"/>
      <c r="EN59" s="103"/>
      <c r="EO59" s="103"/>
      <c r="EP59" s="102" t="s">
        <v>15</v>
      </c>
      <c r="EQ59" s="103"/>
      <c r="ER59" s="103"/>
      <c r="ES59" s="103"/>
      <c r="ET59" s="103"/>
      <c r="EU59" s="103"/>
      <c r="EV59" s="103"/>
      <c r="EW59" s="103"/>
      <c r="EX59" s="103"/>
      <c r="EY59" s="103"/>
      <c r="EZ59" s="103"/>
      <c r="FA59" s="103"/>
      <c r="FB59" s="103"/>
      <c r="FC59" s="102" t="s">
        <v>16</v>
      </c>
      <c r="FD59" s="103"/>
      <c r="FE59" s="103"/>
      <c r="FF59" s="103"/>
      <c r="FG59" s="103"/>
      <c r="FH59" s="103"/>
      <c r="FI59" s="103"/>
      <c r="FJ59" s="103"/>
      <c r="FK59" s="103"/>
      <c r="FL59" s="103"/>
      <c r="FM59" s="103"/>
      <c r="FN59" s="103"/>
      <c r="FO59" s="103"/>
    </row>
    <row r="60" spans="1:171" ht="27.75" customHeight="1">
      <c r="A60" s="10"/>
      <c r="B60" s="15" t="s">
        <v>17</v>
      </c>
      <c r="C60" s="16" t="s">
        <v>18</v>
      </c>
      <c r="D60" s="16" t="s">
        <v>19</v>
      </c>
      <c r="E60" s="16" t="s">
        <v>20</v>
      </c>
      <c r="F60" s="16" t="s">
        <v>21</v>
      </c>
      <c r="G60" s="16" t="s">
        <v>22</v>
      </c>
      <c r="H60" s="16" t="s">
        <v>23</v>
      </c>
      <c r="I60" s="16" t="s">
        <v>24</v>
      </c>
      <c r="J60" s="16" t="s">
        <v>25</v>
      </c>
      <c r="K60" s="16" t="s">
        <v>26</v>
      </c>
      <c r="L60" s="16" t="s">
        <v>27</v>
      </c>
      <c r="M60" s="16" t="s">
        <v>28</v>
      </c>
      <c r="N60" s="16" t="s">
        <v>29</v>
      </c>
      <c r="O60" s="16" t="s">
        <v>30</v>
      </c>
      <c r="P60" s="16" t="s">
        <v>18</v>
      </c>
      <c r="Q60" s="16" t="s">
        <v>19</v>
      </c>
      <c r="R60" s="16" t="s">
        <v>20</v>
      </c>
      <c r="S60" s="16" t="s">
        <v>21</v>
      </c>
      <c r="T60" s="16" t="s">
        <v>22</v>
      </c>
      <c r="U60" s="16" t="s">
        <v>23</v>
      </c>
      <c r="V60" s="16" t="s">
        <v>24</v>
      </c>
      <c r="W60" s="16" t="s">
        <v>25</v>
      </c>
      <c r="X60" s="16" t="s">
        <v>26</v>
      </c>
      <c r="Y60" s="16" t="s">
        <v>27</v>
      </c>
      <c r="Z60" s="16" t="s">
        <v>28</v>
      </c>
      <c r="AA60" s="16" t="s">
        <v>29</v>
      </c>
      <c r="AB60" s="16" t="s">
        <v>31</v>
      </c>
      <c r="AC60" s="16" t="s">
        <v>18</v>
      </c>
      <c r="AD60" s="16" t="s">
        <v>19</v>
      </c>
      <c r="AE60" s="16" t="s">
        <v>20</v>
      </c>
      <c r="AF60" s="16" t="s">
        <v>21</v>
      </c>
      <c r="AG60" s="16" t="s">
        <v>22</v>
      </c>
      <c r="AH60" s="16" t="s">
        <v>23</v>
      </c>
      <c r="AI60" s="16" t="s">
        <v>24</v>
      </c>
      <c r="AJ60" s="16" t="s">
        <v>25</v>
      </c>
      <c r="AK60" s="16" t="s">
        <v>26</v>
      </c>
      <c r="AL60" s="16" t="s">
        <v>27</v>
      </c>
      <c r="AM60" s="16" t="s">
        <v>28</v>
      </c>
      <c r="AN60" s="16" t="s">
        <v>29</v>
      </c>
      <c r="AO60" s="16" t="s">
        <v>32</v>
      </c>
      <c r="AP60" s="16" t="s">
        <v>18</v>
      </c>
      <c r="AQ60" s="16" t="s">
        <v>19</v>
      </c>
      <c r="AR60" s="16" t="s">
        <v>20</v>
      </c>
      <c r="AS60" s="16" t="s">
        <v>21</v>
      </c>
      <c r="AT60" s="16" t="s">
        <v>22</v>
      </c>
      <c r="AU60" s="16" t="s">
        <v>23</v>
      </c>
      <c r="AV60" s="16" t="s">
        <v>24</v>
      </c>
      <c r="AW60" s="16" t="s">
        <v>25</v>
      </c>
      <c r="AX60" s="16" t="s">
        <v>26</v>
      </c>
      <c r="AY60" s="16" t="s">
        <v>27</v>
      </c>
      <c r="AZ60" s="16" t="s">
        <v>28</v>
      </c>
      <c r="BA60" s="16" t="s">
        <v>29</v>
      </c>
      <c r="BB60" s="16" t="s">
        <v>33</v>
      </c>
      <c r="BC60" s="16" t="s">
        <v>18</v>
      </c>
      <c r="BD60" s="16" t="s">
        <v>19</v>
      </c>
      <c r="BE60" s="16" t="s">
        <v>20</v>
      </c>
      <c r="BF60" s="16" t="s">
        <v>21</v>
      </c>
      <c r="BG60" s="16" t="s">
        <v>22</v>
      </c>
      <c r="BH60" s="16" t="s">
        <v>23</v>
      </c>
      <c r="BI60" s="16" t="s">
        <v>24</v>
      </c>
      <c r="BJ60" s="16" t="s">
        <v>25</v>
      </c>
      <c r="BK60" s="16" t="s">
        <v>26</v>
      </c>
      <c r="BL60" s="16" t="s">
        <v>27</v>
      </c>
      <c r="BM60" s="16" t="s">
        <v>28</v>
      </c>
      <c r="BN60" s="16" t="s">
        <v>29</v>
      </c>
      <c r="BO60" s="16" t="s">
        <v>34</v>
      </c>
      <c r="BP60" s="16" t="s">
        <v>18</v>
      </c>
      <c r="BQ60" s="16" t="s">
        <v>19</v>
      </c>
      <c r="BR60" s="16" t="s">
        <v>20</v>
      </c>
      <c r="BS60" s="16" t="s">
        <v>21</v>
      </c>
      <c r="BT60" s="16" t="s">
        <v>22</v>
      </c>
      <c r="BU60" s="16" t="s">
        <v>23</v>
      </c>
      <c r="BV60" s="16" t="s">
        <v>24</v>
      </c>
      <c r="BW60" s="16" t="s">
        <v>25</v>
      </c>
      <c r="BX60" s="16" t="s">
        <v>26</v>
      </c>
      <c r="BY60" s="16" t="s">
        <v>27</v>
      </c>
      <c r="BZ60" s="16" t="s">
        <v>28</v>
      </c>
      <c r="CA60" s="16" t="s">
        <v>29</v>
      </c>
      <c r="CB60" s="16" t="s">
        <v>35</v>
      </c>
      <c r="CC60" s="16" t="s">
        <v>18</v>
      </c>
      <c r="CD60" s="16" t="s">
        <v>19</v>
      </c>
      <c r="CE60" s="16" t="s">
        <v>20</v>
      </c>
      <c r="CF60" s="16" t="s">
        <v>21</v>
      </c>
      <c r="CG60" s="16" t="s">
        <v>22</v>
      </c>
      <c r="CH60" s="16" t="s">
        <v>23</v>
      </c>
      <c r="CI60" s="16" t="s">
        <v>24</v>
      </c>
      <c r="CJ60" s="16" t="s">
        <v>25</v>
      </c>
      <c r="CK60" s="16" t="s">
        <v>26</v>
      </c>
      <c r="CL60" s="16" t="s">
        <v>27</v>
      </c>
      <c r="CM60" s="16" t="s">
        <v>28</v>
      </c>
      <c r="CN60" s="16" t="s">
        <v>29</v>
      </c>
      <c r="CO60" s="16" t="s">
        <v>36</v>
      </c>
      <c r="CP60" s="16" t="s">
        <v>18</v>
      </c>
      <c r="CQ60" s="16" t="s">
        <v>19</v>
      </c>
      <c r="CR60" s="16" t="s">
        <v>20</v>
      </c>
      <c r="CS60" s="16" t="s">
        <v>21</v>
      </c>
      <c r="CT60" s="16" t="s">
        <v>22</v>
      </c>
      <c r="CU60" s="16" t="s">
        <v>23</v>
      </c>
      <c r="CV60" s="16" t="s">
        <v>24</v>
      </c>
      <c r="CW60" s="16" t="s">
        <v>25</v>
      </c>
      <c r="CX60" s="16" t="s">
        <v>26</v>
      </c>
      <c r="CY60" s="16" t="s">
        <v>27</v>
      </c>
      <c r="CZ60" s="16" t="s">
        <v>28</v>
      </c>
      <c r="DA60" s="16" t="s">
        <v>29</v>
      </c>
      <c r="DB60" s="16" t="s">
        <v>37</v>
      </c>
      <c r="DC60" s="16" t="s">
        <v>18</v>
      </c>
      <c r="DD60" s="16" t="s">
        <v>19</v>
      </c>
      <c r="DE60" s="16" t="s">
        <v>20</v>
      </c>
      <c r="DF60" s="16" t="s">
        <v>21</v>
      </c>
      <c r="DG60" s="16" t="s">
        <v>22</v>
      </c>
      <c r="DH60" s="16" t="s">
        <v>23</v>
      </c>
      <c r="DI60" s="16" t="s">
        <v>24</v>
      </c>
      <c r="DJ60" s="16" t="s">
        <v>25</v>
      </c>
      <c r="DK60" s="16" t="s">
        <v>26</v>
      </c>
      <c r="DL60" s="16" t="s">
        <v>27</v>
      </c>
      <c r="DM60" s="16" t="s">
        <v>28</v>
      </c>
      <c r="DN60" s="16" t="s">
        <v>29</v>
      </c>
      <c r="DO60" s="16" t="s">
        <v>38</v>
      </c>
      <c r="DP60" s="16" t="s">
        <v>18</v>
      </c>
      <c r="DQ60" s="16" t="s">
        <v>19</v>
      </c>
      <c r="DR60" s="16" t="s">
        <v>20</v>
      </c>
      <c r="DS60" s="16" t="s">
        <v>21</v>
      </c>
      <c r="DT60" s="16" t="s">
        <v>22</v>
      </c>
      <c r="DU60" s="16" t="s">
        <v>23</v>
      </c>
      <c r="DV60" s="16" t="s">
        <v>24</v>
      </c>
      <c r="DW60" s="16" t="s">
        <v>25</v>
      </c>
      <c r="DX60" s="16" t="s">
        <v>26</v>
      </c>
      <c r="DY60" s="16" t="s">
        <v>27</v>
      </c>
      <c r="DZ60" s="16" t="s">
        <v>28</v>
      </c>
      <c r="EA60" s="16" t="s">
        <v>29</v>
      </c>
      <c r="EB60" s="16" t="s">
        <v>39</v>
      </c>
      <c r="EC60" s="16" t="s">
        <v>18</v>
      </c>
      <c r="ED60" s="16" t="s">
        <v>19</v>
      </c>
      <c r="EE60" s="16" t="s">
        <v>20</v>
      </c>
      <c r="EF60" s="16" t="s">
        <v>21</v>
      </c>
      <c r="EG60" s="16" t="s">
        <v>22</v>
      </c>
      <c r="EH60" s="16" t="s">
        <v>23</v>
      </c>
      <c r="EI60" s="16" t="s">
        <v>24</v>
      </c>
      <c r="EJ60" s="16" t="s">
        <v>25</v>
      </c>
      <c r="EK60" s="16" t="s">
        <v>26</v>
      </c>
      <c r="EL60" s="16" t="s">
        <v>27</v>
      </c>
      <c r="EM60" s="16" t="s">
        <v>28</v>
      </c>
      <c r="EN60" s="16" t="s">
        <v>29</v>
      </c>
      <c r="EO60" s="16" t="s">
        <v>40</v>
      </c>
      <c r="EP60" s="16" t="s">
        <v>18</v>
      </c>
      <c r="EQ60" s="16" t="s">
        <v>19</v>
      </c>
      <c r="ER60" s="16" t="s">
        <v>20</v>
      </c>
      <c r="ES60" s="16" t="s">
        <v>21</v>
      </c>
      <c r="ET60" s="16" t="s">
        <v>22</v>
      </c>
      <c r="EU60" s="16" t="s">
        <v>23</v>
      </c>
      <c r="EV60" s="16" t="s">
        <v>24</v>
      </c>
      <c r="EW60" s="16" t="s">
        <v>25</v>
      </c>
      <c r="EX60" s="16" t="s">
        <v>26</v>
      </c>
      <c r="EY60" s="16" t="s">
        <v>27</v>
      </c>
      <c r="EZ60" s="16" t="s">
        <v>28</v>
      </c>
      <c r="FA60" s="16" t="s">
        <v>29</v>
      </c>
      <c r="FB60" s="16" t="s">
        <v>41</v>
      </c>
      <c r="FC60" s="16" t="s">
        <v>18</v>
      </c>
      <c r="FD60" s="16" t="s">
        <v>19</v>
      </c>
      <c r="FE60" s="16" t="s">
        <v>20</v>
      </c>
      <c r="FF60" s="16" t="s">
        <v>21</v>
      </c>
      <c r="FG60" s="16" t="s">
        <v>22</v>
      </c>
      <c r="FH60" s="16" t="s">
        <v>23</v>
      </c>
      <c r="FI60" s="16" t="s">
        <v>24</v>
      </c>
      <c r="FJ60" s="16" t="s">
        <v>25</v>
      </c>
      <c r="FK60" s="16" t="s">
        <v>26</v>
      </c>
      <c r="FL60" s="16" t="s">
        <v>27</v>
      </c>
      <c r="FM60" s="16" t="s">
        <v>28</v>
      </c>
      <c r="FN60" s="16" t="s">
        <v>29</v>
      </c>
      <c r="FO60" s="16" t="s">
        <v>42</v>
      </c>
    </row>
    <row r="61" spans="1:171" ht="27.75" customHeight="1">
      <c r="A61" s="10"/>
      <c r="B61" s="19" t="s">
        <v>43</v>
      </c>
      <c r="C61" s="20">
        <v>2953248</v>
      </c>
      <c r="D61" s="20">
        <v>2953248</v>
      </c>
      <c r="E61" s="20">
        <v>2953248</v>
      </c>
      <c r="F61" s="20">
        <v>2953248</v>
      </c>
      <c r="G61" s="20">
        <v>2967248</v>
      </c>
      <c r="H61" s="20">
        <v>13617214</v>
      </c>
      <c r="I61" s="20">
        <v>16777214</v>
      </c>
      <c r="J61" s="20">
        <v>16777214</v>
      </c>
      <c r="K61" s="20">
        <v>16777214</v>
      </c>
      <c r="L61" s="20">
        <v>18277214</v>
      </c>
      <c r="M61" s="20">
        <v>18638378</v>
      </c>
      <c r="N61" s="20">
        <v>12770620</v>
      </c>
      <c r="O61" s="20">
        <f t="shared" ref="O61:O66" si="88">N61</f>
        <v>12770620</v>
      </c>
      <c r="P61" s="20">
        <v>1753030</v>
      </c>
      <c r="Q61" s="20">
        <v>1753030</v>
      </c>
      <c r="R61" s="20">
        <v>8107652</v>
      </c>
      <c r="S61" s="20">
        <v>8107652</v>
      </c>
      <c r="T61" s="20">
        <v>8642652</v>
      </c>
      <c r="U61" s="20">
        <v>8642652</v>
      </c>
      <c r="V61" s="20">
        <v>8742652</v>
      </c>
      <c r="W61" s="20">
        <v>8742652</v>
      </c>
      <c r="X61" s="20">
        <v>8742652</v>
      </c>
      <c r="Y61" s="20">
        <v>8742652</v>
      </c>
      <c r="Z61" s="20">
        <v>11742652</v>
      </c>
      <c r="AA61" s="20">
        <v>11742652</v>
      </c>
      <c r="AB61" s="20">
        <f t="shared" ref="AB61:AB66" si="89">AA61</f>
        <v>11742652</v>
      </c>
      <c r="AC61" s="20">
        <v>1791359</v>
      </c>
      <c r="AD61" s="20">
        <v>1791359</v>
      </c>
      <c r="AE61" s="20">
        <v>1791359</v>
      </c>
      <c r="AF61" s="20">
        <v>1721359</v>
      </c>
      <c r="AG61" s="20">
        <v>1721359</v>
      </c>
      <c r="AH61" s="20">
        <v>2260359</v>
      </c>
      <c r="AI61" s="20">
        <v>2260359</v>
      </c>
      <c r="AJ61" s="20">
        <v>2260359</v>
      </c>
      <c r="AK61" s="20">
        <v>2260359</v>
      </c>
      <c r="AL61" s="20">
        <v>2260359</v>
      </c>
      <c r="AM61" s="20">
        <v>2353359</v>
      </c>
      <c r="AN61" s="20">
        <v>2665605</v>
      </c>
      <c r="AO61" s="20">
        <f t="shared" ref="AO61:AO66" si="90">AN61</f>
        <v>2665605</v>
      </c>
      <c r="AP61" s="20">
        <v>1779405</v>
      </c>
      <c r="AQ61" s="20">
        <v>1779405</v>
      </c>
      <c r="AR61" s="20">
        <v>2057405</v>
      </c>
      <c r="AS61" s="20">
        <v>2057405</v>
      </c>
      <c r="AT61" s="20">
        <v>2257405</v>
      </c>
      <c r="AU61" s="20">
        <v>18725105</v>
      </c>
      <c r="AV61" s="20">
        <v>18941005</v>
      </c>
      <c r="AW61" s="20">
        <v>19075505</v>
      </c>
      <c r="AX61" s="20">
        <v>19084105</v>
      </c>
      <c r="AY61" s="20">
        <v>19084105</v>
      </c>
      <c r="AZ61" s="20">
        <v>19100105</v>
      </c>
      <c r="BA61" s="20">
        <v>14280017</v>
      </c>
      <c r="BB61" s="20">
        <f t="shared" ref="BB61:BB66" si="91">BA61</f>
        <v>14280017</v>
      </c>
      <c r="BC61" s="20">
        <v>1606877</v>
      </c>
      <c r="BD61" s="20">
        <v>1606877</v>
      </c>
      <c r="BE61" s="20">
        <v>7551961</v>
      </c>
      <c r="BF61" s="20">
        <v>7551961</v>
      </c>
      <c r="BG61" s="20">
        <v>7867152</v>
      </c>
      <c r="BH61" s="20">
        <v>7867152</v>
      </c>
      <c r="BI61" s="20">
        <v>7603828</v>
      </c>
      <c r="BJ61" s="20">
        <v>7641450</v>
      </c>
      <c r="BK61" s="20">
        <v>7641450</v>
      </c>
      <c r="BL61" s="20">
        <v>7656450</v>
      </c>
      <c r="BM61" s="20">
        <v>8088150</v>
      </c>
      <c r="BN61" s="20">
        <v>8261850</v>
      </c>
      <c r="BO61" s="20">
        <f t="shared" ref="BO61:BO66" si="92">BN61</f>
        <v>8261850</v>
      </c>
      <c r="BP61" s="20">
        <v>1639746</v>
      </c>
      <c r="BQ61" s="20">
        <v>1639746</v>
      </c>
      <c r="BR61" s="20">
        <v>1639746</v>
      </c>
      <c r="BS61" s="20">
        <v>1708546</v>
      </c>
      <c r="BT61" s="20">
        <v>1708546</v>
      </c>
      <c r="BU61" s="20">
        <v>6540546</v>
      </c>
      <c r="BV61" s="20">
        <v>6574796</v>
      </c>
      <c r="BW61" s="20">
        <v>6624796</v>
      </c>
      <c r="BX61" s="20">
        <v>6624796</v>
      </c>
      <c r="BY61" s="20">
        <v>6624796</v>
      </c>
      <c r="BZ61" s="20">
        <v>6624796</v>
      </c>
      <c r="CA61" s="20">
        <v>6641796</v>
      </c>
      <c r="CB61" s="20">
        <f t="shared" ref="CB61:CB66" si="93">CA61</f>
        <v>6641796</v>
      </c>
      <c r="CC61" s="20">
        <v>1704539</v>
      </c>
      <c r="CD61" s="20">
        <v>1704539</v>
      </c>
      <c r="CE61" s="20">
        <v>1704539</v>
      </c>
      <c r="CF61" s="20">
        <v>1155557</v>
      </c>
      <c r="CG61" s="20">
        <v>803695</v>
      </c>
      <c r="CH61" s="20">
        <v>803695</v>
      </c>
      <c r="CI61" s="20">
        <v>1337695</v>
      </c>
      <c r="CJ61" s="20">
        <v>1337695</v>
      </c>
      <c r="CK61" s="20">
        <v>1337695</v>
      </c>
      <c r="CL61" s="20">
        <v>8003088</v>
      </c>
      <c r="CM61" s="20">
        <v>8003088</v>
      </c>
      <c r="CN61" s="20">
        <v>7435088</v>
      </c>
      <c r="CO61" s="20">
        <f t="shared" ref="CO61:CO66" si="94">CN61</f>
        <v>7435088</v>
      </c>
      <c r="CP61" s="20">
        <v>1930914</v>
      </c>
      <c r="CQ61" s="20">
        <v>1930914</v>
      </c>
      <c r="CR61" s="20">
        <v>3898492</v>
      </c>
      <c r="CS61" s="20">
        <v>4709492</v>
      </c>
      <c r="CT61" s="20">
        <v>4709492</v>
      </c>
      <c r="CU61" s="20">
        <v>4731492</v>
      </c>
      <c r="CV61" s="20">
        <v>4731492</v>
      </c>
      <c r="CW61" s="20">
        <v>4832662</v>
      </c>
      <c r="CX61" s="20">
        <v>4832662</v>
      </c>
      <c r="CY61" s="20">
        <v>4832662</v>
      </c>
      <c r="CZ61" s="20">
        <v>4925662</v>
      </c>
      <c r="DA61" s="20">
        <v>4819159</v>
      </c>
      <c r="DB61" s="20">
        <f t="shared" ref="DB61:DB66" si="95">DA61</f>
        <v>4819159</v>
      </c>
      <c r="DC61" s="20">
        <v>298233</v>
      </c>
      <c r="DD61" s="20">
        <v>298233</v>
      </c>
      <c r="DE61" s="20">
        <v>298233</v>
      </c>
      <c r="DF61" s="20">
        <v>298233</v>
      </c>
      <c r="DG61" s="20">
        <v>1895233</v>
      </c>
      <c r="DH61" s="20">
        <v>1895233</v>
      </c>
      <c r="DI61" s="20">
        <v>1895233</v>
      </c>
      <c r="DJ61" s="20">
        <v>1895233</v>
      </c>
      <c r="DK61" s="20">
        <v>11893879</v>
      </c>
      <c r="DL61" s="20">
        <v>11893879</v>
      </c>
      <c r="DM61" s="20">
        <v>11893879</v>
      </c>
      <c r="DN61" s="20">
        <v>8468149</v>
      </c>
      <c r="DO61" s="20">
        <f t="shared" ref="DO61:DO66" si="96">DN61</f>
        <v>8468149</v>
      </c>
      <c r="DP61" s="20">
        <v>22089448</v>
      </c>
      <c r="DQ61" s="20">
        <v>22089448</v>
      </c>
      <c r="DR61" s="20">
        <v>22089448</v>
      </c>
      <c r="DS61" s="20">
        <v>42047634</v>
      </c>
      <c r="DT61" s="20">
        <v>42281504</v>
      </c>
      <c r="DU61" s="20">
        <v>42281504</v>
      </c>
      <c r="DV61" s="20">
        <v>42281504</v>
      </c>
      <c r="DW61" s="20">
        <v>42281504</v>
      </c>
      <c r="DX61" s="20">
        <v>44698344</v>
      </c>
      <c r="DY61" s="20">
        <v>44698344</v>
      </c>
      <c r="DZ61" s="20">
        <v>44698344</v>
      </c>
      <c r="EA61" s="20">
        <v>7233990</v>
      </c>
      <c r="EB61" s="20">
        <f t="shared" ref="EB61:EB66" si="97">EA61</f>
        <v>7233990</v>
      </c>
      <c r="EC61" s="20">
        <v>1135861</v>
      </c>
      <c r="ED61" s="20">
        <v>1135861</v>
      </c>
      <c r="EE61" s="20">
        <v>1135861</v>
      </c>
      <c r="EF61" s="20">
        <v>1135861</v>
      </c>
      <c r="EG61" s="20">
        <v>1135861</v>
      </c>
      <c r="EH61" s="20">
        <v>1135861</v>
      </c>
      <c r="EI61" s="20">
        <v>1135861</v>
      </c>
      <c r="EJ61" s="20">
        <v>1135861</v>
      </c>
      <c r="EK61" s="20">
        <v>1135861</v>
      </c>
      <c r="EL61" s="20">
        <v>1135861</v>
      </c>
      <c r="EM61" s="20">
        <v>1135861</v>
      </c>
      <c r="EN61" s="20">
        <v>1135861</v>
      </c>
      <c r="EO61" s="20">
        <f t="shared" ref="EO61:EO66" si="98">EN61</f>
        <v>1135861</v>
      </c>
      <c r="EP61" s="20">
        <v>6213840</v>
      </c>
      <c r="EQ61" s="20">
        <v>6213840</v>
      </c>
      <c r="ER61" s="20">
        <v>6213840</v>
      </c>
      <c r="ES61" s="20">
        <v>6347840</v>
      </c>
      <c r="ET61" s="20">
        <v>6347840</v>
      </c>
      <c r="EU61" s="20">
        <v>6347840</v>
      </c>
      <c r="EV61" s="20">
        <v>6347840</v>
      </c>
      <c r="EW61" s="20">
        <v>6347840</v>
      </c>
      <c r="EX61" s="20">
        <v>4559840</v>
      </c>
      <c r="EY61" s="20">
        <v>4559840</v>
      </c>
      <c r="EZ61" s="20">
        <v>4559840</v>
      </c>
      <c r="FA61" s="20">
        <v>2245535</v>
      </c>
      <c r="FB61" s="20">
        <f t="shared" ref="FB61:FB66" si="99">FA61</f>
        <v>2245535</v>
      </c>
      <c r="FC61" s="20">
        <v>1062955</v>
      </c>
      <c r="FD61" s="20">
        <v>1062955</v>
      </c>
      <c r="FE61" s="20">
        <v>1582955</v>
      </c>
      <c r="FF61" s="20">
        <v>1582955</v>
      </c>
      <c r="FG61" s="20">
        <v>1551066</v>
      </c>
      <c r="FH61" s="20">
        <v>1551066</v>
      </c>
      <c r="FI61" s="20">
        <v>1551066</v>
      </c>
      <c r="FJ61" s="10"/>
      <c r="FK61" s="10"/>
      <c r="FL61" s="10"/>
      <c r="FM61" s="10"/>
      <c r="FN61" s="10"/>
      <c r="FO61" s="20">
        <f t="shared" ref="FO61:FO66" si="100">FI61</f>
        <v>1551066</v>
      </c>
    </row>
    <row r="62" spans="1:171" ht="27.75" customHeight="1">
      <c r="A62" s="10"/>
      <c r="B62" s="19" t="s">
        <v>44</v>
      </c>
      <c r="C62" s="20">
        <v>381750</v>
      </c>
      <c r="D62" s="20">
        <v>381750</v>
      </c>
      <c r="E62" s="20">
        <v>381750</v>
      </c>
      <c r="F62" s="20">
        <v>381750</v>
      </c>
      <c r="G62" s="20">
        <v>381750</v>
      </c>
      <c r="H62" s="20">
        <v>381750</v>
      </c>
      <c r="I62" s="20">
        <v>381750</v>
      </c>
      <c r="J62" s="20">
        <v>381750</v>
      </c>
      <c r="K62" s="20">
        <v>381750</v>
      </c>
      <c r="L62" s="20">
        <v>381750</v>
      </c>
      <c r="M62" s="20">
        <v>381750</v>
      </c>
      <c r="N62" s="20">
        <v>381750</v>
      </c>
      <c r="O62" s="20">
        <f t="shared" si="88"/>
        <v>381750</v>
      </c>
      <c r="P62" s="20">
        <v>362280</v>
      </c>
      <c r="Q62" s="20">
        <v>362280</v>
      </c>
      <c r="R62" s="20">
        <v>362280</v>
      </c>
      <c r="S62" s="20">
        <v>362280</v>
      </c>
      <c r="T62" s="20">
        <v>362280</v>
      </c>
      <c r="U62" s="20">
        <v>362280</v>
      </c>
      <c r="V62" s="20">
        <v>362280</v>
      </c>
      <c r="W62" s="20">
        <v>362280</v>
      </c>
      <c r="X62" s="20">
        <v>362280</v>
      </c>
      <c r="Y62" s="20">
        <v>362280</v>
      </c>
      <c r="Z62" s="20">
        <v>362280</v>
      </c>
      <c r="AA62" s="20">
        <v>362280</v>
      </c>
      <c r="AB62" s="20">
        <f t="shared" si="89"/>
        <v>362280</v>
      </c>
      <c r="AC62" s="20">
        <v>327142</v>
      </c>
      <c r="AD62" s="20">
        <v>327142</v>
      </c>
      <c r="AE62" s="20">
        <v>327142</v>
      </c>
      <c r="AF62" s="20">
        <v>258142</v>
      </c>
      <c r="AG62" s="20">
        <v>258142</v>
      </c>
      <c r="AH62" s="20">
        <v>258142</v>
      </c>
      <c r="AI62" s="20">
        <v>258142</v>
      </c>
      <c r="AJ62" s="20">
        <v>258142</v>
      </c>
      <c r="AK62" s="20">
        <v>258142</v>
      </c>
      <c r="AL62" s="20">
        <v>258142</v>
      </c>
      <c r="AM62" s="20">
        <v>258142</v>
      </c>
      <c r="AN62" s="20">
        <v>258142</v>
      </c>
      <c r="AO62" s="20">
        <f t="shared" si="90"/>
        <v>258142</v>
      </c>
      <c r="AP62" s="20">
        <v>174624</v>
      </c>
      <c r="AQ62" s="20">
        <v>174624</v>
      </c>
      <c r="AR62" s="20">
        <v>174624</v>
      </c>
      <c r="AS62" s="20">
        <v>174624</v>
      </c>
      <c r="AT62" s="20">
        <v>174624</v>
      </c>
      <c r="AU62" s="20">
        <v>174624</v>
      </c>
      <c r="AV62" s="20">
        <v>174624</v>
      </c>
      <c r="AW62" s="20">
        <v>521624</v>
      </c>
      <c r="AX62" s="20">
        <v>521624</v>
      </c>
      <c r="AY62" s="20">
        <v>521624</v>
      </c>
      <c r="AZ62" s="20">
        <v>521624</v>
      </c>
      <c r="BA62" s="20">
        <v>546624</v>
      </c>
      <c r="BB62" s="20">
        <f t="shared" si="91"/>
        <v>546624</v>
      </c>
      <c r="BC62" s="20">
        <v>139517</v>
      </c>
      <c r="BD62" s="20">
        <v>139517</v>
      </c>
      <c r="BE62" s="20">
        <v>139517</v>
      </c>
      <c r="BF62" s="20">
        <v>139517</v>
      </c>
      <c r="BG62" s="20">
        <v>139517</v>
      </c>
      <c r="BH62" s="20">
        <v>139517</v>
      </c>
      <c r="BI62" s="20">
        <v>131028</v>
      </c>
      <c r="BJ62" s="20">
        <v>138040</v>
      </c>
      <c r="BK62" s="20">
        <v>138040</v>
      </c>
      <c r="BL62" s="20">
        <v>138040</v>
      </c>
      <c r="BM62" s="20">
        <v>138040</v>
      </c>
      <c r="BN62" s="20">
        <v>3231423</v>
      </c>
      <c r="BO62" s="20">
        <f t="shared" si="92"/>
        <v>3231423</v>
      </c>
      <c r="BP62" s="20">
        <v>115465</v>
      </c>
      <c r="BQ62" s="20">
        <v>115465</v>
      </c>
      <c r="BR62" s="20">
        <v>115465</v>
      </c>
      <c r="BS62" s="20">
        <v>115465</v>
      </c>
      <c r="BT62" s="20">
        <v>115465</v>
      </c>
      <c r="BU62" s="20">
        <v>115465</v>
      </c>
      <c r="BV62" s="20">
        <v>115465</v>
      </c>
      <c r="BW62" s="20">
        <v>162235</v>
      </c>
      <c r="BX62" s="20">
        <v>162235</v>
      </c>
      <c r="BY62" s="20">
        <v>162235</v>
      </c>
      <c r="BZ62" s="20">
        <v>162235</v>
      </c>
      <c r="CA62" s="20">
        <v>754307</v>
      </c>
      <c r="CB62" s="20">
        <f t="shared" si="93"/>
        <v>754307</v>
      </c>
      <c r="CC62" s="20">
        <v>188388</v>
      </c>
      <c r="CD62" s="20">
        <v>188388</v>
      </c>
      <c r="CE62" s="20">
        <v>188388</v>
      </c>
      <c r="CF62" s="20">
        <v>173698</v>
      </c>
      <c r="CG62" s="20">
        <v>94575</v>
      </c>
      <c r="CH62" s="20">
        <v>94575</v>
      </c>
      <c r="CI62" s="20">
        <v>94575</v>
      </c>
      <c r="CJ62" s="20">
        <v>94575</v>
      </c>
      <c r="CK62" s="20">
        <v>94575</v>
      </c>
      <c r="CL62" s="20">
        <v>92075</v>
      </c>
      <c r="CM62" s="20">
        <v>92075</v>
      </c>
      <c r="CN62" s="20">
        <v>112017</v>
      </c>
      <c r="CO62" s="20">
        <f t="shared" si="94"/>
        <v>112017</v>
      </c>
      <c r="CP62" s="20">
        <v>128859</v>
      </c>
      <c r="CQ62" s="20">
        <v>128859</v>
      </c>
      <c r="CR62" s="20">
        <v>128859</v>
      </c>
      <c r="CS62" s="20">
        <v>128859</v>
      </c>
      <c r="CT62" s="20">
        <v>128859</v>
      </c>
      <c r="CU62" s="20">
        <v>128859</v>
      </c>
      <c r="CV62" s="20">
        <v>128859</v>
      </c>
      <c r="CW62" s="20">
        <v>128859</v>
      </c>
      <c r="CX62" s="20">
        <v>128859</v>
      </c>
      <c r="CY62" s="20">
        <v>128859</v>
      </c>
      <c r="CZ62" s="20">
        <v>128859</v>
      </c>
      <c r="DA62" s="20">
        <v>708689</v>
      </c>
      <c r="DB62" s="20">
        <f t="shared" si="95"/>
        <v>708689</v>
      </c>
      <c r="DC62" s="20">
        <v>130362</v>
      </c>
      <c r="DD62" s="20">
        <v>130362</v>
      </c>
      <c r="DE62" s="20">
        <v>130362</v>
      </c>
      <c r="DF62" s="20">
        <v>130362</v>
      </c>
      <c r="DG62" s="20">
        <v>130362</v>
      </c>
      <c r="DH62" s="20">
        <v>130362</v>
      </c>
      <c r="DI62" s="20">
        <v>130362</v>
      </c>
      <c r="DJ62" s="20">
        <v>130362</v>
      </c>
      <c r="DK62" s="20">
        <v>1013888</v>
      </c>
      <c r="DL62" s="20">
        <v>1013888</v>
      </c>
      <c r="DM62" s="20">
        <v>1193375</v>
      </c>
      <c r="DN62" s="20">
        <v>1193375</v>
      </c>
      <c r="DO62" s="20">
        <f t="shared" si="96"/>
        <v>1193375</v>
      </c>
      <c r="DP62" s="20">
        <v>647086</v>
      </c>
      <c r="DQ62" s="20">
        <v>647086</v>
      </c>
      <c r="DR62" s="20">
        <v>647086</v>
      </c>
      <c r="DS62" s="20">
        <v>647086</v>
      </c>
      <c r="DT62" s="20">
        <v>647086</v>
      </c>
      <c r="DU62" s="20">
        <v>647086</v>
      </c>
      <c r="DV62" s="20">
        <v>647086</v>
      </c>
      <c r="DW62" s="20">
        <v>647086</v>
      </c>
      <c r="DX62" s="20">
        <v>647086</v>
      </c>
      <c r="DY62" s="20">
        <v>647086</v>
      </c>
      <c r="DZ62" s="20">
        <v>647086</v>
      </c>
      <c r="EA62" s="20">
        <v>647086</v>
      </c>
      <c r="EB62" s="20">
        <f t="shared" si="97"/>
        <v>647086</v>
      </c>
      <c r="EC62" s="20">
        <v>856525</v>
      </c>
      <c r="ED62" s="20">
        <v>856525</v>
      </c>
      <c r="EE62" s="20">
        <v>856525</v>
      </c>
      <c r="EF62" s="20">
        <v>856525</v>
      </c>
      <c r="EG62" s="20">
        <v>913626</v>
      </c>
      <c r="EH62" s="20">
        <v>913626</v>
      </c>
      <c r="EI62" s="20">
        <v>913626</v>
      </c>
      <c r="EJ62" s="20">
        <v>913626</v>
      </c>
      <c r="EK62" s="20">
        <v>913626</v>
      </c>
      <c r="EL62" s="20">
        <v>913626</v>
      </c>
      <c r="EM62" s="20">
        <v>913626</v>
      </c>
      <c r="EN62" s="20">
        <v>913626</v>
      </c>
      <c r="EO62" s="20">
        <f t="shared" si="98"/>
        <v>913626</v>
      </c>
      <c r="EP62" s="20">
        <v>1172171</v>
      </c>
      <c r="EQ62" s="20">
        <v>1172171</v>
      </c>
      <c r="ER62" s="20">
        <v>1172171</v>
      </c>
      <c r="ES62" s="20">
        <v>1172171</v>
      </c>
      <c r="ET62" s="20">
        <v>1172171</v>
      </c>
      <c r="EU62" s="20">
        <v>1172171</v>
      </c>
      <c r="EV62" s="20">
        <v>1172171</v>
      </c>
      <c r="EW62" s="20">
        <v>1172171</v>
      </c>
      <c r="EX62" s="20">
        <v>1172171</v>
      </c>
      <c r="EY62" s="20">
        <v>1172171</v>
      </c>
      <c r="EZ62" s="20">
        <v>1172171</v>
      </c>
      <c r="FA62" s="20">
        <v>992552</v>
      </c>
      <c r="FB62" s="20">
        <f t="shared" si="99"/>
        <v>992552</v>
      </c>
      <c r="FC62" s="20">
        <v>651088</v>
      </c>
      <c r="FD62" s="20">
        <v>651088</v>
      </c>
      <c r="FE62" s="20">
        <v>651088</v>
      </c>
      <c r="FF62" s="20">
        <v>651088</v>
      </c>
      <c r="FG62" s="20">
        <v>517480</v>
      </c>
      <c r="FH62" s="20">
        <v>517480</v>
      </c>
      <c r="FI62" s="20">
        <v>517480</v>
      </c>
      <c r="FJ62" s="10"/>
      <c r="FK62" s="10"/>
      <c r="FL62" s="10"/>
      <c r="FM62" s="10"/>
      <c r="FN62" s="10"/>
      <c r="FO62" s="20">
        <f t="shared" si="100"/>
        <v>517480</v>
      </c>
    </row>
    <row r="63" spans="1:171" ht="27.75" customHeight="1">
      <c r="A63" s="10"/>
      <c r="B63" s="19" t="s">
        <v>45</v>
      </c>
      <c r="C63" s="20">
        <v>40007</v>
      </c>
      <c r="D63" s="20">
        <v>40007</v>
      </c>
      <c r="E63" s="20">
        <v>40007</v>
      </c>
      <c r="F63" s="20">
        <v>40007</v>
      </c>
      <c r="G63" s="20">
        <v>40007</v>
      </c>
      <c r="H63" s="20">
        <v>40007</v>
      </c>
      <c r="I63" s="20">
        <v>40007</v>
      </c>
      <c r="J63" s="20">
        <v>40007</v>
      </c>
      <c r="K63" s="20">
        <v>40007</v>
      </c>
      <c r="L63" s="20">
        <v>40007</v>
      </c>
      <c r="M63" s="20">
        <v>40007</v>
      </c>
      <c r="N63" s="20">
        <v>40007</v>
      </c>
      <c r="O63" s="20">
        <f t="shared" si="88"/>
        <v>40007</v>
      </c>
      <c r="P63" s="20">
        <v>78467</v>
      </c>
      <c r="Q63" s="20">
        <v>78467</v>
      </c>
      <c r="R63" s="20">
        <v>78467</v>
      </c>
      <c r="S63" s="20">
        <v>78467</v>
      </c>
      <c r="T63" s="20">
        <v>78467</v>
      </c>
      <c r="U63" s="20">
        <v>78467</v>
      </c>
      <c r="V63" s="20">
        <v>78467</v>
      </c>
      <c r="W63" s="20">
        <v>78467</v>
      </c>
      <c r="X63" s="20">
        <v>78467</v>
      </c>
      <c r="Y63" s="20">
        <v>78467</v>
      </c>
      <c r="Z63" s="20">
        <v>78467</v>
      </c>
      <c r="AA63" s="20">
        <v>78467</v>
      </c>
      <c r="AB63" s="20">
        <f t="shared" si="89"/>
        <v>78467</v>
      </c>
      <c r="AC63" s="20">
        <v>62947</v>
      </c>
      <c r="AD63" s="20">
        <v>62947</v>
      </c>
      <c r="AE63" s="20">
        <v>62947</v>
      </c>
      <c r="AF63" s="20">
        <v>62947</v>
      </c>
      <c r="AG63" s="20">
        <v>62947</v>
      </c>
      <c r="AH63" s="20">
        <v>62947</v>
      </c>
      <c r="AI63" s="20">
        <v>62947</v>
      </c>
      <c r="AJ63" s="20">
        <v>62947</v>
      </c>
      <c r="AK63" s="20">
        <v>62947</v>
      </c>
      <c r="AL63" s="20">
        <v>62947</v>
      </c>
      <c r="AM63" s="20">
        <v>62947</v>
      </c>
      <c r="AN63" s="20">
        <v>62947</v>
      </c>
      <c r="AO63" s="20">
        <f t="shared" si="90"/>
        <v>62947</v>
      </c>
      <c r="AP63" s="20">
        <v>49257</v>
      </c>
      <c r="AQ63" s="20">
        <v>49257</v>
      </c>
      <c r="AR63" s="20">
        <v>49257</v>
      </c>
      <c r="AS63" s="20">
        <v>49257</v>
      </c>
      <c r="AT63" s="20">
        <v>49257</v>
      </c>
      <c r="AU63" s="20">
        <v>49257</v>
      </c>
      <c r="AV63" s="20">
        <v>49257</v>
      </c>
      <c r="AW63" s="20">
        <v>49257</v>
      </c>
      <c r="AX63" s="20">
        <v>49257</v>
      </c>
      <c r="AY63" s="20">
        <v>49257</v>
      </c>
      <c r="AZ63" s="20">
        <v>49257</v>
      </c>
      <c r="BA63" s="20">
        <v>49257</v>
      </c>
      <c r="BB63" s="20">
        <f t="shared" si="91"/>
        <v>49257</v>
      </c>
      <c r="BC63" s="20">
        <v>610722</v>
      </c>
      <c r="BD63" s="20">
        <v>610722</v>
      </c>
      <c r="BE63" s="20">
        <v>610722</v>
      </c>
      <c r="BF63" s="20">
        <v>610722</v>
      </c>
      <c r="BG63" s="20">
        <v>610722</v>
      </c>
      <c r="BH63" s="20">
        <v>610722</v>
      </c>
      <c r="BI63" s="20">
        <v>566060</v>
      </c>
      <c r="BJ63" s="20">
        <v>566060</v>
      </c>
      <c r="BK63" s="20">
        <v>566060</v>
      </c>
      <c r="BL63" s="20">
        <v>566060</v>
      </c>
      <c r="BM63" s="20">
        <v>566060</v>
      </c>
      <c r="BN63" s="20">
        <v>566060</v>
      </c>
      <c r="BO63" s="20">
        <f t="shared" si="92"/>
        <v>566060</v>
      </c>
      <c r="BP63" s="20">
        <v>166534</v>
      </c>
      <c r="BQ63" s="20">
        <v>166534</v>
      </c>
      <c r="BR63" s="20">
        <v>166534</v>
      </c>
      <c r="BS63" s="20">
        <v>166534</v>
      </c>
      <c r="BT63" s="20">
        <v>166534</v>
      </c>
      <c r="BU63" s="20">
        <v>166534</v>
      </c>
      <c r="BV63" s="20">
        <v>177586</v>
      </c>
      <c r="BW63" s="20">
        <v>177586</v>
      </c>
      <c r="BX63" s="20">
        <v>177586</v>
      </c>
      <c r="BY63" s="20">
        <v>177586</v>
      </c>
      <c r="BZ63" s="20">
        <v>177586</v>
      </c>
      <c r="CA63" s="20">
        <v>177586</v>
      </c>
      <c r="CB63" s="20">
        <f t="shared" si="93"/>
        <v>177586</v>
      </c>
      <c r="CC63" s="20">
        <v>206665</v>
      </c>
      <c r="CD63" s="20">
        <v>206665</v>
      </c>
      <c r="CE63" s="20">
        <v>206665</v>
      </c>
      <c r="CF63" s="20">
        <v>182934</v>
      </c>
      <c r="CG63" s="20">
        <v>182934</v>
      </c>
      <c r="CH63" s="20">
        <v>182934</v>
      </c>
      <c r="CI63" s="20">
        <v>182934</v>
      </c>
      <c r="CJ63" s="20">
        <v>182934</v>
      </c>
      <c r="CK63" s="20">
        <v>182934</v>
      </c>
      <c r="CL63" s="20">
        <v>182934</v>
      </c>
      <c r="CM63" s="20">
        <v>182934</v>
      </c>
      <c r="CN63" s="20">
        <v>183383</v>
      </c>
      <c r="CO63" s="20">
        <f t="shared" si="94"/>
        <v>183383</v>
      </c>
      <c r="CP63" s="20">
        <v>160447</v>
      </c>
      <c r="CQ63" s="20">
        <v>160447</v>
      </c>
      <c r="CR63" s="20">
        <v>160447</v>
      </c>
      <c r="CS63" s="20">
        <v>160447</v>
      </c>
      <c r="CT63" s="20">
        <v>160447</v>
      </c>
      <c r="CU63" s="20">
        <v>160447</v>
      </c>
      <c r="CV63" s="20">
        <v>160447</v>
      </c>
      <c r="CW63" s="20">
        <v>160447</v>
      </c>
      <c r="CX63" s="20">
        <v>160447</v>
      </c>
      <c r="CY63" s="20">
        <v>160447</v>
      </c>
      <c r="CZ63" s="20">
        <v>160447</v>
      </c>
      <c r="DA63" s="20">
        <v>160447</v>
      </c>
      <c r="DB63" s="20">
        <f t="shared" si="95"/>
        <v>160447</v>
      </c>
      <c r="DC63" s="20">
        <v>455326</v>
      </c>
      <c r="DD63" s="20">
        <v>455326</v>
      </c>
      <c r="DE63" s="20">
        <v>455326</v>
      </c>
      <c r="DF63" s="20">
        <v>455326</v>
      </c>
      <c r="DG63" s="20">
        <v>455326</v>
      </c>
      <c r="DH63" s="20">
        <v>455326</v>
      </c>
      <c r="DI63" s="20">
        <v>455326</v>
      </c>
      <c r="DJ63" s="20">
        <v>455326</v>
      </c>
      <c r="DK63" s="20">
        <v>455326</v>
      </c>
      <c r="DL63" s="20">
        <v>979017</v>
      </c>
      <c r="DM63" s="20">
        <v>979017</v>
      </c>
      <c r="DN63" s="20">
        <v>979017</v>
      </c>
      <c r="DO63" s="20">
        <f t="shared" si="96"/>
        <v>979017</v>
      </c>
      <c r="DP63" s="20">
        <v>622609</v>
      </c>
      <c r="DQ63" s="20">
        <v>622609</v>
      </c>
      <c r="DR63" s="20">
        <v>622609</v>
      </c>
      <c r="DS63" s="20">
        <v>622609</v>
      </c>
      <c r="DT63" s="20">
        <v>622609</v>
      </c>
      <c r="DU63" s="20">
        <v>622609</v>
      </c>
      <c r="DV63" s="20">
        <v>622609</v>
      </c>
      <c r="DW63" s="20">
        <v>622609</v>
      </c>
      <c r="DX63" s="20">
        <v>622609</v>
      </c>
      <c r="DY63" s="20">
        <v>622609</v>
      </c>
      <c r="DZ63" s="20">
        <v>622609</v>
      </c>
      <c r="EA63" s="20">
        <v>428444</v>
      </c>
      <c r="EB63" s="20">
        <f t="shared" si="97"/>
        <v>428444</v>
      </c>
      <c r="EC63" s="20">
        <v>636104</v>
      </c>
      <c r="ED63" s="20">
        <v>636104</v>
      </c>
      <c r="EE63" s="20">
        <v>636104</v>
      </c>
      <c r="EF63" s="20">
        <v>636104</v>
      </c>
      <c r="EG63" s="20">
        <v>636104</v>
      </c>
      <c r="EH63" s="20">
        <v>636104</v>
      </c>
      <c r="EI63" s="20">
        <v>636104</v>
      </c>
      <c r="EJ63" s="20">
        <v>636104</v>
      </c>
      <c r="EK63" s="20">
        <v>636104</v>
      </c>
      <c r="EL63" s="20">
        <v>636104</v>
      </c>
      <c r="EM63" s="20">
        <v>636104</v>
      </c>
      <c r="EN63" s="20">
        <v>636104</v>
      </c>
      <c r="EO63" s="20">
        <f t="shared" si="98"/>
        <v>636104</v>
      </c>
      <c r="EP63" s="20">
        <v>1284794</v>
      </c>
      <c r="EQ63" s="20">
        <v>1284794</v>
      </c>
      <c r="ER63" s="20">
        <v>1284794</v>
      </c>
      <c r="ES63" s="20">
        <v>1284794</v>
      </c>
      <c r="ET63" s="20">
        <v>1284794</v>
      </c>
      <c r="EU63" s="20">
        <v>1284794</v>
      </c>
      <c r="EV63" s="20">
        <v>1284794</v>
      </c>
      <c r="EW63" s="20">
        <v>1284794</v>
      </c>
      <c r="EX63" s="20">
        <v>1284794</v>
      </c>
      <c r="EY63" s="20">
        <v>1284794</v>
      </c>
      <c r="EZ63" s="20">
        <v>1284794</v>
      </c>
      <c r="FA63" s="20">
        <v>1212027</v>
      </c>
      <c r="FB63" s="20">
        <f t="shared" si="99"/>
        <v>1212027</v>
      </c>
      <c r="FC63" s="20">
        <v>667445</v>
      </c>
      <c r="FD63" s="20">
        <v>667445</v>
      </c>
      <c r="FE63" s="20">
        <v>667445</v>
      </c>
      <c r="FF63" s="20">
        <v>667445</v>
      </c>
      <c r="FG63" s="20">
        <v>488932</v>
      </c>
      <c r="FH63" s="20">
        <v>488932</v>
      </c>
      <c r="FI63" s="20">
        <v>488932</v>
      </c>
      <c r="FJ63" s="10"/>
      <c r="FK63" s="10"/>
      <c r="FL63" s="10"/>
      <c r="FM63" s="10"/>
      <c r="FN63" s="10"/>
      <c r="FO63" s="20">
        <f t="shared" si="100"/>
        <v>488932</v>
      </c>
    </row>
    <row r="64" spans="1:171" ht="27.75" customHeight="1">
      <c r="A64" s="10"/>
      <c r="B64" s="19" t="s">
        <v>46</v>
      </c>
      <c r="C64" s="20">
        <v>166373</v>
      </c>
      <c r="D64" s="20">
        <v>166373</v>
      </c>
      <c r="E64" s="20">
        <v>166373</v>
      </c>
      <c r="F64" s="20">
        <v>166373</v>
      </c>
      <c r="G64" s="20">
        <v>166373</v>
      </c>
      <c r="H64" s="20">
        <v>166373</v>
      </c>
      <c r="I64" s="20">
        <v>166373</v>
      </c>
      <c r="J64" s="20">
        <v>166373</v>
      </c>
      <c r="K64" s="20">
        <v>166373</v>
      </c>
      <c r="L64" s="20">
        <v>166373</v>
      </c>
      <c r="M64" s="20">
        <v>166373</v>
      </c>
      <c r="N64" s="20">
        <v>166373</v>
      </c>
      <c r="O64" s="20">
        <f t="shared" si="88"/>
        <v>166373</v>
      </c>
      <c r="P64" s="20">
        <v>1590037</v>
      </c>
      <c r="Q64" s="20">
        <v>1590037</v>
      </c>
      <c r="R64" s="20">
        <v>1590037</v>
      </c>
      <c r="S64" s="20">
        <v>1590037</v>
      </c>
      <c r="T64" s="20">
        <v>1590037</v>
      </c>
      <c r="U64" s="20">
        <v>1590037</v>
      </c>
      <c r="V64" s="20">
        <v>1590037</v>
      </c>
      <c r="W64" s="20">
        <v>1590037</v>
      </c>
      <c r="X64" s="20">
        <v>1590037</v>
      </c>
      <c r="Y64" s="20">
        <v>1590037</v>
      </c>
      <c r="Z64" s="20">
        <v>1590037</v>
      </c>
      <c r="AA64" s="20">
        <v>1900037</v>
      </c>
      <c r="AB64" s="20">
        <f t="shared" si="89"/>
        <v>1900037</v>
      </c>
      <c r="AC64" s="20">
        <v>6130543</v>
      </c>
      <c r="AD64" s="20">
        <v>6130543</v>
      </c>
      <c r="AE64" s="20">
        <v>6130543</v>
      </c>
      <c r="AF64" s="20">
        <v>6108543</v>
      </c>
      <c r="AG64" s="20">
        <v>6108543</v>
      </c>
      <c r="AH64" s="20">
        <v>6108543</v>
      </c>
      <c r="AI64" s="20">
        <v>6108543</v>
      </c>
      <c r="AJ64" s="20">
        <v>6108543</v>
      </c>
      <c r="AK64" s="20">
        <v>6108543</v>
      </c>
      <c r="AL64" s="20">
        <v>6108543</v>
      </c>
      <c r="AM64" s="20">
        <v>6108543</v>
      </c>
      <c r="AN64" s="20">
        <v>4530168</v>
      </c>
      <c r="AO64" s="20">
        <f t="shared" si="90"/>
        <v>4530168</v>
      </c>
      <c r="AP64" s="20">
        <v>3892493</v>
      </c>
      <c r="AQ64" s="20">
        <v>3892493</v>
      </c>
      <c r="AR64" s="20">
        <v>3892493</v>
      </c>
      <c r="AS64" s="20">
        <v>3892493</v>
      </c>
      <c r="AT64" s="20">
        <v>3892493</v>
      </c>
      <c r="AU64" s="20">
        <v>3892493</v>
      </c>
      <c r="AV64" s="20">
        <v>3892493</v>
      </c>
      <c r="AW64" s="20">
        <v>3892493</v>
      </c>
      <c r="AX64" s="20">
        <v>3892493</v>
      </c>
      <c r="AY64" s="20">
        <v>3718873</v>
      </c>
      <c r="AZ64" s="20">
        <v>3718873</v>
      </c>
      <c r="BA64" s="20">
        <v>3718873</v>
      </c>
      <c r="BB64" s="20">
        <f t="shared" si="91"/>
        <v>3718873</v>
      </c>
      <c r="BC64" s="20">
        <v>1987092</v>
      </c>
      <c r="BD64" s="20">
        <v>1987092</v>
      </c>
      <c r="BE64" s="20">
        <v>1987092</v>
      </c>
      <c r="BF64" s="20">
        <v>1987092</v>
      </c>
      <c r="BG64" s="20">
        <v>1987092</v>
      </c>
      <c r="BH64" s="20">
        <v>1987092</v>
      </c>
      <c r="BI64" s="20">
        <v>1594960</v>
      </c>
      <c r="BJ64" s="20">
        <v>1594960</v>
      </c>
      <c r="BK64" s="20">
        <v>1594960</v>
      </c>
      <c r="BL64" s="20">
        <v>1594960</v>
      </c>
      <c r="BM64" s="20">
        <v>1627511</v>
      </c>
      <c r="BN64" s="20">
        <v>353432</v>
      </c>
      <c r="BO64" s="20">
        <f t="shared" si="92"/>
        <v>353432</v>
      </c>
      <c r="BP64" s="20">
        <v>2440271</v>
      </c>
      <c r="BQ64" s="20">
        <v>2440271</v>
      </c>
      <c r="BR64" s="20">
        <v>2390271</v>
      </c>
      <c r="BS64" s="20">
        <v>2390271</v>
      </c>
      <c r="BT64" s="20">
        <v>2390271</v>
      </c>
      <c r="BU64" s="20">
        <v>2390271</v>
      </c>
      <c r="BV64" s="20">
        <v>2379219</v>
      </c>
      <c r="BW64" s="20">
        <v>2379219</v>
      </c>
      <c r="BX64" s="20">
        <v>2379219</v>
      </c>
      <c r="BY64" s="20">
        <v>2379219</v>
      </c>
      <c r="BZ64" s="20">
        <v>2379219</v>
      </c>
      <c r="CA64" s="20">
        <v>869395</v>
      </c>
      <c r="CB64" s="20">
        <f t="shared" si="93"/>
        <v>869395</v>
      </c>
      <c r="CC64" s="20">
        <v>2488259</v>
      </c>
      <c r="CD64" s="20">
        <v>2488259</v>
      </c>
      <c r="CE64" s="20">
        <v>2488259</v>
      </c>
      <c r="CF64" s="20">
        <v>1571869</v>
      </c>
      <c r="CG64" s="20">
        <v>1541383</v>
      </c>
      <c r="CH64" s="20">
        <v>1541383</v>
      </c>
      <c r="CI64" s="20">
        <v>1541383</v>
      </c>
      <c r="CJ64" s="20">
        <v>1541383</v>
      </c>
      <c r="CK64" s="20">
        <v>1541383</v>
      </c>
      <c r="CL64" s="20">
        <v>1538683</v>
      </c>
      <c r="CM64" s="20">
        <v>2653214</v>
      </c>
      <c r="CN64" s="20">
        <v>1949794</v>
      </c>
      <c r="CO64" s="20">
        <f t="shared" si="94"/>
        <v>1949794</v>
      </c>
      <c r="CP64" s="20">
        <v>2902086</v>
      </c>
      <c r="CQ64" s="20">
        <v>2902086</v>
      </c>
      <c r="CR64" s="20">
        <v>2902086</v>
      </c>
      <c r="CS64" s="20">
        <v>2902086</v>
      </c>
      <c r="CT64" s="20">
        <v>2902086</v>
      </c>
      <c r="CU64" s="20">
        <v>2902086</v>
      </c>
      <c r="CV64" s="20">
        <v>2902086</v>
      </c>
      <c r="CW64" s="20">
        <v>2902086</v>
      </c>
      <c r="CX64" s="20">
        <v>2902086</v>
      </c>
      <c r="CY64" s="20">
        <v>2902086</v>
      </c>
      <c r="CZ64" s="20">
        <v>2902086</v>
      </c>
      <c r="DA64" s="20">
        <v>486360</v>
      </c>
      <c r="DB64" s="20">
        <f t="shared" si="95"/>
        <v>486360</v>
      </c>
      <c r="DC64" s="20">
        <v>1322297</v>
      </c>
      <c r="DD64" s="20">
        <v>1322297</v>
      </c>
      <c r="DE64" s="20">
        <v>1322297</v>
      </c>
      <c r="DF64" s="20">
        <v>1322297</v>
      </c>
      <c r="DG64" s="20">
        <v>1322297</v>
      </c>
      <c r="DH64" s="20">
        <v>1322297</v>
      </c>
      <c r="DI64" s="20">
        <v>1322297</v>
      </c>
      <c r="DJ64" s="20">
        <v>1322297</v>
      </c>
      <c r="DK64" s="20">
        <v>1322297</v>
      </c>
      <c r="DL64" s="20">
        <v>1322297</v>
      </c>
      <c r="DM64" s="20">
        <v>1322297</v>
      </c>
      <c r="DN64" s="20">
        <v>958297</v>
      </c>
      <c r="DO64" s="20">
        <f t="shared" si="96"/>
        <v>958297</v>
      </c>
      <c r="DP64" s="20">
        <v>1814843</v>
      </c>
      <c r="DQ64" s="20">
        <v>1814843</v>
      </c>
      <c r="DR64" s="20">
        <v>1814843</v>
      </c>
      <c r="DS64" s="20">
        <v>1814843</v>
      </c>
      <c r="DT64" s="20">
        <v>1814843</v>
      </c>
      <c r="DU64" s="20">
        <v>1814843</v>
      </c>
      <c r="DV64" s="20">
        <v>1814843</v>
      </c>
      <c r="DW64" s="20">
        <v>1814843</v>
      </c>
      <c r="DX64" s="20">
        <v>1814843</v>
      </c>
      <c r="DY64" s="20">
        <v>1814843</v>
      </c>
      <c r="DZ64" s="20">
        <v>1814843</v>
      </c>
      <c r="EA64" s="20">
        <v>687226</v>
      </c>
      <c r="EB64" s="20">
        <f t="shared" si="97"/>
        <v>687226</v>
      </c>
      <c r="EC64" s="20">
        <v>5152528</v>
      </c>
      <c r="ED64" s="20">
        <v>5152528</v>
      </c>
      <c r="EE64" s="20">
        <v>5152528</v>
      </c>
      <c r="EF64" s="20">
        <v>5152528</v>
      </c>
      <c r="EG64" s="20">
        <v>5152528</v>
      </c>
      <c r="EH64" s="20">
        <v>5152528</v>
      </c>
      <c r="EI64" s="20">
        <v>5152528</v>
      </c>
      <c r="EJ64" s="20">
        <v>5152528</v>
      </c>
      <c r="EK64" s="20">
        <v>5006428</v>
      </c>
      <c r="EL64" s="20">
        <v>5006428</v>
      </c>
      <c r="EM64" s="20">
        <v>1731272</v>
      </c>
      <c r="EN64" s="20">
        <v>1731272</v>
      </c>
      <c r="EO64" s="20">
        <f t="shared" si="98"/>
        <v>1731272</v>
      </c>
      <c r="EP64" s="20">
        <v>2503895</v>
      </c>
      <c r="EQ64" s="20">
        <v>2503895</v>
      </c>
      <c r="ER64" s="20">
        <v>2503895</v>
      </c>
      <c r="ES64" s="20">
        <v>2503895</v>
      </c>
      <c r="ET64" s="20">
        <v>2503895</v>
      </c>
      <c r="EU64" s="20">
        <v>2503895</v>
      </c>
      <c r="EV64" s="20">
        <v>2503895</v>
      </c>
      <c r="EW64" s="20">
        <v>2503895</v>
      </c>
      <c r="EX64" s="20">
        <v>2503895</v>
      </c>
      <c r="EY64" s="20">
        <v>2503895</v>
      </c>
      <c r="EZ64" s="20">
        <v>2503895</v>
      </c>
      <c r="FA64" s="20">
        <v>391705</v>
      </c>
      <c r="FB64" s="20">
        <f t="shared" si="99"/>
        <v>391705</v>
      </c>
      <c r="FC64" s="20">
        <v>2135157</v>
      </c>
      <c r="FD64" s="20">
        <v>2135157</v>
      </c>
      <c r="FE64" s="20">
        <v>2135157</v>
      </c>
      <c r="FF64" s="20">
        <v>2135157</v>
      </c>
      <c r="FG64" s="20">
        <v>2071102</v>
      </c>
      <c r="FH64" s="20">
        <v>2071102</v>
      </c>
      <c r="FI64" s="20">
        <v>2071102</v>
      </c>
      <c r="FJ64" s="10"/>
      <c r="FK64" s="10"/>
      <c r="FL64" s="10"/>
      <c r="FM64" s="10"/>
      <c r="FN64" s="10"/>
      <c r="FO64" s="20">
        <f t="shared" si="100"/>
        <v>2071102</v>
      </c>
    </row>
    <row r="65" spans="1:171" ht="27.75" customHeight="1">
      <c r="A65" s="10"/>
      <c r="B65" s="19" t="s">
        <v>47</v>
      </c>
      <c r="C65" s="20">
        <v>231070</v>
      </c>
      <c r="D65" s="20">
        <v>231070</v>
      </c>
      <c r="E65" s="20">
        <v>231070</v>
      </c>
      <c r="F65" s="20">
        <v>231070</v>
      </c>
      <c r="G65" s="20">
        <v>231070</v>
      </c>
      <c r="H65" s="20">
        <v>231070</v>
      </c>
      <c r="I65" s="20">
        <v>231070</v>
      </c>
      <c r="J65" s="20">
        <v>231070</v>
      </c>
      <c r="K65" s="20">
        <v>231070</v>
      </c>
      <c r="L65" s="20">
        <v>231070</v>
      </c>
      <c r="M65" s="20">
        <v>231070</v>
      </c>
      <c r="N65" s="20">
        <v>231070</v>
      </c>
      <c r="O65" s="20">
        <f t="shared" si="88"/>
        <v>231070</v>
      </c>
      <c r="P65" s="20">
        <v>467863</v>
      </c>
      <c r="Q65" s="20">
        <v>467863</v>
      </c>
      <c r="R65" s="20">
        <v>467863</v>
      </c>
      <c r="S65" s="20">
        <v>467863</v>
      </c>
      <c r="T65" s="20">
        <v>467863</v>
      </c>
      <c r="U65" s="20">
        <v>467863</v>
      </c>
      <c r="V65" s="20">
        <v>467863</v>
      </c>
      <c r="W65" s="20">
        <v>467863</v>
      </c>
      <c r="X65" s="20">
        <v>467863</v>
      </c>
      <c r="Y65" s="20">
        <v>467863</v>
      </c>
      <c r="Z65" s="20">
        <v>838663</v>
      </c>
      <c r="AA65" s="20">
        <v>838663</v>
      </c>
      <c r="AB65" s="20">
        <f t="shared" si="89"/>
        <v>838663</v>
      </c>
      <c r="AC65" s="20">
        <v>173175</v>
      </c>
      <c r="AD65" s="20">
        <v>173175</v>
      </c>
      <c r="AE65" s="20">
        <v>173175</v>
      </c>
      <c r="AF65" s="20">
        <v>173175</v>
      </c>
      <c r="AG65" s="20">
        <v>173175</v>
      </c>
      <c r="AH65" s="20">
        <v>173175</v>
      </c>
      <c r="AI65" s="20">
        <v>173175</v>
      </c>
      <c r="AJ65" s="20">
        <v>173175</v>
      </c>
      <c r="AK65" s="20">
        <v>173175</v>
      </c>
      <c r="AL65" s="20">
        <v>635175</v>
      </c>
      <c r="AM65" s="20">
        <v>635175</v>
      </c>
      <c r="AN65" s="20">
        <v>635175</v>
      </c>
      <c r="AO65" s="20">
        <f t="shared" si="90"/>
        <v>635175</v>
      </c>
      <c r="AP65" s="20">
        <v>100131</v>
      </c>
      <c r="AQ65" s="20">
        <v>100131</v>
      </c>
      <c r="AR65" s="20">
        <v>100131</v>
      </c>
      <c r="AS65" s="20">
        <v>100131</v>
      </c>
      <c r="AT65" s="20">
        <v>100131</v>
      </c>
      <c r="AU65" s="20">
        <v>100131</v>
      </c>
      <c r="AV65" s="20">
        <v>100131</v>
      </c>
      <c r="AW65" s="20">
        <v>100131</v>
      </c>
      <c r="AX65" s="20">
        <v>100131</v>
      </c>
      <c r="AY65" s="20">
        <v>1082131</v>
      </c>
      <c r="AZ65" s="20">
        <v>1082131</v>
      </c>
      <c r="BA65" s="20">
        <v>1762131</v>
      </c>
      <c r="BB65" s="20">
        <f t="shared" si="91"/>
        <v>1762131</v>
      </c>
      <c r="BC65" s="20">
        <v>95500</v>
      </c>
      <c r="BD65" s="20">
        <v>95500</v>
      </c>
      <c r="BE65" s="20">
        <v>95500</v>
      </c>
      <c r="BF65" s="20">
        <v>95500</v>
      </c>
      <c r="BG65" s="20">
        <v>95500</v>
      </c>
      <c r="BH65" s="20">
        <v>95500</v>
      </c>
      <c r="BI65" s="20">
        <v>85076</v>
      </c>
      <c r="BJ65" s="20">
        <v>85076</v>
      </c>
      <c r="BK65" s="20">
        <v>85076</v>
      </c>
      <c r="BL65" s="20">
        <v>85076</v>
      </c>
      <c r="BM65" s="20">
        <v>85076</v>
      </c>
      <c r="BN65" s="20">
        <v>1689211</v>
      </c>
      <c r="BO65" s="20">
        <f t="shared" si="92"/>
        <v>1689211</v>
      </c>
      <c r="BP65" s="20">
        <v>97653</v>
      </c>
      <c r="BQ65" s="20">
        <v>97653</v>
      </c>
      <c r="BR65" s="20">
        <v>97653</v>
      </c>
      <c r="BS65" s="20">
        <v>97653</v>
      </c>
      <c r="BT65" s="20">
        <v>97653</v>
      </c>
      <c r="BU65" s="20">
        <v>97653</v>
      </c>
      <c r="BV65" s="20">
        <v>97653</v>
      </c>
      <c r="BW65" s="20">
        <v>97653</v>
      </c>
      <c r="BX65" s="20">
        <v>97653</v>
      </c>
      <c r="BY65" s="20">
        <v>97653</v>
      </c>
      <c r="BZ65" s="20">
        <v>97653</v>
      </c>
      <c r="CA65" s="20">
        <v>97653</v>
      </c>
      <c r="CB65" s="20">
        <f t="shared" si="93"/>
        <v>97653</v>
      </c>
      <c r="CC65" s="20">
        <v>72183</v>
      </c>
      <c r="CD65" s="20">
        <v>72183</v>
      </c>
      <c r="CE65" s="20">
        <v>72183</v>
      </c>
      <c r="CF65" s="20">
        <v>58992</v>
      </c>
      <c r="CG65" s="20">
        <v>41722</v>
      </c>
      <c r="CH65" s="20">
        <v>41722</v>
      </c>
      <c r="CI65" s="20">
        <v>41722</v>
      </c>
      <c r="CJ65" s="20">
        <v>41722</v>
      </c>
      <c r="CK65" s="20">
        <v>41722</v>
      </c>
      <c r="CL65" s="20">
        <v>383162</v>
      </c>
      <c r="CM65" s="20">
        <v>383162</v>
      </c>
      <c r="CN65" s="20">
        <v>383162</v>
      </c>
      <c r="CO65" s="20">
        <f t="shared" si="94"/>
        <v>383162</v>
      </c>
      <c r="CP65" s="20">
        <v>103404</v>
      </c>
      <c r="CQ65" s="20">
        <v>103404</v>
      </c>
      <c r="CR65" s="20">
        <v>103404</v>
      </c>
      <c r="CS65" s="20">
        <v>103404</v>
      </c>
      <c r="CT65" s="20">
        <v>103404</v>
      </c>
      <c r="CU65" s="20">
        <v>103404</v>
      </c>
      <c r="CV65" s="20">
        <v>103404</v>
      </c>
      <c r="CW65" s="20">
        <v>103404</v>
      </c>
      <c r="CX65" s="20">
        <v>103404</v>
      </c>
      <c r="CY65" s="20">
        <v>103404</v>
      </c>
      <c r="CZ65" s="20">
        <v>103404</v>
      </c>
      <c r="DA65" s="20">
        <v>103404</v>
      </c>
      <c r="DB65" s="20">
        <f t="shared" si="95"/>
        <v>103404</v>
      </c>
      <c r="DC65" s="20">
        <v>76973</v>
      </c>
      <c r="DD65" s="20">
        <v>76973</v>
      </c>
      <c r="DE65" s="20">
        <v>76973</v>
      </c>
      <c r="DF65" s="20">
        <v>76973</v>
      </c>
      <c r="DG65" s="20">
        <v>162012</v>
      </c>
      <c r="DH65" s="20">
        <v>162012</v>
      </c>
      <c r="DI65" s="20">
        <v>162012</v>
      </c>
      <c r="DJ65" s="20">
        <v>162012</v>
      </c>
      <c r="DK65" s="20">
        <v>162012</v>
      </c>
      <c r="DL65" s="20">
        <v>162012</v>
      </c>
      <c r="DM65" s="20">
        <v>162012</v>
      </c>
      <c r="DN65" s="20">
        <v>162012</v>
      </c>
      <c r="DO65" s="20">
        <f t="shared" si="96"/>
        <v>162012</v>
      </c>
      <c r="DP65" s="20">
        <v>240323</v>
      </c>
      <c r="DQ65" s="20">
        <v>240323</v>
      </c>
      <c r="DR65" s="20">
        <v>240323</v>
      </c>
      <c r="DS65" s="20">
        <v>240323</v>
      </c>
      <c r="DT65" s="20">
        <v>240323</v>
      </c>
      <c r="DU65" s="20">
        <v>240323</v>
      </c>
      <c r="DV65" s="20">
        <v>240323</v>
      </c>
      <c r="DW65" s="20">
        <v>240323</v>
      </c>
      <c r="DX65" s="20">
        <v>240323</v>
      </c>
      <c r="DY65" s="20">
        <v>240323</v>
      </c>
      <c r="DZ65" s="20">
        <v>240323</v>
      </c>
      <c r="EA65" s="20">
        <v>240323</v>
      </c>
      <c r="EB65" s="20">
        <f t="shared" si="97"/>
        <v>240323</v>
      </c>
      <c r="EC65" s="20">
        <v>251537</v>
      </c>
      <c r="ED65" s="20">
        <v>251537</v>
      </c>
      <c r="EE65" s="20">
        <v>251537</v>
      </c>
      <c r="EF65" s="20">
        <v>2079025</v>
      </c>
      <c r="EG65" s="20">
        <v>2107375</v>
      </c>
      <c r="EH65" s="20">
        <v>2107375</v>
      </c>
      <c r="EI65" s="20">
        <v>2107375</v>
      </c>
      <c r="EJ65" s="20">
        <v>2107375</v>
      </c>
      <c r="EK65" s="20">
        <v>2107375</v>
      </c>
      <c r="EL65" s="20">
        <v>2107375</v>
      </c>
      <c r="EM65" s="20">
        <v>2107375</v>
      </c>
      <c r="EN65" s="20">
        <v>1998403</v>
      </c>
      <c r="EO65" s="20">
        <f t="shared" si="98"/>
        <v>1998403</v>
      </c>
      <c r="EP65" s="20">
        <v>878719</v>
      </c>
      <c r="EQ65" s="20">
        <v>878719</v>
      </c>
      <c r="ER65" s="20">
        <v>878719</v>
      </c>
      <c r="ES65" s="20">
        <v>878719</v>
      </c>
      <c r="ET65" s="20">
        <v>878719</v>
      </c>
      <c r="EU65" s="20">
        <v>878719</v>
      </c>
      <c r="EV65" s="20">
        <v>878719</v>
      </c>
      <c r="EW65" s="20">
        <v>878719</v>
      </c>
      <c r="EX65" s="20">
        <v>878719</v>
      </c>
      <c r="EY65" s="20">
        <v>878719</v>
      </c>
      <c r="EZ65" s="20">
        <v>878719</v>
      </c>
      <c r="FA65" s="20">
        <v>812930</v>
      </c>
      <c r="FB65" s="20">
        <f t="shared" si="99"/>
        <v>812930</v>
      </c>
      <c r="FC65" s="20">
        <v>294239</v>
      </c>
      <c r="FD65" s="20">
        <v>294239</v>
      </c>
      <c r="FE65" s="20">
        <v>294239</v>
      </c>
      <c r="FF65" s="20">
        <v>294239</v>
      </c>
      <c r="FG65" s="20">
        <v>292976</v>
      </c>
      <c r="FH65" s="20">
        <v>292976</v>
      </c>
      <c r="FI65" s="20">
        <v>292976</v>
      </c>
      <c r="FJ65" s="10"/>
      <c r="FK65" s="10"/>
      <c r="FL65" s="10"/>
      <c r="FM65" s="10"/>
      <c r="FN65" s="10"/>
      <c r="FO65" s="20">
        <f t="shared" si="100"/>
        <v>292976</v>
      </c>
    </row>
    <row r="66" spans="1:171" ht="27.75" customHeight="1">
      <c r="A66" s="10"/>
      <c r="B66" s="19" t="s">
        <v>48</v>
      </c>
      <c r="C66" s="20">
        <v>104782</v>
      </c>
      <c r="D66" s="20">
        <v>104782</v>
      </c>
      <c r="E66" s="20">
        <v>104782</v>
      </c>
      <c r="F66" s="20">
        <v>104782</v>
      </c>
      <c r="G66" s="20">
        <v>142001</v>
      </c>
      <c r="H66" s="20">
        <v>142001</v>
      </c>
      <c r="I66" s="20">
        <v>142001</v>
      </c>
      <c r="J66" s="20">
        <v>142001</v>
      </c>
      <c r="K66" s="20">
        <v>142001</v>
      </c>
      <c r="L66" s="20">
        <v>142001</v>
      </c>
      <c r="M66" s="20">
        <v>142001</v>
      </c>
      <c r="N66" s="20">
        <v>142001</v>
      </c>
      <c r="O66" s="20">
        <f t="shared" si="88"/>
        <v>142001</v>
      </c>
      <c r="P66" s="20">
        <v>95648</v>
      </c>
      <c r="Q66" s="20">
        <v>95648</v>
      </c>
      <c r="R66" s="20">
        <v>95648</v>
      </c>
      <c r="S66" s="20">
        <v>95648</v>
      </c>
      <c r="T66" s="20">
        <v>95648</v>
      </c>
      <c r="U66" s="20">
        <v>95648</v>
      </c>
      <c r="V66" s="20">
        <v>95648</v>
      </c>
      <c r="W66" s="20">
        <v>95648</v>
      </c>
      <c r="X66" s="20">
        <v>295648</v>
      </c>
      <c r="Y66" s="20">
        <v>295648</v>
      </c>
      <c r="Z66" s="20">
        <v>295648</v>
      </c>
      <c r="AA66" s="20">
        <v>295648</v>
      </c>
      <c r="AB66" s="20">
        <f t="shared" si="89"/>
        <v>295648</v>
      </c>
      <c r="AC66" s="20">
        <v>96011</v>
      </c>
      <c r="AD66" s="20">
        <v>96011</v>
      </c>
      <c r="AE66" s="20">
        <v>96011</v>
      </c>
      <c r="AF66" s="20">
        <v>96011</v>
      </c>
      <c r="AG66" s="20">
        <v>96011</v>
      </c>
      <c r="AH66" s="20">
        <v>131011</v>
      </c>
      <c r="AI66" s="20">
        <v>131011</v>
      </c>
      <c r="AJ66" s="20">
        <v>131011</v>
      </c>
      <c r="AK66" s="20">
        <v>131011</v>
      </c>
      <c r="AL66" s="20">
        <v>131011</v>
      </c>
      <c r="AM66" s="20">
        <v>131011</v>
      </c>
      <c r="AN66" s="20">
        <v>131011</v>
      </c>
      <c r="AO66" s="20">
        <f t="shared" si="90"/>
        <v>131011</v>
      </c>
      <c r="AP66" s="20">
        <v>123692</v>
      </c>
      <c r="AQ66" s="20">
        <v>123692</v>
      </c>
      <c r="AR66" s="20">
        <v>131707</v>
      </c>
      <c r="AS66" s="20">
        <v>131707</v>
      </c>
      <c r="AT66" s="20">
        <v>131707</v>
      </c>
      <c r="AU66" s="20">
        <v>154815</v>
      </c>
      <c r="AV66" s="20">
        <v>154815</v>
      </c>
      <c r="AW66" s="20">
        <v>154815</v>
      </c>
      <c r="AX66" s="20">
        <v>154815</v>
      </c>
      <c r="AY66" s="20">
        <v>154815</v>
      </c>
      <c r="AZ66" s="20">
        <v>154815</v>
      </c>
      <c r="BA66" s="20">
        <v>95707</v>
      </c>
      <c r="BB66" s="20">
        <f t="shared" si="91"/>
        <v>95707</v>
      </c>
      <c r="BC66" s="20">
        <v>101075</v>
      </c>
      <c r="BD66" s="20">
        <v>101075</v>
      </c>
      <c r="BE66" s="20">
        <v>101075</v>
      </c>
      <c r="BF66" s="20">
        <v>101075</v>
      </c>
      <c r="BG66" s="20">
        <v>160183</v>
      </c>
      <c r="BH66" s="20">
        <v>160183</v>
      </c>
      <c r="BI66" s="20">
        <v>145935</v>
      </c>
      <c r="BJ66" s="20">
        <v>165021</v>
      </c>
      <c r="BK66" s="20">
        <v>165021</v>
      </c>
      <c r="BL66" s="20">
        <v>290395</v>
      </c>
      <c r="BM66" s="20">
        <v>290395</v>
      </c>
      <c r="BN66" s="20">
        <v>304643</v>
      </c>
      <c r="BO66" s="20">
        <f t="shared" si="92"/>
        <v>304643</v>
      </c>
      <c r="BP66" s="20">
        <v>111887</v>
      </c>
      <c r="BQ66" s="20">
        <v>111887</v>
      </c>
      <c r="BR66" s="20">
        <v>111887</v>
      </c>
      <c r="BS66" s="20">
        <v>111887</v>
      </c>
      <c r="BT66" s="20">
        <v>111887</v>
      </c>
      <c r="BU66" s="20">
        <v>111887</v>
      </c>
      <c r="BV66" s="20">
        <v>111887</v>
      </c>
      <c r="BW66" s="20">
        <v>111887</v>
      </c>
      <c r="BX66" s="20">
        <v>111887</v>
      </c>
      <c r="BY66" s="20">
        <v>111887</v>
      </c>
      <c r="BZ66" s="20">
        <v>111887</v>
      </c>
      <c r="CA66" s="20">
        <v>111887</v>
      </c>
      <c r="CB66" s="20">
        <f t="shared" si="93"/>
        <v>111887</v>
      </c>
      <c r="CC66" s="20">
        <v>185782</v>
      </c>
      <c r="CD66" s="20">
        <v>185782</v>
      </c>
      <c r="CE66" s="20">
        <v>185782</v>
      </c>
      <c r="CF66" s="20">
        <v>159768</v>
      </c>
      <c r="CG66" s="20">
        <v>107382</v>
      </c>
      <c r="CH66" s="20">
        <v>107382</v>
      </c>
      <c r="CI66" s="20">
        <v>107382</v>
      </c>
      <c r="CJ66" s="20">
        <v>107382</v>
      </c>
      <c r="CK66" s="20">
        <v>107382</v>
      </c>
      <c r="CL66" s="20">
        <v>107382</v>
      </c>
      <c r="CM66" s="20">
        <v>107382</v>
      </c>
      <c r="CN66" s="20">
        <v>107382</v>
      </c>
      <c r="CO66" s="20">
        <f t="shared" si="94"/>
        <v>107382</v>
      </c>
      <c r="CP66" s="20">
        <v>107372</v>
      </c>
      <c r="CQ66" s="20">
        <v>107372</v>
      </c>
      <c r="CR66" s="20">
        <v>107372</v>
      </c>
      <c r="CS66" s="20">
        <v>107372</v>
      </c>
      <c r="CT66" s="20">
        <v>107372</v>
      </c>
      <c r="CU66" s="20">
        <v>107372</v>
      </c>
      <c r="CV66" s="20">
        <v>107372</v>
      </c>
      <c r="CW66" s="20">
        <v>107372</v>
      </c>
      <c r="CX66" s="20">
        <v>107372</v>
      </c>
      <c r="CY66" s="20">
        <v>107372</v>
      </c>
      <c r="CZ66" s="20">
        <v>107372</v>
      </c>
      <c r="DA66" s="20">
        <v>107372</v>
      </c>
      <c r="DB66" s="20">
        <f t="shared" si="95"/>
        <v>107372</v>
      </c>
      <c r="DC66" s="20">
        <v>169485</v>
      </c>
      <c r="DD66" s="20">
        <v>169485</v>
      </c>
      <c r="DE66" s="20">
        <v>169485</v>
      </c>
      <c r="DF66" s="20">
        <v>169485</v>
      </c>
      <c r="DG66" s="20">
        <v>169485</v>
      </c>
      <c r="DH66" s="20">
        <v>169485</v>
      </c>
      <c r="DI66" s="20">
        <v>169485</v>
      </c>
      <c r="DJ66" s="20">
        <v>169485</v>
      </c>
      <c r="DK66" s="20">
        <v>169485</v>
      </c>
      <c r="DL66" s="20">
        <v>395850</v>
      </c>
      <c r="DM66" s="20">
        <v>395850</v>
      </c>
      <c r="DN66" s="20">
        <v>395850</v>
      </c>
      <c r="DO66" s="20">
        <f t="shared" si="96"/>
        <v>395850</v>
      </c>
      <c r="DP66" s="20">
        <v>556957</v>
      </c>
      <c r="DQ66" s="20">
        <v>556957</v>
      </c>
      <c r="DR66" s="20">
        <v>556957</v>
      </c>
      <c r="DS66" s="20">
        <v>556957</v>
      </c>
      <c r="DT66" s="20">
        <v>556957</v>
      </c>
      <c r="DU66" s="20">
        <v>556957</v>
      </c>
      <c r="DV66" s="20">
        <v>556957</v>
      </c>
      <c r="DW66" s="20">
        <v>556957</v>
      </c>
      <c r="DX66" s="20">
        <v>556957</v>
      </c>
      <c r="DY66" s="20">
        <v>556957</v>
      </c>
      <c r="DZ66" s="20">
        <v>556957</v>
      </c>
      <c r="EA66" s="20">
        <v>556957</v>
      </c>
      <c r="EB66" s="20">
        <f t="shared" si="97"/>
        <v>556957</v>
      </c>
      <c r="EC66" s="20">
        <v>615757</v>
      </c>
      <c r="ED66" s="20">
        <v>615757</v>
      </c>
      <c r="EE66" s="20">
        <v>615757</v>
      </c>
      <c r="EF66" s="20">
        <v>615757</v>
      </c>
      <c r="EG66" s="20">
        <v>615757</v>
      </c>
      <c r="EH66" s="20">
        <v>615757</v>
      </c>
      <c r="EI66" s="20">
        <v>615757</v>
      </c>
      <c r="EJ66" s="20">
        <v>632257</v>
      </c>
      <c r="EK66" s="20">
        <v>632257</v>
      </c>
      <c r="EL66" s="20">
        <v>632257</v>
      </c>
      <c r="EM66" s="20">
        <v>632257</v>
      </c>
      <c r="EN66" s="20">
        <v>632257</v>
      </c>
      <c r="EO66" s="20">
        <f t="shared" si="98"/>
        <v>632257</v>
      </c>
      <c r="EP66" s="20">
        <v>527858</v>
      </c>
      <c r="EQ66" s="20">
        <v>527858</v>
      </c>
      <c r="ER66" s="20">
        <v>527858</v>
      </c>
      <c r="ES66" s="20">
        <v>527858</v>
      </c>
      <c r="ET66" s="20">
        <v>527858</v>
      </c>
      <c r="EU66" s="20">
        <v>527858</v>
      </c>
      <c r="EV66" s="20">
        <v>527858</v>
      </c>
      <c r="EW66" s="20">
        <v>527858</v>
      </c>
      <c r="EX66" s="20">
        <v>527858</v>
      </c>
      <c r="EY66" s="20">
        <v>527858</v>
      </c>
      <c r="EZ66" s="20">
        <v>527858</v>
      </c>
      <c r="FA66" s="20">
        <v>527858</v>
      </c>
      <c r="FB66" s="20">
        <f t="shared" si="99"/>
        <v>527858</v>
      </c>
      <c r="FC66" s="20">
        <v>392933</v>
      </c>
      <c r="FD66" s="20">
        <v>392933</v>
      </c>
      <c r="FE66" s="20">
        <v>392933</v>
      </c>
      <c r="FF66" s="20">
        <v>392933</v>
      </c>
      <c r="FG66" s="20">
        <v>381145</v>
      </c>
      <c r="FH66" s="20">
        <v>381145</v>
      </c>
      <c r="FI66" s="20">
        <v>381145</v>
      </c>
      <c r="FJ66" s="10"/>
      <c r="FK66" s="10"/>
      <c r="FL66" s="10"/>
      <c r="FM66" s="10"/>
      <c r="FN66" s="10"/>
      <c r="FO66" s="20">
        <f t="shared" si="100"/>
        <v>381145</v>
      </c>
    </row>
    <row r="67" spans="1:171" ht="21.75" customHeight="1">
      <c r="A67" s="10"/>
      <c r="B67" s="15" t="s">
        <v>49</v>
      </c>
      <c r="C67" s="38">
        <f t="shared" ref="C67:AH67" si="101">SUM(C61:C66)</f>
        <v>3877230</v>
      </c>
      <c r="D67" s="38">
        <f t="shared" si="101"/>
        <v>3877230</v>
      </c>
      <c r="E67" s="38">
        <f t="shared" si="101"/>
        <v>3877230</v>
      </c>
      <c r="F67" s="38">
        <f t="shared" si="101"/>
        <v>3877230</v>
      </c>
      <c r="G67" s="38">
        <f t="shared" si="101"/>
        <v>3928449</v>
      </c>
      <c r="H67" s="38">
        <f t="shared" si="101"/>
        <v>14578415</v>
      </c>
      <c r="I67" s="38">
        <f t="shared" si="101"/>
        <v>17738415</v>
      </c>
      <c r="J67" s="38">
        <f t="shared" si="101"/>
        <v>17738415</v>
      </c>
      <c r="K67" s="38">
        <f t="shared" si="101"/>
        <v>17738415</v>
      </c>
      <c r="L67" s="38">
        <f t="shared" si="101"/>
        <v>19238415</v>
      </c>
      <c r="M67" s="38">
        <f t="shared" si="101"/>
        <v>19599579</v>
      </c>
      <c r="N67" s="38">
        <f t="shared" si="101"/>
        <v>13731821</v>
      </c>
      <c r="O67" s="38">
        <f t="shared" si="101"/>
        <v>13731821</v>
      </c>
      <c r="P67" s="38">
        <f t="shared" si="101"/>
        <v>4347325</v>
      </c>
      <c r="Q67" s="38">
        <f t="shared" si="101"/>
        <v>4347325</v>
      </c>
      <c r="R67" s="38">
        <f t="shared" si="101"/>
        <v>10701947</v>
      </c>
      <c r="S67" s="38">
        <f t="shared" si="101"/>
        <v>10701947</v>
      </c>
      <c r="T67" s="38">
        <f t="shared" si="101"/>
        <v>11236947</v>
      </c>
      <c r="U67" s="38">
        <f t="shared" si="101"/>
        <v>11236947</v>
      </c>
      <c r="V67" s="38">
        <f t="shared" si="101"/>
        <v>11336947</v>
      </c>
      <c r="W67" s="38">
        <f t="shared" si="101"/>
        <v>11336947</v>
      </c>
      <c r="X67" s="38">
        <f t="shared" si="101"/>
        <v>11536947</v>
      </c>
      <c r="Y67" s="38">
        <f t="shared" si="101"/>
        <v>11536947</v>
      </c>
      <c r="Z67" s="38">
        <f t="shared" si="101"/>
        <v>14907747</v>
      </c>
      <c r="AA67" s="38">
        <f t="shared" si="101"/>
        <v>15217747</v>
      </c>
      <c r="AB67" s="38">
        <f t="shared" si="101"/>
        <v>15217747</v>
      </c>
      <c r="AC67" s="38">
        <f t="shared" si="101"/>
        <v>8581177</v>
      </c>
      <c r="AD67" s="38">
        <f t="shared" si="101"/>
        <v>8581177</v>
      </c>
      <c r="AE67" s="38">
        <f t="shared" si="101"/>
        <v>8581177</v>
      </c>
      <c r="AF67" s="38">
        <f t="shared" si="101"/>
        <v>8420177</v>
      </c>
      <c r="AG67" s="38">
        <f t="shared" si="101"/>
        <v>8420177</v>
      </c>
      <c r="AH67" s="38">
        <f t="shared" si="101"/>
        <v>8994177</v>
      </c>
      <c r="AI67" s="38">
        <f t="shared" ref="AI67:BN67" si="102">SUM(AI61:AI66)</f>
        <v>8994177</v>
      </c>
      <c r="AJ67" s="38">
        <f t="shared" si="102"/>
        <v>8994177</v>
      </c>
      <c r="AK67" s="38">
        <f t="shared" si="102"/>
        <v>8994177</v>
      </c>
      <c r="AL67" s="38">
        <f t="shared" si="102"/>
        <v>9456177</v>
      </c>
      <c r="AM67" s="38">
        <f t="shared" si="102"/>
        <v>9549177</v>
      </c>
      <c r="AN67" s="38">
        <f t="shared" si="102"/>
        <v>8283048</v>
      </c>
      <c r="AO67" s="38">
        <f t="shared" si="102"/>
        <v>8283048</v>
      </c>
      <c r="AP67" s="38">
        <f t="shared" si="102"/>
        <v>6119602</v>
      </c>
      <c r="AQ67" s="38">
        <f t="shared" si="102"/>
        <v>6119602</v>
      </c>
      <c r="AR67" s="38">
        <f t="shared" si="102"/>
        <v>6405617</v>
      </c>
      <c r="AS67" s="38">
        <f t="shared" si="102"/>
        <v>6405617</v>
      </c>
      <c r="AT67" s="38">
        <f t="shared" si="102"/>
        <v>6605617</v>
      </c>
      <c r="AU67" s="38">
        <f t="shared" si="102"/>
        <v>23096425</v>
      </c>
      <c r="AV67" s="38">
        <f t="shared" si="102"/>
        <v>23312325</v>
      </c>
      <c r="AW67" s="38">
        <f t="shared" si="102"/>
        <v>23793825</v>
      </c>
      <c r="AX67" s="38">
        <f t="shared" si="102"/>
        <v>23802425</v>
      </c>
      <c r="AY67" s="38">
        <f t="shared" si="102"/>
        <v>24610805</v>
      </c>
      <c r="AZ67" s="38">
        <f t="shared" si="102"/>
        <v>24626805</v>
      </c>
      <c r="BA67" s="38">
        <f t="shared" si="102"/>
        <v>20452609</v>
      </c>
      <c r="BB67" s="38">
        <f t="shared" si="102"/>
        <v>20452609</v>
      </c>
      <c r="BC67" s="38">
        <f t="shared" si="102"/>
        <v>4540783</v>
      </c>
      <c r="BD67" s="38">
        <f t="shared" si="102"/>
        <v>4540783</v>
      </c>
      <c r="BE67" s="38">
        <f t="shared" si="102"/>
        <v>10485867</v>
      </c>
      <c r="BF67" s="38">
        <f t="shared" si="102"/>
        <v>10485867</v>
      </c>
      <c r="BG67" s="38">
        <f t="shared" si="102"/>
        <v>10860166</v>
      </c>
      <c r="BH67" s="38">
        <f t="shared" si="102"/>
        <v>10860166</v>
      </c>
      <c r="BI67" s="38">
        <f t="shared" si="102"/>
        <v>10126887</v>
      </c>
      <c r="BJ67" s="38">
        <f t="shared" si="102"/>
        <v>10190607</v>
      </c>
      <c r="BK67" s="38">
        <f t="shared" si="102"/>
        <v>10190607</v>
      </c>
      <c r="BL67" s="38">
        <f t="shared" si="102"/>
        <v>10330981</v>
      </c>
      <c r="BM67" s="38">
        <f t="shared" si="102"/>
        <v>10795232</v>
      </c>
      <c r="BN67" s="38">
        <f t="shared" si="102"/>
        <v>14406619</v>
      </c>
      <c r="BO67" s="38">
        <f t="shared" ref="BO67:CT67" si="103">SUM(BO61:BO66)</f>
        <v>14406619</v>
      </c>
      <c r="BP67" s="38">
        <f t="shared" si="103"/>
        <v>4571556</v>
      </c>
      <c r="BQ67" s="38">
        <f t="shared" si="103"/>
        <v>4571556</v>
      </c>
      <c r="BR67" s="38">
        <f t="shared" si="103"/>
        <v>4521556</v>
      </c>
      <c r="BS67" s="38">
        <f t="shared" si="103"/>
        <v>4590356</v>
      </c>
      <c r="BT67" s="38">
        <f t="shared" si="103"/>
        <v>4590356</v>
      </c>
      <c r="BU67" s="38">
        <f t="shared" si="103"/>
        <v>9422356</v>
      </c>
      <c r="BV67" s="38">
        <f t="shared" si="103"/>
        <v>9456606</v>
      </c>
      <c r="BW67" s="38">
        <f t="shared" si="103"/>
        <v>9553376</v>
      </c>
      <c r="BX67" s="38">
        <f t="shared" si="103"/>
        <v>9553376</v>
      </c>
      <c r="BY67" s="38">
        <f t="shared" si="103"/>
        <v>9553376</v>
      </c>
      <c r="BZ67" s="38">
        <f t="shared" si="103"/>
        <v>9553376</v>
      </c>
      <c r="CA67" s="38">
        <f t="shared" si="103"/>
        <v>8652624</v>
      </c>
      <c r="CB67" s="38">
        <f t="shared" si="103"/>
        <v>8652624</v>
      </c>
      <c r="CC67" s="38">
        <f t="shared" si="103"/>
        <v>4845816</v>
      </c>
      <c r="CD67" s="38">
        <f t="shared" si="103"/>
        <v>4845816</v>
      </c>
      <c r="CE67" s="38">
        <f t="shared" si="103"/>
        <v>4845816</v>
      </c>
      <c r="CF67" s="38">
        <f t="shared" si="103"/>
        <v>3302818</v>
      </c>
      <c r="CG67" s="38">
        <f t="shared" si="103"/>
        <v>2771691</v>
      </c>
      <c r="CH67" s="38">
        <f t="shared" si="103"/>
        <v>2771691</v>
      </c>
      <c r="CI67" s="38">
        <f t="shared" si="103"/>
        <v>3305691</v>
      </c>
      <c r="CJ67" s="38">
        <f t="shared" si="103"/>
        <v>3305691</v>
      </c>
      <c r="CK67" s="38">
        <f t="shared" si="103"/>
        <v>3305691</v>
      </c>
      <c r="CL67" s="38">
        <f t="shared" si="103"/>
        <v>10307324</v>
      </c>
      <c r="CM67" s="38">
        <f t="shared" si="103"/>
        <v>11421855</v>
      </c>
      <c r="CN67" s="38">
        <f t="shared" si="103"/>
        <v>10170826</v>
      </c>
      <c r="CO67" s="38">
        <f t="shared" si="103"/>
        <v>10170826</v>
      </c>
      <c r="CP67" s="38">
        <f t="shared" si="103"/>
        <v>5333082</v>
      </c>
      <c r="CQ67" s="38">
        <f t="shared" si="103"/>
        <v>5333082</v>
      </c>
      <c r="CR67" s="38">
        <f t="shared" si="103"/>
        <v>7300660</v>
      </c>
      <c r="CS67" s="38">
        <f t="shared" si="103"/>
        <v>8111660</v>
      </c>
      <c r="CT67" s="38">
        <f t="shared" si="103"/>
        <v>8111660</v>
      </c>
      <c r="CU67" s="38">
        <f t="shared" ref="CU67:DZ67" si="104">SUM(CU61:CU66)</f>
        <v>8133660</v>
      </c>
      <c r="CV67" s="38">
        <f t="shared" si="104"/>
        <v>8133660</v>
      </c>
      <c r="CW67" s="38">
        <f t="shared" si="104"/>
        <v>8234830</v>
      </c>
      <c r="CX67" s="38">
        <f t="shared" si="104"/>
        <v>8234830</v>
      </c>
      <c r="CY67" s="38">
        <f t="shared" si="104"/>
        <v>8234830</v>
      </c>
      <c r="CZ67" s="38">
        <f t="shared" si="104"/>
        <v>8327830</v>
      </c>
      <c r="DA67" s="38">
        <f t="shared" si="104"/>
        <v>6385431</v>
      </c>
      <c r="DB67" s="38">
        <f t="shared" si="104"/>
        <v>6385431</v>
      </c>
      <c r="DC67" s="38">
        <f t="shared" si="104"/>
        <v>2452676</v>
      </c>
      <c r="DD67" s="38">
        <f t="shared" si="104"/>
        <v>2452676</v>
      </c>
      <c r="DE67" s="38">
        <f t="shared" si="104"/>
        <v>2452676</v>
      </c>
      <c r="DF67" s="38">
        <f t="shared" si="104"/>
        <v>2452676</v>
      </c>
      <c r="DG67" s="38">
        <f t="shared" si="104"/>
        <v>4134715</v>
      </c>
      <c r="DH67" s="38">
        <f t="shared" si="104"/>
        <v>4134715</v>
      </c>
      <c r="DI67" s="38">
        <f t="shared" si="104"/>
        <v>4134715</v>
      </c>
      <c r="DJ67" s="38">
        <f t="shared" si="104"/>
        <v>4134715</v>
      </c>
      <c r="DK67" s="38">
        <f t="shared" si="104"/>
        <v>15016887</v>
      </c>
      <c r="DL67" s="38">
        <f t="shared" si="104"/>
        <v>15766943</v>
      </c>
      <c r="DM67" s="38">
        <f t="shared" si="104"/>
        <v>15946430</v>
      </c>
      <c r="DN67" s="38">
        <f t="shared" si="104"/>
        <v>12156700</v>
      </c>
      <c r="DO67" s="38">
        <f t="shared" si="104"/>
        <v>12156700</v>
      </c>
      <c r="DP67" s="38">
        <f t="shared" si="104"/>
        <v>25971266</v>
      </c>
      <c r="DQ67" s="38">
        <f t="shared" si="104"/>
        <v>25971266</v>
      </c>
      <c r="DR67" s="38">
        <f t="shared" si="104"/>
        <v>25971266</v>
      </c>
      <c r="DS67" s="38">
        <f t="shared" si="104"/>
        <v>45929452</v>
      </c>
      <c r="DT67" s="38">
        <f t="shared" si="104"/>
        <v>46163322</v>
      </c>
      <c r="DU67" s="38">
        <f t="shared" si="104"/>
        <v>46163322</v>
      </c>
      <c r="DV67" s="38">
        <f t="shared" si="104"/>
        <v>46163322</v>
      </c>
      <c r="DW67" s="38">
        <f t="shared" si="104"/>
        <v>46163322</v>
      </c>
      <c r="DX67" s="38">
        <f t="shared" si="104"/>
        <v>48580162</v>
      </c>
      <c r="DY67" s="38">
        <f t="shared" si="104"/>
        <v>48580162</v>
      </c>
      <c r="DZ67" s="38">
        <f t="shared" si="104"/>
        <v>48580162</v>
      </c>
      <c r="EA67" s="38">
        <f t="shared" ref="EA67:FF67" si="105">SUM(EA61:EA66)</f>
        <v>9794026</v>
      </c>
      <c r="EB67" s="38">
        <f t="shared" si="105"/>
        <v>9794026</v>
      </c>
      <c r="EC67" s="38">
        <f t="shared" si="105"/>
        <v>8648312</v>
      </c>
      <c r="ED67" s="38">
        <f t="shared" si="105"/>
        <v>8648312</v>
      </c>
      <c r="EE67" s="38">
        <f t="shared" si="105"/>
        <v>8648312</v>
      </c>
      <c r="EF67" s="38">
        <f t="shared" si="105"/>
        <v>10475800</v>
      </c>
      <c r="EG67" s="38">
        <f t="shared" si="105"/>
        <v>10561251</v>
      </c>
      <c r="EH67" s="38">
        <f t="shared" si="105"/>
        <v>10561251</v>
      </c>
      <c r="EI67" s="38">
        <f t="shared" si="105"/>
        <v>10561251</v>
      </c>
      <c r="EJ67" s="38">
        <f t="shared" si="105"/>
        <v>10577751</v>
      </c>
      <c r="EK67" s="38">
        <f t="shared" si="105"/>
        <v>10431651</v>
      </c>
      <c r="EL67" s="38">
        <f t="shared" si="105"/>
        <v>10431651</v>
      </c>
      <c r="EM67" s="38">
        <f t="shared" si="105"/>
        <v>7156495</v>
      </c>
      <c r="EN67" s="38">
        <f t="shared" si="105"/>
        <v>7047523</v>
      </c>
      <c r="EO67" s="38">
        <f t="shared" si="105"/>
        <v>7047523</v>
      </c>
      <c r="EP67" s="38">
        <f t="shared" si="105"/>
        <v>12581277</v>
      </c>
      <c r="EQ67" s="38">
        <f t="shared" si="105"/>
        <v>12581277</v>
      </c>
      <c r="ER67" s="38">
        <f t="shared" si="105"/>
        <v>12581277</v>
      </c>
      <c r="ES67" s="38">
        <f t="shared" si="105"/>
        <v>12715277</v>
      </c>
      <c r="ET67" s="38">
        <f t="shared" si="105"/>
        <v>12715277</v>
      </c>
      <c r="EU67" s="38">
        <f t="shared" si="105"/>
        <v>12715277</v>
      </c>
      <c r="EV67" s="38">
        <f t="shared" si="105"/>
        <v>12715277</v>
      </c>
      <c r="EW67" s="38">
        <f t="shared" si="105"/>
        <v>12715277</v>
      </c>
      <c r="EX67" s="38">
        <f t="shared" si="105"/>
        <v>10927277</v>
      </c>
      <c r="EY67" s="38">
        <f t="shared" si="105"/>
        <v>10927277</v>
      </c>
      <c r="EZ67" s="38">
        <f t="shared" si="105"/>
        <v>10927277</v>
      </c>
      <c r="FA67" s="38">
        <f t="shared" si="105"/>
        <v>6182607</v>
      </c>
      <c r="FB67" s="38">
        <f t="shared" si="105"/>
        <v>6182607</v>
      </c>
      <c r="FC67" s="38">
        <f t="shared" si="105"/>
        <v>5203817</v>
      </c>
      <c r="FD67" s="38">
        <f t="shared" si="105"/>
        <v>5203817</v>
      </c>
      <c r="FE67" s="38">
        <f t="shared" si="105"/>
        <v>5723817</v>
      </c>
      <c r="FF67" s="38">
        <f t="shared" si="105"/>
        <v>5723817</v>
      </c>
      <c r="FG67" s="38">
        <f t="shared" ref="FG67:GL67" si="106">SUM(FG61:FG66)</f>
        <v>5302701</v>
      </c>
      <c r="FH67" s="38">
        <f t="shared" si="106"/>
        <v>5302701</v>
      </c>
      <c r="FI67" s="38">
        <f t="shared" si="106"/>
        <v>5302701</v>
      </c>
      <c r="FJ67" s="38">
        <f t="shared" si="106"/>
        <v>0</v>
      </c>
      <c r="FK67" s="38">
        <f t="shared" si="106"/>
        <v>0</v>
      </c>
      <c r="FL67" s="38">
        <f t="shared" si="106"/>
        <v>0</v>
      </c>
      <c r="FM67" s="38">
        <f t="shared" si="106"/>
        <v>0</v>
      </c>
      <c r="FN67" s="38">
        <f t="shared" si="106"/>
        <v>0</v>
      </c>
      <c r="FO67" s="38">
        <f t="shared" si="106"/>
        <v>5302701</v>
      </c>
    </row>
    <row r="68" spans="1:171" ht="14.25" customHeight="1">
      <c r="A68" s="10"/>
      <c r="B68" s="18" t="s">
        <v>54</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row>
    <row r="69" spans="1:171"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row>
    <row r="70" spans="1:171" ht="15.75" customHeight="1">
      <c r="A70" s="10"/>
      <c r="B70" s="104" t="s">
        <v>60</v>
      </c>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5"/>
      <c r="CG70" s="105"/>
      <c r="CH70" s="105"/>
      <c r="CI70" s="105"/>
      <c r="CJ70" s="105"/>
      <c r="CK70" s="105"/>
      <c r="CL70" s="105"/>
      <c r="CM70" s="105"/>
      <c r="CN70" s="105"/>
      <c r="CO70" s="105"/>
      <c r="CP70" s="105"/>
      <c r="CQ70" s="105"/>
      <c r="CR70" s="105"/>
      <c r="CS70" s="105"/>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5"/>
      <c r="DY70" s="105"/>
      <c r="DZ70" s="105"/>
      <c r="EA70" s="105"/>
      <c r="EB70" s="105"/>
      <c r="EC70" s="105"/>
      <c r="ED70" s="105"/>
      <c r="EE70" s="105"/>
      <c r="EF70" s="105"/>
      <c r="EG70" s="105"/>
      <c r="EH70" s="105"/>
      <c r="EI70" s="105"/>
      <c r="EJ70" s="105"/>
      <c r="EK70" s="105"/>
      <c r="EL70" s="105"/>
      <c r="EM70" s="105"/>
      <c r="EN70" s="105"/>
      <c r="EO70" s="105"/>
      <c r="EP70" s="105"/>
      <c r="EQ70" s="105"/>
      <c r="ER70" s="105"/>
      <c r="ES70" s="105"/>
      <c r="ET70" s="105"/>
      <c r="EU70" s="105"/>
      <c r="EV70" s="105"/>
      <c r="EW70" s="105"/>
      <c r="EX70" s="105"/>
      <c r="EY70" s="105"/>
      <c r="EZ70" s="105"/>
      <c r="FA70" s="105"/>
      <c r="FB70" s="105"/>
      <c r="FC70" s="105"/>
      <c r="FD70" s="105"/>
      <c r="FE70" s="105"/>
      <c r="FF70" s="105"/>
      <c r="FG70" s="105"/>
      <c r="FH70" s="105"/>
      <c r="FI70" s="105"/>
      <c r="FJ70" s="105"/>
      <c r="FK70" s="105"/>
      <c r="FL70" s="105"/>
      <c r="FM70" s="105"/>
      <c r="FN70" s="105"/>
      <c r="FO70" s="105"/>
    </row>
    <row r="71" spans="1:171" ht="21.75" customHeight="1">
      <c r="A71" s="10"/>
      <c r="B71" s="14"/>
      <c r="C71" s="102" t="s">
        <v>4</v>
      </c>
      <c r="D71" s="103"/>
      <c r="E71" s="103"/>
      <c r="F71" s="103"/>
      <c r="G71" s="103"/>
      <c r="H71" s="103"/>
      <c r="I71" s="103"/>
      <c r="J71" s="103"/>
      <c r="K71" s="103"/>
      <c r="L71" s="103"/>
      <c r="M71" s="103"/>
      <c r="N71" s="103"/>
      <c r="O71" s="103"/>
      <c r="P71" s="102" t="s">
        <v>5</v>
      </c>
      <c r="Q71" s="103"/>
      <c r="R71" s="103"/>
      <c r="S71" s="103"/>
      <c r="T71" s="103"/>
      <c r="U71" s="103"/>
      <c r="V71" s="103"/>
      <c r="W71" s="103"/>
      <c r="X71" s="103"/>
      <c r="Y71" s="103"/>
      <c r="Z71" s="103"/>
      <c r="AA71" s="103"/>
      <c r="AB71" s="103"/>
      <c r="AC71" s="102" t="s">
        <v>6</v>
      </c>
      <c r="AD71" s="103"/>
      <c r="AE71" s="103"/>
      <c r="AF71" s="103"/>
      <c r="AG71" s="103"/>
      <c r="AH71" s="103"/>
      <c r="AI71" s="103"/>
      <c r="AJ71" s="103"/>
      <c r="AK71" s="103"/>
      <c r="AL71" s="103"/>
      <c r="AM71" s="103"/>
      <c r="AN71" s="103"/>
      <c r="AO71" s="103"/>
      <c r="AP71" s="102" t="s">
        <v>7</v>
      </c>
      <c r="AQ71" s="103"/>
      <c r="AR71" s="103"/>
      <c r="AS71" s="103"/>
      <c r="AT71" s="103"/>
      <c r="AU71" s="103"/>
      <c r="AV71" s="103"/>
      <c r="AW71" s="103"/>
      <c r="AX71" s="103"/>
      <c r="AY71" s="103"/>
      <c r="AZ71" s="103"/>
      <c r="BA71" s="103"/>
      <c r="BB71" s="103"/>
      <c r="BC71" s="102" t="s">
        <v>8</v>
      </c>
      <c r="BD71" s="103"/>
      <c r="BE71" s="103"/>
      <c r="BF71" s="103"/>
      <c r="BG71" s="103"/>
      <c r="BH71" s="103"/>
      <c r="BI71" s="103"/>
      <c r="BJ71" s="103"/>
      <c r="BK71" s="103"/>
      <c r="BL71" s="103"/>
      <c r="BM71" s="103"/>
      <c r="BN71" s="103"/>
      <c r="BO71" s="103"/>
      <c r="BP71" s="102" t="s">
        <v>9</v>
      </c>
      <c r="BQ71" s="103"/>
      <c r="BR71" s="103"/>
      <c r="BS71" s="103"/>
      <c r="BT71" s="103"/>
      <c r="BU71" s="103"/>
      <c r="BV71" s="103"/>
      <c r="BW71" s="103"/>
      <c r="BX71" s="103"/>
      <c r="BY71" s="103"/>
      <c r="BZ71" s="103"/>
      <c r="CA71" s="103"/>
      <c r="CB71" s="103"/>
      <c r="CC71" s="102" t="s">
        <v>10</v>
      </c>
      <c r="CD71" s="103"/>
      <c r="CE71" s="103"/>
      <c r="CF71" s="103"/>
      <c r="CG71" s="103"/>
      <c r="CH71" s="103"/>
      <c r="CI71" s="103"/>
      <c r="CJ71" s="103"/>
      <c r="CK71" s="103"/>
      <c r="CL71" s="103"/>
      <c r="CM71" s="103"/>
      <c r="CN71" s="103"/>
      <c r="CO71" s="103"/>
      <c r="CP71" s="102" t="s">
        <v>57</v>
      </c>
      <c r="CQ71" s="103"/>
      <c r="CR71" s="103"/>
      <c r="CS71" s="103"/>
      <c r="CT71" s="103"/>
      <c r="CU71" s="103"/>
      <c r="CV71" s="103"/>
      <c r="CW71" s="103"/>
      <c r="CX71" s="103"/>
      <c r="CY71" s="103"/>
      <c r="CZ71" s="103"/>
      <c r="DA71" s="103"/>
      <c r="DB71" s="103"/>
      <c r="DC71" s="102" t="s">
        <v>58</v>
      </c>
      <c r="DD71" s="103"/>
      <c r="DE71" s="103"/>
      <c r="DF71" s="103"/>
      <c r="DG71" s="103"/>
      <c r="DH71" s="103"/>
      <c r="DI71" s="103"/>
      <c r="DJ71" s="103"/>
      <c r="DK71" s="103"/>
      <c r="DL71" s="103"/>
      <c r="DM71" s="103"/>
      <c r="DN71" s="103"/>
      <c r="DO71" s="103"/>
      <c r="DP71" s="102" t="s">
        <v>13</v>
      </c>
      <c r="DQ71" s="103"/>
      <c r="DR71" s="103"/>
      <c r="DS71" s="103"/>
      <c r="DT71" s="103"/>
      <c r="DU71" s="103"/>
      <c r="DV71" s="103"/>
      <c r="DW71" s="103"/>
      <c r="DX71" s="103"/>
      <c r="DY71" s="103"/>
      <c r="DZ71" s="103"/>
      <c r="EA71" s="103"/>
      <c r="EB71" s="103"/>
      <c r="EC71" s="102" t="s">
        <v>14</v>
      </c>
      <c r="ED71" s="103"/>
      <c r="EE71" s="103"/>
      <c r="EF71" s="103"/>
      <c r="EG71" s="103"/>
      <c r="EH71" s="103"/>
      <c r="EI71" s="103"/>
      <c r="EJ71" s="103"/>
      <c r="EK71" s="103"/>
      <c r="EL71" s="103"/>
      <c r="EM71" s="103"/>
      <c r="EN71" s="103"/>
      <c r="EO71" s="103"/>
      <c r="EP71" s="102" t="s">
        <v>15</v>
      </c>
      <c r="EQ71" s="103"/>
      <c r="ER71" s="103"/>
      <c r="ES71" s="103"/>
      <c r="ET71" s="103"/>
      <c r="EU71" s="103"/>
      <c r="EV71" s="103"/>
      <c r="EW71" s="103"/>
      <c r="EX71" s="103"/>
      <c r="EY71" s="103"/>
      <c r="EZ71" s="103"/>
      <c r="FA71" s="103"/>
      <c r="FB71" s="103"/>
      <c r="FC71" s="102" t="s">
        <v>16</v>
      </c>
      <c r="FD71" s="103"/>
      <c r="FE71" s="103"/>
      <c r="FF71" s="103"/>
      <c r="FG71" s="103"/>
      <c r="FH71" s="103"/>
      <c r="FI71" s="103"/>
      <c r="FJ71" s="103"/>
      <c r="FK71" s="103"/>
      <c r="FL71" s="103"/>
      <c r="FM71" s="103"/>
      <c r="FN71" s="103"/>
      <c r="FO71" s="103"/>
    </row>
    <row r="72" spans="1:171" ht="27.75" customHeight="1">
      <c r="A72" s="10"/>
      <c r="B72" s="15" t="s">
        <v>17</v>
      </c>
      <c r="C72" s="16" t="s">
        <v>18</v>
      </c>
      <c r="D72" s="16" t="s">
        <v>19</v>
      </c>
      <c r="E72" s="16" t="s">
        <v>20</v>
      </c>
      <c r="F72" s="16" t="s">
        <v>21</v>
      </c>
      <c r="G72" s="16" t="s">
        <v>22</v>
      </c>
      <c r="H72" s="16" t="s">
        <v>23</v>
      </c>
      <c r="I72" s="16" t="s">
        <v>24</v>
      </c>
      <c r="J72" s="16" t="s">
        <v>25</v>
      </c>
      <c r="K72" s="16" t="s">
        <v>26</v>
      </c>
      <c r="L72" s="16" t="s">
        <v>27</v>
      </c>
      <c r="M72" s="16" t="s">
        <v>28</v>
      </c>
      <c r="N72" s="16" t="s">
        <v>29</v>
      </c>
      <c r="O72" s="16" t="s">
        <v>30</v>
      </c>
      <c r="P72" s="16" t="s">
        <v>18</v>
      </c>
      <c r="Q72" s="16" t="s">
        <v>19</v>
      </c>
      <c r="R72" s="16" t="s">
        <v>20</v>
      </c>
      <c r="S72" s="16" t="s">
        <v>21</v>
      </c>
      <c r="T72" s="16" t="s">
        <v>22</v>
      </c>
      <c r="U72" s="16" t="s">
        <v>23</v>
      </c>
      <c r="V72" s="16" t="s">
        <v>24</v>
      </c>
      <c r="W72" s="16" t="s">
        <v>25</v>
      </c>
      <c r="X72" s="16" t="s">
        <v>26</v>
      </c>
      <c r="Y72" s="16" t="s">
        <v>27</v>
      </c>
      <c r="Z72" s="16" t="s">
        <v>28</v>
      </c>
      <c r="AA72" s="16" t="s">
        <v>29</v>
      </c>
      <c r="AB72" s="16" t="s">
        <v>31</v>
      </c>
      <c r="AC72" s="16" t="s">
        <v>18</v>
      </c>
      <c r="AD72" s="16" t="s">
        <v>19</v>
      </c>
      <c r="AE72" s="16" t="s">
        <v>20</v>
      </c>
      <c r="AF72" s="16" t="s">
        <v>21</v>
      </c>
      <c r="AG72" s="16" t="s">
        <v>22</v>
      </c>
      <c r="AH72" s="16" t="s">
        <v>23</v>
      </c>
      <c r="AI72" s="16" t="s">
        <v>24</v>
      </c>
      <c r="AJ72" s="16" t="s">
        <v>25</v>
      </c>
      <c r="AK72" s="16" t="s">
        <v>26</v>
      </c>
      <c r="AL72" s="16" t="s">
        <v>27</v>
      </c>
      <c r="AM72" s="16" t="s">
        <v>28</v>
      </c>
      <c r="AN72" s="16" t="s">
        <v>29</v>
      </c>
      <c r="AO72" s="16" t="s">
        <v>32</v>
      </c>
      <c r="AP72" s="16" t="s">
        <v>18</v>
      </c>
      <c r="AQ72" s="16" t="s">
        <v>19</v>
      </c>
      <c r="AR72" s="16" t="s">
        <v>20</v>
      </c>
      <c r="AS72" s="16" t="s">
        <v>21</v>
      </c>
      <c r="AT72" s="16" t="s">
        <v>22</v>
      </c>
      <c r="AU72" s="16" t="s">
        <v>23</v>
      </c>
      <c r="AV72" s="16" t="s">
        <v>24</v>
      </c>
      <c r="AW72" s="16" t="s">
        <v>25</v>
      </c>
      <c r="AX72" s="16" t="s">
        <v>26</v>
      </c>
      <c r="AY72" s="16" t="s">
        <v>27</v>
      </c>
      <c r="AZ72" s="16" t="s">
        <v>28</v>
      </c>
      <c r="BA72" s="16" t="s">
        <v>29</v>
      </c>
      <c r="BB72" s="16" t="s">
        <v>33</v>
      </c>
      <c r="BC72" s="16" t="s">
        <v>18</v>
      </c>
      <c r="BD72" s="16" t="s">
        <v>19</v>
      </c>
      <c r="BE72" s="16" t="s">
        <v>20</v>
      </c>
      <c r="BF72" s="16" t="s">
        <v>21</v>
      </c>
      <c r="BG72" s="16" t="s">
        <v>22</v>
      </c>
      <c r="BH72" s="16" t="s">
        <v>23</v>
      </c>
      <c r="BI72" s="16" t="s">
        <v>24</v>
      </c>
      <c r="BJ72" s="16" t="s">
        <v>25</v>
      </c>
      <c r="BK72" s="16" t="s">
        <v>26</v>
      </c>
      <c r="BL72" s="16" t="s">
        <v>27</v>
      </c>
      <c r="BM72" s="16" t="s">
        <v>28</v>
      </c>
      <c r="BN72" s="16" t="s">
        <v>29</v>
      </c>
      <c r="BO72" s="16" t="s">
        <v>34</v>
      </c>
      <c r="BP72" s="16" t="s">
        <v>18</v>
      </c>
      <c r="BQ72" s="16" t="s">
        <v>19</v>
      </c>
      <c r="BR72" s="16" t="s">
        <v>20</v>
      </c>
      <c r="BS72" s="16" t="s">
        <v>21</v>
      </c>
      <c r="BT72" s="16" t="s">
        <v>22</v>
      </c>
      <c r="BU72" s="16" t="s">
        <v>23</v>
      </c>
      <c r="BV72" s="16" t="s">
        <v>24</v>
      </c>
      <c r="BW72" s="16" t="s">
        <v>25</v>
      </c>
      <c r="BX72" s="16" t="s">
        <v>26</v>
      </c>
      <c r="BY72" s="16" t="s">
        <v>27</v>
      </c>
      <c r="BZ72" s="16" t="s">
        <v>28</v>
      </c>
      <c r="CA72" s="16" t="s">
        <v>29</v>
      </c>
      <c r="CB72" s="16" t="s">
        <v>35</v>
      </c>
      <c r="CC72" s="16" t="s">
        <v>18</v>
      </c>
      <c r="CD72" s="16" t="s">
        <v>19</v>
      </c>
      <c r="CE72" s="16" t="s">
        <v>20</v>
      </c>
      <c r="CF72" s="16" t="s">
        <v>21</v>
      </c>
      <c r="CG72" s="16" t="s">
        <v>22</v>
      </c>
      <c r="CH72" s="16" t="s">
        <v>23</v>
      </c>
      <c r="CI72" s="16" t="s">
        <v>24</v>
      </c>
      <c r="CJ72" s="16" t="s">
        <v>25</v>
      </c>
      <c r="CK72" s="16" t="s">
        <v>26</v>
      </c>
      <c r="CL72" s="16" t="s">
        <v>27</v>
      </c>
      <c r="CM72" s="16" t="s">
        <v>28</v>
      </c>
      <c r="CN72" s="16" t="s">
        <v>29</v>
      </c>
      <c r="CO72" s="16" t="s">
        <v>36</v>
      </c>
      <c r="CP72" s="16" t="s">
        <v>18</v>
      </c>
      <c r="CQ72" s="16" t="s">
        <v>19</v>
      </c>
      <c r="CR72" s="16" t="s">
        <v>20</v>
      </c>
      <c r="CS72" s="16" t="s">
        <v>21</v>
      </c>
      <c r="CT72" s="16" t="s">
        <v>22</v>
      </c>
      <c r="CU72" s="16" t="s">
        <v>23</v>
      </c>
      <c r="CV72" s="16" t="s">
        <v>24</v>
      </c>
      <c r="CW72" s="16" t="s">
        <v>25</v>
      </c>
      <c r="CX72" s="16" t="s">
        <v>26</v>
      </c>
      <c r="CY72" s="16" t="s">
        <v>27</v>
      </c>
      <c r="CZ72" s="16" t="s">
        <v>28</v>
      </c>
      <c r="DA72" s="16" t="s">
        <v>29</v>
      </c>
      <c r="DB72" s="16" t="s">
        <v>37</v>
      </c>
      <c r="DC72" s="16" t="s">
        <v>18</v>
      </c>
      <c r="DD72" s="16" t="s">
        <v>19</v>
      </c>
      <c r="DE72" s="16" t="s">
        <v>20</v>
      </c>
      <c r="DF72" s="16" t="s">
        <v>21</v>
      </c>
      <c r="DG72" s="16" t="s">
        <v>22</v>
      </c>
      <c r="DH72" s="16" t="s">
        <v>23</v>
      </c>
      <c r="DI72" s="16" t="s">
        <v>24</v>
      </c>
      <c r="DJ72" s="16" t="s">
        <v>25</v>
      </c>
      <c r="DK72" s="16" t="s">
        <v>26</v>
      </c>
      <c r="DL72" s="16" t="s">
        <v>27</v>
      </c>
      <c r="DM72" s="16" t="s">
        <v>28</v>
      </c>
      <c r="DN72" s="16" t="s">
        <v>29</v>
      </c>
      <c r="DO72" s="16" t="s">
        <v>38</v>
      </c>
      <c r="DP72" s="16" t="s">
        <v>18</v>
      </c>
      <c r="DQ72" s="16" t="s">
        <v>19</v>
      </c>
      <c r="DR72" s="16" t="s">
        <v>20</v>
      </c>
      <c r="DS72" s="16" t="s">
        <v>21</v>
      </c>
      <c r="DT72" s="16" t="s">
        <v>22</v>
      </c>
      <c r="DU72" s="16" t="s">
        <v>23</v>
      </c>
      <c r="DV72" s="16" t="s">
        <v>24</v>
      </c>
      <c r="DW72" s="16" t="s">
        <v>25</v>
      </c>
      <c r="DX72" s="16" t="s">
        <v>26</v>
      </c>
      <c r="DY72" s="16" t="s">
        <v>27</v>
      </c>
      <c r="DZ72" s="16" t="s">
        <v>28</v>
      </c>
      <c r="EA72" s="16" t="s">
        <v>29</v>
      </c>
      <c r="EB72" s="16" t="s">
        <v>39</v>
      </c>
      <c r="EC72" s="16" t="s">
        <v>18</v>
      </c>
      <c r="ED72" s="16" t="s">
        <v>19</v>
      </c>
      <c r="EE72" s="16" t="s">
        <v>20</v>
      </c>
      <c r="EF72" s="16" t="s">
        <v>21</v>
      </c>
      <c r="EG72" s="16" t="s">
        <v>22</v>
      </c>
      <c r="EH72" s="16" t="s">
        <v>23</v>
      </c>
      <c r="EI72" s="16" t="s">
        <v>24</v>
      </c>
      <c r="EJ72" s="16" t="s">
        <v>25</v>
      </c>
      <c r="EK72" s="16" t="s">
        <v>26</v>
      </c>
      <c r="EL72" s="16" t="s">
        <v>27</v>
      </c>
      <c r="EM72" s="16" t="s">
        <v>28</v>
      </c>
      <c r="EN72" s="16" t="s">
        <v>29</v>
      </c>
      <c r="EO72" s="16" t="s">
        <v>40</v>
      </c>
      <c r="EP72" s="16" t="s">
        <v>18</v>
      </c>
      <c r="EQ72" s="16" t="s">
        <v>19</v>
      </c>
      <c r="ER72" s="16" t="s">
        <v>20</v>
      </c>
      <c r="ES72" s="16" t="s">
        <v>21</v>
      </c>
      <c r="ET72" s="16" t="s">
        <v>22</v>
      </c>
      <c r="EU72" s="16" t="s">
        <v>23</v>
      </c>
      <c r="EV72" s="16" t="s">
        <v>24</v>
      </c>
      <c r="EW72" s="16" t="s">
        <v>25</v>
      </c>
      <c r="EX72" s="16" t="s">
        <v>26</v>
      </c>
      <c r="EY72" s="16" t="s">
        <v>27</v>
      </c>
      <c r="EZ72" s="16" t="s">
        <v>28</v>
      </c>
      <c r="FA72" s="16" t="s">
        <v>29</v>
      </c>
      <c r="FB72" s="16" t="s">
        <v>41</v>
      </c>
      <c r="FC72" s="16" t="s">
        <v>18</v>
      </c>
      <c r="FD72" s="16" t="s">
        <v>19</v>
      </c>
      <c r="FE72" s="16" t="s">
        <v>20</v>
      </c>
      <c r="FF72" s="16" t="s">
        <v>21</v>
      </c>
      <c r="FG72" s="16" t="s">
        <v>22</v>
      </c>
      <c r="FH72" s="16" t="s">
        <v>23</v>
      </c>
      <c r="FI72" s="16" t="s">
        <v>24</v>
      </c>
      <c r="FJ72" s="16" t="s">
        <v>25</v>
      </c>
      <c r="FK72" s="16" t="s">
        <v>26</v>
      </c>
      <c r="FL72" s="16" t="s">
        <v>27</v>
      </c>
      <c r="FM72" s="16" t="s">
        <v>28</v>
      </c>
      <c r="FN72" s="16" t="s">
        <v>29</v>
      </c>
      <c r="FO72" s="16" t="s">
        <v>42</v>
      </c>
    </row>
    <row r="73" spans="1:171" ht="27.75" customHeight="1">
      <c r="A73" s="10"/>
      <c r="B73" s="19" t="s">
        <v>43</v>
      </c>
      <c r="C73" s="20">
        <v>0</v>
      </c>
      <c r="D73" s="20">
        <v>3363</v>
      </c>
      <c r="E73" s="20">
        <v>89766</v>
      </c>
      <c r="F73" s="20">
        <v>177873</v>
      </c>
      <c r="G73" s="20">
        <v>347371</v>
      </c>
      <c r="H73" s="20">
        <v>768455</v>
      </c>
      <c r="I73" s="20">
        <v>1122871</v>
      </c>
      <c r="J73" s="20">
        <v>1568088</v>
      </c>
      <c r="K73" s="20">
        <v>2263223</v>
      </c>
      <c r="L73" s="20">
        <v>3127503</v>
      </c>
      <c r="M73" s="20">
        <v>3633055</v>
      </c>
      <c r="N73" s="20">
        <v>12762763</v>
      </c>
      <c r="O73" s="20">
        <f t="shared" ref="O73:O78" si="107">N73</f>
        <v>12762763</v>
      </c>
      <c r="P73" s="20">
        <v>0</v>
      </c>
      <c r="Q73" s="20">
        <v>2870</v>
      </c>
      <c r="R73" s="20">
        <v>6339</v>
      </c>
      <c r="S73" s="20">
        <v>61172</v>
      </c>
      <c r="T73" s="20">
        <v>711583</v>
      </c>
      <c r="U73" s="20">
        <v>1495390</v>
      </c>
      <c r="V73" s="20">
        <v>1891893</v>
      </c>
      <c r="W73" s="20">
        <v>5438346</v>
      </c>
      <c r="X73" s="20">
        <v>6548037</v>
      </c>
      <c r="Y73" s="20">
        <v>6819195</v>
      </c>
      <c r="Z73" s="20">
        <v>7620746</v>
      </c>
      <c r="AA73" s="20">
        <v>11724749</v>
      </c>
      <c r="AB73" s="20">
        <f t="shared" ref="AB73:AB78" si="108">AA73</f>
        <v>11724749</v>
      </c>
      <c r="AC73" s="20">
        <v>109</v>
      </c>
      <c r="AD73" s="20">
        <v>109</v>
      </c>
      <c r="AE73" s="20">
        <v>251411</v>
      </c>
      <c r="AF73" s="20">
        <v>311698</v>
      </c>
      <c r="AG73" s="20">
        <v>338921</v>
      </c>
      <c r="AH73" s="20">
        <v>351062</v>
      </c>
      <c r="AI73" s="20">
        <v>353892</v>
      </c>
      <c r="AJ73" s="20">
        <v>600284</v>
      </c>
      <c r="AK73" s="20">
        <v>745907</v>
      </c>
      <c r="AL73" s="20">
        <v>1013149</v>
      </c>
      <c r="AM73" s="20">
        <v>1394994</v>
      </c>
      <c r="AN73" s="20">
        <v>2658727</v>
      </c>
      <c r="AO73" s="20">
        <f t="shared" ref="AO73:AO78" si="109">AN73</f>
        <v>2658727</v>
      </c>
      <c r="AP73" s="20">
        <v>309</v>
      </c>
      <c r="AQ73" s="20">
        <v>845</v>
      </c>
      <c r="AR73" s="20">
        <v>11077</v>
      </c>
      <c r="AS73" s="20">
        <v>123120</v>
      </c>
      <c r="AT73" s="20">
        <v>196933</v>
      </c>
      <c r="AU73" s="20">
        <v>285370</v>
      </c>
      <c r="AV73" s="20">
        <v>547537</v>
      </c>
      <c r="AW73" s="20">
        <v>1009460</v>
      </c>
      <c r="AX73" s="20">
        <v>1211237</v>
      </c>
      <c r="AY73" s="20">
        <v>1293769</v>
      </c>
      <c r="AZ73" s="20">
        <v>1785704</v>
      </c>
      <c r="BA73" s="20">
        <v>14200656</v>
      </c>
      <c r="BB73" s="20">
        <f t="shared" ref="BB73:BB78" si="110">BA73</f>
        <v>14200656</v>
      </c>
      <c r="BC73" s="20">
        <v>0</v>
      </c>
      <c r="BD73" s="20">
        <v>0</v>
      </c>
      <c r="BE73" s="20">
        <v>724</v>
      </c>
      <c r="BF73" s="20">
        <v>1893231</v>
      </c>
      <c r="BG73" s="20">
        <v>2311385</v>
      </c>
      <c r="BH73" s="20">
        <v>4280160</v>
      </c>
      <c r="BI73" s="20">
        <v>4296433</v>
      </c>
      <c r="BJ73" s="20">
        <v>4363606</v>
      </c>
      <c r="BK73" s="20">
        <v>4486603</v>
      </c>
      <c r="BL73" s="20">
        <v>5980395</v>
      </c>
      <c r="BM73" s="20">
        <v>6124209</v>
      </c>
      <c r="BN73" s="20">
        <v>8256058</v>
      </c>
      <c r="BO73" s="20">
        <f t="shared" ref="BO73:BO78" si="111">BN73</f>
        <v>8256058</v>
      </c>
      <c r="BP73" s="20">
        <v>48</v>
      </c>
      <c r="BQ73" s="20">
        <v>1255</v>
      </c>
      <c r="BR73" s="20">
        <v>3121</v>
      </c>
      <c r="BS73" s="20">
        <v>11999</v>
      </c>
      <c r="BT73" s="20">
        <v>16209</v>
      </c>
      <c r="BU73" s="20">
        <v>43534</v>
      </c>
      <c r="BV73" s="20">
        <v>168962</v>
      </c>
      <c r="BW73" s="20">
        <v>238287</v>
      </c>
      <c r="BX73" s="20">
        <v>426172</v>
      </c>
      <c r="BY73" s="20">
        <v>469766</v>
      </c>
      <c r="BZ73" s="20">
        <v>1120608</v>
      </c>
      <c r="CA73" s="20">
        <v>6641118</v>
      </c>
      <c r="CB73" s="20">
        <f t="shared" ref="CB73:CB78" si="112">CA73</f>
        <v>6641118</v>
      </c>
      <c r="CC73" s="20">
        <v>0</v>
      </c>
      <c r="CD73" s="20">
        <v>585</v>
      </c>
      <c r="CE73" s="20">
        <v>52513</v>
      </c>
      <c r="CF73" s="20">
        <v>57523</v>
      </c>
      <c r="CG73" s="20">
        <v>76947</v>
      </c>
      <c r="CH73" s="20">
        <v>149037</v>
      </c>
      <c r="CI73" s="20">
        <v>167768</v>
      </c>
      <c r="CJ73" s="20">
        <v>176713</v>
      </c>
      <c r="CK73" s="20">
        <v>779715</v>
      </c>
      <c r="CL73" s="20">
        <v>783383</v>
      </c>
      <c r="CM73" s="20">
        <v>1097528</v>
      </c>
      <c r="CN73" s="20">
        <v>5843319</v>
      </c>
      <c r="CO73" s="20">
        <f t="shared" ref="CO73:CO78" si="113">CN73</f>
        <v>5843319</v>
      </c>
      <c r="CP73" s="20">
        <v>0</v>
      </c>
      <c r="CQ73" s="20">
        <v>425938</v>
      </c>
      <c r="CR73" s="20">
        <v>1462761</v>
      </c>
      <c r="CS73" s="20">
        <v>1465974</v>
      </c>
      <c r="CT73" s="20">
        <v>1481099</v>
      </c>
      <c r="CU73" s="20">
        <v>1512434</v>
      </c>
      <c r="CV73" s="20">
        <v>2183844</v>
      </c>
      <c r="CW73" s="20">
        <v>2347779</v>
      </c>
      <c r="CX73" s="20">
        <v>2386510</v>
      </c>
      <c r="CY73" s="20">
        <v>2529946</v>
      </c>
      <c r="CZ73" s="20">
        <v>3094655</v>
      </c>
      <c r="DA73" s="20">
        <v>4799532</v>
      </c>
      <c r="DB73" s="20">
        <f t="shared" ref="DB73:DB78" si="114">DA73</f>
        <v>4799532</v>
      </c>
      <c r="DC73" s="20">
        <v>0</v>
      </c>
      <c r="DD73" s="20">
        <v>0</v>
      </c>
      <c r="DE73" s="20">
        <v>0</v>
      </c>
      <c r="DF73" s="20">
        <v>0</v>
      </c>
      <c r="DG73" s="20">
        <v>109962</v>
      </c>
      <c r="DH73" s="20">
        <v>110961</v>
      </c>
      <c r="DI73" s="20">
        <v>111701</v>
      </c>
      <c r="DJ73" s="20">
        <v>117198</v>
      </c>
      <c r="DK73" s="20">
        <v>205350</v>
      </c>
      <c r="DL73" s="20">
        <v>218231</v>
      </c>
      <c r="DM73" s="20">
        <v>306659</v>
      </c>
      <c r="DN73" s="20">
        <v>8421395</v>
      </c>
      <c r="DO73" s="20">
        <f t="shared" ref="DO73:DO78" si="115">DN73</f>
        <v>8421395</v>
      </c>
      <c r="DP73" s="20">
        <v>0</v>
      </c>
      <c r="DQ73" s="20">
        <v>0</v>
      </c>
      <c r="DR73" s="20">
        <v>2948</v>
      </c>
      <c r="DS73" s="20">
        <v>4062</v>
      </c>
      <c r="DT73" s="20">
        <v>190131</v>
      </c>
      <c r="DU73" s="20">
        <v>222054</v>
      </c>
      <c r="DV73" s="20">
        <v>245430</v>
      </c>
      <c r="DW73" s="20">
        <v>275973</v>
      </c>
      <c r="DX73" s="20">
        <v>456665</v>
      </c>
      <c r="DY73" s="20">
        <v>720929</v>
      </c>
      <c r="DZ73" s="20">
        <v>963668</v>
      </c>
      <c r="EA73" s="20">
        <v>7135336</v>
      </c>
      <c r="EB73" s="20">
        <f t="shared" ref="EB73:EB78" si="116">EA73</f>
        <v>7135336</v>
      </c>
      <c r="EC73" s="20">
        <v>0</v>
      </c>
      <c r="ED73" s="20">
        <v>0</v>
      </c>
      <c r="EE73" s="20">
        <v>0</v>
      </c>
      <c r="EF73" s="20">
        <v>0</v>
      </c>
      <c r="EG73" s="20">
        <v>1714</v>
      </c>
      <c r="EH73" s="20">
        <v>3731</v>
      </c>
      <c r="EI73" s="20">
        <v>3731</v>
      </c>
      <c r="EJ73" s="20">
        <v>53443</v>
      </c>
      <c r="EK73" s="20">
        <v>187144</v>
      </c>
      <c r="EL73" s="20">
        <v>187248</v>
      </c>
      <c r="EM73" s="20">
        <v>221037</v>
      </c>
      <c r="EN73" s="20">
        <v>1123525</v>
      </c>
      <c r="EO73" s="20">
        <f t="shared" ref="EO73:EO78" si="117">EN73</f>
        <v>1123525</v>
      </c>
      <c r="EP73" s="20">
        <v>0</v>
      </c>
      <c r="EQ73" s="20">
        <v>0</v>
      </c>
      <c r="ER73" s="20">
        <v>0</v>
      </c>
      <c r="ES73" s="20">
        <v>3488</v>
      </c>
      <c r="ET73" s="20">
        <v>3488</v>
      </c>
      <c r="EU73" s="20">
        <v>6802</v>
      </c>
      <c r="EV73" s="20">
        <v>6802</v>
      </c>
      <c r="EW73" s="20">
        <v>205085</v>
      </c>
      <c r="EX73" s="20">
        <v>215026</v>
      </c>
      <c r="EY73" s="20">
        <v>319809</v>
      </c>
      <c r="EZ73" s="20">
        <v>541271</v>
      </c>
      <c r="FA73" s="20">
        <v>2174604</v>
      </c>
      <c r="FB73" s="20">
        <f t="shared" ref="FB73:FB78" si="118">FA73</f>
        <v>2174604</v>
      </c>
      <c r="FC73" s="20">
        <v>0</v>
      </c>
      <c r="FD73" s="20">
        <v>0</v>
      </c>
      <c r="FE73" s="20">
        <v>0</v>
      </c>
      <c r="FF73" s="20">
        <v>1547</v>
      </c>
      <c r="FG73" s="20">
        <v>1547</v>
      </c>
      <c r="FH73" s="20">
        <v>4001</v>
      </c>
      <c r="FI73" s="20">
        <v>4001</v>
      </c>
      <c r="FJ73" s="10"/>
      <c r="FK73" s="10"/>
      <c r="FL73" s="10"/>
      <c r="FM73" s="10"/>
      <c r="FN73" s="10"/>
      <c r="FO73" s="20">
        <f t="shared" ref="FO73:FO78" si="119">FI73</f>
        <v>4001</v>
      </c>
    </row>
    <row r="74" spans="1:171" ht="27.75" customHeight="1">
      <c r="A74" s="10"/>
      <c r="B74" s="19" t="s">
        <v>44</v>
      </c>
      <c r="C74" s="20">
        <v>1034</v>
      </c>
      <c r="D74" s="20">
        <v>1034</v>
      </c>
      <c r="E74" s="20">
        <v>54953</v>
      </c>
      <c r="F74" s="20">
        <v>56185</v>
      </c>
      <c r="G74" s="20">
        <v>56766</v>
      </c>
      <c r="H74" s="20">
        <v>58287</v>
      </c>
      <c r="I74" s="20">
        <v>81035</v>
      </c>
      <c r="J74" s="20">
        <v>124589</v>
      </c>
      <c r="K74" s="20">
        <v>127877</v>
      </c>
      <c r="L74" s="20">
        <v>227166</v>
      </c>
      <c r="M74" s="20">
        <v>271989</v>
      </c>
      <c r="N74" s="20">
        <v>381174</v>
      </c>
      <c r="O74" s="20">
        <f t="shared" si="107"/>
        <v>381174</v>
      </c>
      <c r="P74" s="20">
        <v>0</v>
      </c>
      <c r="Q74" s="20">
        <v>600</v>
      </c>
      <c r="R74" s="20">
        <v>2848</v>
      </c>
      <c r="S74" s="20">
        <v>35886</v>
      </c>
      <c r="T74" s="20">
        <v>37141</v>
      </c>
      <c r="U74" s="20">
        <v>46047</v>
      </c>
      <c r="V74" s="20">
        <v>56945</v>
      </c>
      <c r="W74" s="20">
        <v>89534</v>
      </c>
      <c r="X74" s="20">
        <v>202171</v>
      </c>
      <c r="Y74" s="20">
        <v>217407</v>
      </c>
      <c r="Z74" s="20">
        <v>234284</v>
      </c>
      <c r="AA74" s="20">
        <v>362008</v>
      </c>
      <c r="AB74" s="20">
        <f t="shared" si="108"/>
        <v>362008</v>
      </c>
      <c r="AC74" s="20">
        <v>81</v>
      </c>
      <c r="AD74" s="20">
        <v>6200</v>
      </c>
      <c r="AE74" s="20">
        <v>42765</v>
      </c>
      <c r="AF74" s="20">
        <v>67427</v>
      </c>
      <c r="AG74" s="20">
        <v>221926</v>
      </c>
      <c r="AH74" s="20">
        <v>224260</v>
      </c>
      <c r="AI74" s="20">
        <v>226362</v>
      </c>
      <c r="AJ74" s="20">
        <v>229974</v>
      </c>
      <c r="AK74" s="20">
        <v>231250</v>
      </c>
      <c r="AL74" s="20">
        <v>232453</v>
      </c>
      <c r="AM74" s="20">
        <v>234657</v>
      </c>
      <c r="AN74" s="20">
        <v>257788</v>
      </c>
      <c r="AO74" s="20">
        <f t="shared" si="109"/>
        <v>257788</v>
      </c>
      <c r="AP74" s="20">
        <v>883</v>
      </c>
      <c r="AQ74" s="20">
        <v>883</v>
      </c>
      <c r="AR74" s="20">
        <v>883</v>
      </c>
      <c r="AS74" s="20">
        <v>883</v>
      </c>
      <c r="AT74" s="20">
        <v>1928</v>
      </c>
      <c r="AU74" s="20">
        <v>15652</v>
      </c>
      <c r="AV74" s="20">
        <v>23980</v>
      </c>
      <c r="AW74" s="20">
        <v>46130</v>
      </c>
      <c r="AX74" s="20">
        <v>130300</v>
      </c>
      <c r="AY74" s="20">
        <v>484366</v>
      </c>
      <c r="AZ74" s="20">
        <v>489621</v>
      </c>
      <c r="BA74" s="20">
        <v>521394</v>
      </c>
      <c r="BB74" s="20">
        <f t="shared" si="110"/>
        <v>521394</v>
      </c>
      <c r="BC74" s="20">
        <v>0</v>
      </c>
      <c r="BD74" s="20">
        <v>0</v>
      </c>
      <c r="BE74" s="20">
        <v>68075</v>
      </c>
      <c r="BF74" s="20">
        <v>70711</v>
      </c>
      <c r="BG74" s="20">
        <v>70737</v>
      </c>
      <c r="BH74" s="20">
        <v>71042</v>
      </c>
      <c r="BI74" s="20">
        <v>72990</v>
      </c>
      <c r="BJ74" s="20">
        <v>75523</v>
      </c>
      <c r="BK74" s="20">
        <v>76055</v>
      </c>
      <c r="BL74" s="20">
        <v>76160</v>
      </c>
      <c r="BM74" s="20">
        <v>82646</v>
      </c>
      <c r="BN74" s="20">
        <v>3222076</v>
      </c>
      <c r="BO74" s="20">
        <f t="shared" si="111"/>
        <v>3222076</v>
      </c>
      <c r="BP74" s="20">
        <v>0</v>
      </c>
      <c r="BQ74" s="20">
        <v>8598</v>
      </c>
      <c r="BR74" s="20">
        <v>8707</v>
      </c>
      <c r="BS74" s="20">
        <v>9293</v>
      </c>
      <c r="BT74" s="20">
        <v>18342</v>
      </c>
      <c r="BU74" s="20">
        <v>19070</v>
      </c>
      <c r="BV74" s="20">
        <v>23140</v>
      </c>
      <c r="BW74" s="20">
        <v>58242</v>
      </c>
      <c r="BX74" s="20">
        <v>74817</v>
      </c>
      <c r="BY74" s="20">
        <v>83298</v>
      </c>
      <c r="BZ74" s="20">
        <v>90462</v>
      </c>
      <c r="CA74" s="20">
        <v>735491</v>
      </c>
      <c r="CB74" s="20">
        <f t="shared" si="112"/>
        <v>735491</v>
      </c>
      <c r="CC74" s="20">
        <v>94</v>
      </c>
      <c r="CD74" s="20">
        <v>586</v>
      </c>
      <c r="CE74" s="20">
        <v>2824</v>
      </c>
      <c r="CF74" s="20">
        <v>2824</v>
      </c>
      <c r="CG74" s="20">
        <v>2903</v>
      </c>
      <c r="CH74" s="20">
        <v>4098</v>
      </c>
      <c r="CI74" s="20">
        <v>4690</v>
      </c>
      <c r="CJ74" s="20">
        <v>16234</v>
      </c>
      <c r="CK74" s="20">
        <v>16234</v>
      </c>
      <c r="CL74" s="20">
        <v>21529</v>
      </c>
      <c r="CM74" s="20">
        <v>21819</v>
      </c>
      <c r="CN74" s="20">
        <v>106457</v>
      </c>
      <c r="CO74" s="20">
        <f t="shared" si="113"/>
        <v>106457</v>
      </c>
      <c r="CP74" s="20">
        <v>0</v>
      </c>
      <c r="CQ74" s="20">
        <v>0</v>
      </c>
      <c r="CR74" s="20">
        <v>0</v>
      </c>
      <c r="CS74" s="20">
        <v>690</v>
      </c>
      <c r="CT74" s="20">
        <v>690</v>
      </c>
      <c r="CU74" s="20">
        <v>890</v>
      </c>
      <c r="CV74" s="20">
        <v>890</v>
      </c>
      <c r="CW74" s="20">
        <v>890</v>
      </c>
      <c r="CX74" s="20">
        <v>26583</v>
      </c>
      <c r="CY74" s="20">
        <v>37934</v>
      </c>
      <c r="CZ74" s="20">
        <v>117361</v>
      </c>
      <c r="DA74" s="20">
        <v>703694</v>
      </c>
      <c r="DB74" s="20">
        <f t="shared" si="114"/>
        <v>703694</v>
      </c>
      <c r="DC74" s="20">
        <v>0</v>
      </c>
      <c r="DD74" s="20">
        <v>0</v>
      </c>
      <c r="DE74" s="20">
        <v>397</v>
      </c>
      <c r="DF74" s="20">
        <v>397</v>
      </c>
      <c r="DG74" s="20">
        <v>892</v>
      </c>
      <c r="DH74" s="20">
        <v>20063</v>
      </c>
      <c r="DI74" s="20">
        <v>21996</v>
      </c>
      <c r="DJ74" s="20">
        <v>21996</v>
      </c>
      <c r="DK74" s="20">
        <v>75465</v>
      </c>
      <c r="DL74" s="20">
        <v>107933</v>
      </c>
      <c r="DM74" s="20">
        <v>907010</v>
      </c>
      <c r="DN74" s="20">
        <v>1149989</v>
      </c>
      <c r="DO74" s="20">
        <f t="shared" si="115"/>
        <v>1149989</v>
      </c>
      <c r="DP74" s="20">
        <v>0</v>
      </c>
      <c r="DQ74" s="20">
        <v>0</v>
      </c>
      <c r="DR74" s="20">
        <v>30519</v>
      </c>
      <c r="DS74" s="20">
        <v>34103</v>
      </c>
      <c r="DT74" s="20">
        <v>58501</v>
      </c>
      <c r="DU74" s="20">
        <v>58501</v>
      </c>
      <c r="DV74" s="20">
        <v>103636</v>
      </c>
      <c r="DW74" s="20">
        <v>103700</v>
      </c>
      <c r="DX74" s="20">
        <v>192664</v>
      </c>
      <c r="DY74" s="20">
        <v>195641</v>
      </c>
      <c r="DZ74" s="20">
        <v>499753</v>
      </c>
      <c r="EA74" s="20">
        <v>628857</v>
      </c>
      <c r="EB74" s="20">
        <f t="shared" si="116"/>
        <v>628857</v>
      </c>
      <c r="EC74" s="20">
        <v>0</v>
      </c>
      <c r="ED74" s="20">
        <v>0</v>
      </c>
      <c r="EE74" s="20">
        <v>563</v>
      </c>
      <c r="EF74" s="20">
        <v>2527</v>
      </c>
      <c r="EG74" s="20">
        <v>3420</v>
      </c>
      <c r="EH74" s="20">
        <v>355096</v>
      </c>
      <c r="EI74" s="20">
        <v>359380</v>
      </c>
      <c r="EJ74" s="20">
        <v>402900</v>
      </c>
      <c r="EK74" s="20">
        <v>466045</v>
      </c>
      <c r="EL74" s="20">
        <v>466045</v>
      </c>
      <c r="EM74" s="20">
        <v>466045</v>
      </c>
      <c r="EN74" s="20">
        <v>899916</v>
      </c>
      <c r="EO74" s="20">
        <f t="shared" si="117"/>
        <v>899916</v>
      </c>
      <c r="EP74" s="20">
        <v>0</v>
      </c>
      <c r="EQ74" s="20">
        <v>0</v>
      </c>
      <c r="ER74" s="20">
        <v>0</v>
      </c>
      <c r="ES74" s="20">
        <v>2009</v>
      </c>
      <c r="ET74" s="20">
        <v>37835</v>
      </c>
      <c r="EU74" s="20">
        <v>73615</v>
      </c>
      <c r="EV74" s="20">
        <v>253012</v>
      </c>
      <c r="EW74" s="20">
        <v>572413</v>
      </c>
      <c r="EX74" s="20">
        <v>586562</v>
      </c>
      <c r="EY74" s="20">
        <v>603974</v>
      </c>
      <c r="EZ74" s="20">
        <v>818043</v>
      </c>
      <c r="FA74" s="20">
        <v>963962</v>
      </c>
      <c r="FB74" s="20">
        <f t="shared" si="118"/>
        <v>963962</v>
      </c>
      <c r="FC74" s="20">
        <v>0</v>
      </c>
      <c r="FD74" s="20">
        <v>0</v>
      </c>
      <c r="FE74" s="20">
        <v>0</v>
      </c>
      <c r="FF74" s="20">
        <v>1508</v>
      </c>
      <c r="FG74" s="20">
        <v>129364</v>
      </c>
      <c r="FH74" s="20">
        <v>434033</v>
      </c>
      <c r="FI74" s="20">
        <v>452929</v>
      </c>
      <c r="FJ74" s="10"/>
      <c r="FK74" s="10"/>
      <c r="FL74" s="10"/>
      <c r="FM74" s="10"/>
      <c r="FN74" s="10"/>
      <c r="FO74" s="20">
        <f t="shared" si="119"/>
        <v>452929</v>
      </c>
    </row>
    <row r="75" spans="1:171" ht="27.75" customHeight="1">
      <c r="A75" s="10"/>
      <c r="B75" s="19" t="s">
        <v>45</v>
      </c>
      <c r="C75" s="20">
        <v>0</v>
      </c>
      <c r="D75" s="20">
        <v>0</v>
      </c>
      <c r="E75" s="20">
        <v>0</v>
      </c>
      <c r="F75" s="20">
        <v>158</v>
      </c>
      <c r="G75" s="20">
        <v>158</v>
      </c>
      <c r="H75" s="20">
        <v>2851</v>
      </c>
      <c r="I75" s="20">
        <v>3091</v>
      </c>
      <c r="J75" s="20">
        <v>4209</v>
      </c>
      <c r="K75" s="20">
        <v>4548</v>
      </c>
      <c r="L75" s="20">
        <v>19543</v>
      </c>
      <c r="M75" s="20">
        <v>20114</v>
      </c>
      <c r="N75" s="20">
        <v>39562</v>
      </c>
      <c r="O75" s="20">
        <f t="shared" si="107"/>
        <v>39562</v>
      </c>
      <c r="P75" s="20">
        <v>0</v>
      </c>
      <c r="Q75" s="20">
        <v>0</v>
      </c>
      <c r="R75" s="20">
        <v>0</v>
      </c>
      <c r="S75" s="20">
        <v>0</v>
      </c>
      <c r="T75" s="20">
        <v>50</v>
      </c>
      <c r="U75" s="20">
        <v>219</v>
      </c>
      <c r="V75" s="20">
        <v>3752</v>
      </c>
      <c r="W75" s="20">
        <v>4034</v>
      </c>
      <c r="X75" s="20">
        <v>15970</v>
      </c>
      <c r="Y75" s="20">
        <v>48323</v>
      </c>
      <c r="Z75" s="20">
        <v>48523</v>
      </c>
      <c r="AA75" s="20">
        <v>78328</v>
      </c>
      <c r="AB75" s="20">
        <f t="shared" si="108"/>
        <v>78328</v>
      </c>
      <c r="AC75" s="20">
        <v>0</v>
      </c>
      <c r="AD75" s="20">
        <v>0</v>
      </c>
      <c r="AE75" s="20">
        <v>18172</v>
      </c>
      <c r="AF75" s="20">
        <v>18172</v>
      </c>
      <c r="AG75" s="20">
        <v>18909</v>
      </c>
      <c r="AH75" s="20">
        <v>33441</v>
      </c>
      <c r="AI75" s="20">
        <v>47973</v>
      </c>
      <c r="AJ75" s="20">
        <v>47973</v>
      </c>
      <c r="AK75" s="20">
        <v>47973</v>
      </c>
      <c r="AL75" s="20">
        <v>47973</v>
      </c>
      <c r="AM75" s="20">
        <v>47973</v>
      </c>
      <c r="AN75" s="20">
        <v>62859</v>
      </c>
      <c r="AO75" s="20">
        <f t="shared" si="109"/>
        <v>62859</v>
      </c>
      <c r="AP75" s="20">
        <v>0</v>
      </c>
      <c r="AQ75" s="20">
        <v>0</v>
      </c>
      <c r="AR75" s="20">
        <v>0</v>
      </c>
      <c r="AS75" s="20">
        <v>4582</v>
      </c>
      <c r="AT75" s="20">
        <v>4582</v>
      </c>
      <c r="AU75" s="20">
        <v>4910</v>
      </c>
      <c r="AV75" s="20">
        <v>4910</v>
      </c>
      <c r="AW75" s="20">
        <v>19278</v>
      </c>
      <c r="AX75" s="20">
        <v>39213</v>
      </c>
      <c r="AY75" s="20">
        <v>40363</v>
      </c>
      <c r="AZ75" s="20">
        <v>43648</v>
      </c>
      <c r="BA75" s="20">
        <v>48831</v>
      </c>
      <c r="BB75" s="20">
        <f t="shared" si="110"/>
        <v>48831</v>
      </c>
      <c r="BC75" s="20">
        <v>0</v>
      </c>
      <c r="BD75" s="20">
        <v>0</v>
      </c>
      <c r="BE75" s="20">
        <v>192566</v>
      </c>
      <c r="BF75" s="20">
        <v>338581</v>
      </c>
      <c r="BG75" s="20">
        <v>338766</v>
      </c>
      <c r="BH75" s="20">
        <v>338897</v>
      </c>
      <c r="BI75" s="20">
        <v>339144</v>
      </c>
      <c r="BJ75" s="20">
        <v>340166</v>
      </c>
      <c r="BK75" s="20">
        <v>352012</v>
      </c>
      <c r="BL75" s="20">
        <v>354410</v>
      </c>
      <c r="BM75" s="20">
        <v>359566</v>
      </c>
      <c r="BN75" s="20">
        <v>371308</v>
      </c>
      <c r="BO75" s="20">
        <f t="shared" si="111"/>
        <v>371308</v>
      </c>
      <c r="BP75" s="20">
        <v>0</v>
      </c>
      <c r="BQ75" s="20">
        <v>0</v>
      </c>
      <c r="BR75" s="20">
        <v>6370</v>
      </c>
      <c r="BS75" s="20">
        <v>28886</v>
      </c>
      <c r="BT75" s="20">
        <v>28886</v>
      </c>
      <c r="BU75" s="20">
        <v>32938</v>
      </c>
      <c r="BV75" s="20">
        <v>33031</v>
      </c>
      <c r="BW75" s="20">
        <v>113263</v>
      </c>
      <c r="BX75" s="20">
        <v>129421</v>
      </c>
      <c r="BY75" s="20">
        <v>134520</v>
      </c>
      <c r="BZ75" s="20">
        <v>152937</v>
      </c>
      <c r="CA75" s="20">
        <v>176605</v>
      </c>
      <c r="CB75" s="20">
        <f t="shared" si="112"/>
        <v>176605</v>
      </c>
      <c r="CC75" s="20">
        <v>0</v>
      </c>
      <c r="CD75" s="20">
        <v>96</v>
      </c>
      <c r="CE75" s="20">
        <v>5191</v>
      </c>
      <c r="CF75" s="20">
        <v>5191</v>
      </c>
      <c r="CG75" s="20">
        <v>5191</v>
      </c>
      <c r="CH75" s="20">
        <v>6386</v>
      </c>
      <c r="CI75" s="20">
        <v>6923</v>
      </c>
      <c r="CJ75" s="20">
        <v>22582</v>
      </c>
      <c r="CK75" s="20">
        <v>33560</v>
      </c>
      <c r="CL75" s="20">
        <v>46486</v>
      </c>
      <c r="CM75" s="20">
        <v>49066</v>
      </c>
      <c r="CN75" s="20">
        <v>172891</v>
      </c>
      <c r="CO75" s="20">
        <f t="shared" si="113"/>
        <v>172891</v>
      </c>
      <c r="CP75" s="20">
        <v>0</v>
      </c>
      <c r="CQ75" s="20">
        <v>0</v>
      </c>
      <c r="CR75" s="20">
        <v>8167</v>
      </c>
      <c r="CS75" s="20">
        <v>8833</v>
      </c>
      <c r="CT75" s="20">
        <v>8833</v>
      </c>
      <c r="CU75" s="20">
        <v>8833</v>
      </c>
      <c r="CV75" s="20">
        <v>8833</v>
      </c>
      <c r="CW75" s="20">
        <v>12555</v>
      </c>
      <c r="CX75" s="20">
        <v>61123</v>
      </c>
      <c r="CY75" s="20">
        <v>70203</v>
      </c>
      <c r="CZ75" s="20">
        <v>155639</v>
      </c>
      <c r="DA75" s="20">
        <v>160231</v>
      </c>
      <c r="DB75" s="20">
        <f t="shared" si="114"/>
        <v>160231</v>
      </c>
      <c r="DC75" s="20">
        <v>0</v>
      </c>
      <c r="DD75" s="20">
        <v>0</v>
      </c>
      <c r="DE75" s="20">
        <v>0</v>
      </c>
      <c r="DF75" s="20">
        <v>0</v>
      </c>
      <c r="DG75" s="20">
        <v>0</v>
      </c>
      <c r="DH75" s="20">
        <v>10407</v>
      </c>
      <c r="DI75" s="20">
        <v>16277</v>
      </c>
      <c r="DJ75" s="20">
        <v>16277</v>
      </c>
      <c r="DK75" s="20">
        <v>101440</v>
      </c>
      <c r="DL75" s="20">
        <v>232681</v>
      </c>
      <c r="DM75" s="20">
        <v>571170</v>
      </c>
      <c r="DN75" s="20">
        <v>709579</v>
      </c>
      <c r="DO75" s="20">
        <f t="shared" si="115"/>
        <v>709579</v>
      </c>
      <c r="DP75" s="20">
        <v>20554</v>
      </c>
      <c r="DQ75" s="20">
        <v>20554</v>
      </c>
      <c r="DR75" s="20">
        <v>20857</v>
      </c>
      <c r="DS75" s="20">
        <v>41459</v>
      </c>
      <c r="DT75" s="20">
        <v>41551</v>
      </c>
      <c r="DU75" s="20">
        <v>41551</v>
      </c>
      <c r="DV75" s="20">
        <v>163019</v>
      </c>
      <c r="DW75" s="20">
        <v>163019</v>
      </c>
      <c r="DX75" s="20">
        <v>209557</v>
      </c>
      <c r="DY75" s="20">
        <v>209557</v>
      </c>
      <c r="DZ75" s="20">
        <v>236874</v>
      </c>
      <c r="EA75" s="20">
        <v>366748</v>
      </c>
      <c r="EB75" s="20">
        <f t="shared" si="116"/>
        <v>366748</v>
      </c>
      <c r="EC75" s="20">
        <v>10076</v>
      </c>
      <c r="ED75" s="20">
        <v>10269</v>
      </c>
      <c r="EE75" s="20">
        <v>10269</v>
      </c>
      <c r="EF75" s="20">
        <v>10269</v>
      </c>
      <c r="EG75" s="20">
        <v>13954</v>
      </c>
      <c r="EH75" s="20">
        <v>337449</v>
      </c>
      <c r="EI75" s="20">
        <v>337449</v>
      </c>
      <c r="EJ75" s="20">
        <v>444295</v>
      </c>
      <c r="EK75" s="20">
        <v>461458</v>
      </c>
      <c r="EL75" s="20">
        <v>470252</v>
      </c>
      <c r="EM75" s="20">
        <v>470252</v>
      </c>
      <c r="EN75" s="20">
        <v>612897</v>
      </c>
      <c r="EO75" s="20">
        <f t="shared" si="117"/>
        <v>612897</v>
      </c>
      <c r="EP75" s="20">
        <v>0</v>
      </c>
      <c r="EQ75" s="20">
        <v>160</v>
      </c>
      <c r="ER75" s="20">
        <v>160</v>
      </c>
      <c r="ES75" s="20">
        <v>160</v>
      </c>
      <c r="ET75" s="20">
        <v>4515</v>
      </c>
      <c r="EU75" s="20">
        <v>13374</v>
      </c>
      <c r="EV75" s="20">
        <v>133195</v>
      </c>
      <c r="EW75" s="20">
        <v>499807</v>
      </c>
      <c r="EX75" s="20">
        <v>541550</v>
      </c>
      <c r="EY75" s="20">
        <v>568299</v>
      </c>
      <c r="EZ75" s="20">
        <v>873723</v>
      </c>
      <c r="FA75" s="20">
        <v>1203592</v>
      </c>
      <c r="FB75" s="20">
        <f t="shared" si="118"/>
        <v>1203592</v>
      </c>
      <c r="FC75" s="20">
        <v>0</v>
      </c>
      <c r="FD75" s="20">
        <v>0</v>
      </c>
      <c r="FE75" s="20">
        <v>0</v>
      </c>
      <c r="FF75" s="20">
        <v>13239</v>
      </c>
      <c r="FG75" s="20">
        <v>126731</v>
      </c>
      <c r="FH75" s="20">
        <v>371354</v>
      </c>
      <c r="FI75" s="20">
        <v>409008</v>
      </c>
      <c r="FJ75" s="10"/>
      <c r="FK75" s="10"/>
      <c r="FL75" s="10"/>
      <c r="FM75" s="10"/>
      <c r="FN75" s="10"/>
      <c r="FO75" s="20">
        <f t="shared" si="119"/>
        <v>409008</v>
      </c>
    </row>
    <row r="76" spans="1:171" ht="27.75" customHeight="1">
      <c r="A76" s="10"/>
      <c r="B76" s="19" t="s">
        <v>46</v>
      </c>
      <c r="C76" s="20">
        <v>28</v>
      </c>
      <c r="D76" s="20">
        <v>1653</v>
      </c>
      <c r="E76" s="20">
        <v>2688</v>
      </c>
      <c r="F76" s="20">
        <v>4655</v>
      </c>
      <c r="G76" s="20">
        <v>12025</v>
      </c>
      <c r="H76" s="20">
        <v>62826</v>
      </c>
      <c r="I76" s="20">
        <v>63775</v>
      </c>
      <c r="J76" s="20">
        <v>95480</v>
      </c>
      <c r="K76" s="20">
        <v>126024</v>
      </c>
      <c r="L76" s="20">
        <v>127041</v>
      </c>
      <c r="M76" s="20">
        <v>138557</v>
      </c>
      <c r="N76" s="20">
        <v>164578</v>
      </c>
      <c r="O76" s="20">
        <f t="shared" si="107"/>
        <v>164578</v>
      </c>
      <c r="P76" s="20">
        <v>0</v>
      </c>
      <c r="Q76" s="20">
        <v>0</v>
      </c>
      <c r="R76" s="20">
        <v>8688</v>
      </c>
      <c r="S76" s="20">
        <v>76594</v>
      </c>
      <c r="T76" s="20">
        <v>147628</v>
      </c>
      <c r="U76" s="20">
        <v>148375</v>
      </c>
      <c r="V76" s="20">
        <v>148375</v>
      </c>
      <c r="W76" s="20">
        <v>180831</v>
      </c>
      <c r="X76" s="20">
        <v>299063</v>
      </c>
      <c r="Y76" s="20">
        <v>831232</v>
      </c>
      <c r="Z76" s="20">
        <v>841681</v>
      </c>
      <c r="AA76" s="20">
        <v>1887067</v>
      </c>
      <c r="AB76" s="20">
        <f t="shared" si="108"/>
        <v>1887067</v>
      </c>
      <c r="AC76" s="20">
        <v>0</v>
      </c>
      <c r="AD76" s="20">
        <v>0</v>
      </c>
      <c r="AE76" s="20">
        <v>3725</v>
      </c>
      <c r="AF76" s="20">
        <v>21787</v>
      </c>
      <c r="AG76" s="20">
        <v>600528</v>
      </c>
      <c r="AH76" s="20">
        <v>600638</v>
      </c>
      <c r="AI76" s="20">
        <v>1677304</v>
      </c>
      <c r="AJ76" s="20">
        <v>2766835</v>
      </c>
      <c r="AK76" s="20">
        <v>3300940</v>
      </c>
      <c r="AL76" s="20">
        <v>4100106</v>
      </c>
      <c r="AM76" s="20">
        <v>4283586</v>
      </c>
      <c r="AN76" s="20">
        <v>4478644</v>
      </c>
      <c r="AO76" s="20">
        <f t="shared" si="109"/>
        <v>4478644</v>
      </c>
      <c r="AP76" s="20">
        <v>42</v>
      </c>
      <c r="AQ76" s="20">
        <v>799133</v>
      </c>
      <c r="AR76" s="20">
        <v>799559</v>
      </c>
      <c r="AS76" s="20">
        <v>815806</v>
      </c>
      <c r="AT76" s="20">
        <v>928261</v>
      </c>
      <c r="AU76" s="20">
        <v>932834</v>
      </c>
      <c r="AV76" s="20">
        <v>949476</v>
      </c>
      <c r="AW76" s="20">
        <v>1550892</v>
      </c>
      <c r="AX76" s="20">
        <v>2352528</v>
      </c>
      <c r="AY76" s="20">
        <v>2352966</v>
      </c>
      <c r="AZ76" s="20">
        <v>3418204</v>
      </c>
      <c r="BA76" s="20">
        <v>3716927</v>
      </c>
      <c r="BB76" s="20">
        <f t="shared" si="110"/>
        <v>3716927</v>
      </c>
      <c r="BC76" s="20">
        <v>0</v>
      </c>
      <c r="BD76" s="20">
        <v>1961</v>
      </c>
      <c r="BE76" s="20">
        <v>3246</v>
      </c>
      <c r="BF76" s="20">
        <v>3246</v>
      </c>
      <c r="BG76" s="20">
        <v>5694</v>
      </c>
      <c r="BH76" s="20">
        <v>28528</v>
      </c>
      <c r="BI76" s="20">
        <v>41565</v>
      </c>
      <c r="BJ76" s="20">
        <v>41622</v>
      </c>
      <c r="BK76" s="20">
        <v>41622</v>
      </c>
      <c r="BL76" s="20">
        <v>42767</v>
      </c>
      <c r="BM76" s="20">
        <v>83821</v>
      </c>
      <c r="BN76" s="20">
        <v>330448</v>
      </c>
      <c r="BO76" s="20">
        <f t="shared" si="111"/>
        <v>330448</v>
      </c>
      <c r="BP76" s="20">
        <v>29</v>
      </c>
      <c r="BQ76" s="20">
        <v>29</v>
      </c>
      <c r="BR76" s="20">
        <v>29</v>
      </c>
      <c r="BS76" s="20">
        <v>116</v>
      </c>
      <c r="BT76" s="20">
        <v>208</v>
      </c>
      <c r="BU76" s="20">
        <v>399</v>
      </c>
      <c r="BV76" s="20">
        <v>399</v>
      </c>
      <c r="BW76" s="20">
        <v>399</v>
      </c>
      <c r="BX76" s="20">
        <v>1919</v>
      </c>
      <c r="BY76" s="20">
        <v>3160</v>
      </c>
      <c r="BZ76" s="20">
        <v>299768</v>
      </c>
      <c r="CA76" s="20">
        <v>863900</v>
      </c>
      <c r="CB76" s="20">
        <f t="shared" si="112"/>
        <v>863900</v>
      </c>
      <c r="CC76" s="20">
        <v>0</v>
      </c>
      <c r="CD76" s="20">
        <v>176042</v>
      </c>
      <c r="CE76" s="20">
        <v>176719</v>
      </c>
      <c r="CF76" s="20">
        <v>176794</v>
      </c>
      <c r="CG76" s="20">
        <v>441735</v>
      </c>
      <c r="CH76" s="20">
        <v>442125</v>
      </c>
      <c r="CI76" s="20">
        <v>443658</v>
      </c>
      <c r="CJ76" s="20">
        <v>735258</v>
      </c>
      <c r="CK76" s="20">
        <v>735258</v>
      </c>
      <c r="CL76" s="20">
        <v>1044245</v>
      </c>
      <c r="CM76" s="20">
        <v>1483899</v>
      </c>
      <c r="CN76" s="20">
        <v>1947994</v>
      </c>
      <c r="CO76" s="20">
        <f t="shared" si="113"/>
        <v>1947994</v>
      </c>
      <c r="CP76" s="20">
        <v>0</v>
      </c>
      <c r="CQ76" s="20">
        <v>20</v>
      </c>
      <c r="CR76" s="20">
        <v>20</v>
      </c>
      <c r="CS76" s="20">
        <v>40</v>
      </c>
      <c r="CT76" s="20">
        <v>40</v>
      </c>
      <c r="CU76" s="20">
        <v>263823</v>
      </c>
      <c r="CV76" s="20">
        <v>439678</v>
      </c>
      <c r="CW76" s="20">
        <v>439678</v>
      </c>
      <c r="CX76" s="20">
        <v>444855</v>
      </c>
      <c r="CY76" s="20">
        <v>444855</v>
      </c>
      <c r="CZ76" s="20">
        <v>458920</v>
      </c>
      <c r="DA76" s="20">
        <v>485917</v>
      </c>
      <c r="DB76" s="20">
        <f t="shared" si="114"/>
        <v>485917</v>
      </c>
      <c r="DC76" s="20">
        <v>0</v>
      </c>
      <c r="DD76" s="20">
        <v>0</v>
      </c>
      <c r="DE76" s="20">
        <v>0</v>
      </c>
      <c r="DF76" s="20">
        <v>22</v>
      </c>
      <c r="DG76" s="20">
        <v>22</v>
      </c>
      <c r="DH76" s="20">
        <v>22</v>
      </c>
      <c r="DI76" s="20">
        <v>22</v>
      </c>
      <c r="DJ76" s="20">
        <v>22</v>
      </c>
      <c r="DK76" s="20">
        <v>21191</v>
      </c>
      <c r="DL76" s="20">
        <v>82685</v>
      </c>
      <c r="DM76" s="20">
        <v>447234</v>
      </c>
      <c r="DN76" s="20">
        <v>865046</v>
      </c>
      <c r="DO76" s="20">
        <f t="shared" si="115"/>
        <v>865046</v>
      </c>
      <c r="DP76" s="20">
        <v>0</v>
      </c>
      <c r="DQ76" s="20">
        <v>6359</v>
      </c>
      <c r="DR76" s="20">
        <v>7689</v>
      </c>
      <c r="DS76" s="20">
        <v>49168</v>
      </c>
      <c r="DT76" s="20">
        <v>90437</v>
      </c>
      <c r="DU76" s="20">
        <v>151090</v>
      </c>
      <c r="DV76" s="20">
        <v>151090</v>
      </c>
      <c r="DW76" s="20">
        <v>152637</v>
      </c>
      <c r="DX76" s="20">
        <v>367133</v>
      </c>
      <c r="DY76" s="20">
        <v>367430</v>
      </c>
      <c r="DZ76" s="20">
        <v>409162</v>
      </c>
      <c r="EA76" s="20">
        <v>620613</v>
      </c>
      <c r="EB76" s="20">
        <f t="shared" si="116"/>
        <v>620613</v>
      </c>
      <c r="EC76" s="20">
        <v>0</v>
      </c>
      <c r="ED76" s="20">
        <v>0</v>
      </c>
      <c r="EE76" s="20">
        <v>0</v>
      </c>
      <c r="EF76" s="20">
        <v>1891</v>
      </c>
      <c r="EG76" s="20">
        <v>25269</v>
      </c>
      <c r="EH76" s="20">
        <v>68307</v>
      </c>
      <c r="EI76" s="20">
        <v>92369</v>
      </c>
      <c r="EJ76" s="20">
        <v>255657</v>
      </c>
      <c r="EK76" s="20">
        <v>297429</v>
      </c>
      <c r="EL76" s="20">
        <v>650218</v>
      </c>
      <c r="EM76" s="20">
        <v>722119</v>
      </c>
      <c r="EN76" s="20">
        <v>1508486</v>
      </c>
      <c r="EO76" s="20">
        <f t="shared" si="117"/>
        <v>1508486</v>
      </c>
      <c r="EP76" s="20">
        <v>0</v>
      </c>
      <c r="EQ76" s="20">
        <v>0</v>
      </c>
      <c r="ER76" s="20">
        <v>0</v>
      </c>
      <c r="ES76" s="20">
        <v>5944</v>
      </c>
      <c r="ET76" s="20">
        <v>41309</v>
      </c>
      <c r="EU76" s="20">
        <v>91749</v>
      </c>
      <c r="EV76" s="20">
        <v>93532</v>
      </c>
      <c r="EW76" s="20">
        <v>93532</v>
      </c>
      <c r="EX76" s="20">
        <v>96960</v>
      </c>
      <c r="EY76" s="20">
        <v>112867</v>
      </c>
      <c r="EZ76" s="20">
        <v>143043</v>
      </c>
      <c r="FA76" s="20">
        <v>248096</v>
      </c>
      <c r="FB76" s="20">
        <f t="shared" si="118"/>
        <v>248096</v>
      </c>
      <c r="FC76" s="20">
        <v>70510</v>
      </c>
      <c r="FD76" s="20">
        <v>70510</v>
      </c>
      <c r="FE76" s="20">
        <v>77071</v>
      </c>
      <c r="FF76" s="20">
        <v>91088</v>
      </c>
      <c r="FG76" s="20">
        <v>155966</v>
      </c>
      <c r="FH76" s="20">
        <v>155966</v>
      </c>
      <c r="FI76" s="20">
        <v>161164</v>
      </c>
      <c r="FJ76" s="10"/>
      <c r="FK76" s="10"/>
      <c r="FL76" s="10"/>
      <c r="FM76" s="10"/>
      <c r="FN76" s="10"/>
      <c r="FO76" s="20">
        <f t="shared" si="119"/>
        <v>161164</v>
      </c>
    </row>
    <row r="77" spans="1:171" ht="27.75" customHeight="1">
      <c r="A77" s="10"/>
      <c r="B77" s="19" t="s">
        <v>47</v>
      </c>
      <c r="C77" s="20">
        <v>169</v>
      </c>
      <c r="D77" s="20">
        <v>435</v>
      </c>
      <c r="E77" s="20">
        <v>39580</v>
      </c>
      <c r="F77" s="20">
        <v>54505</v>
      </c>
      <c r="G77" s="20">
        <v>56186</v>
      </c>
      <c r="H77" s="20">
        <v>57808</v>
      </c>
      <c r="I77" s="20">
        <v>69634</v>
      </c>
      <c r="J77" s="20">
        <v>114793</v>
      </c>
      <c r="K77" s="20">
        <v>128678</v>
      </c>
      <c r="L77" s="20">
        <v>129341</v>
      </c>
      <c r="M77" s="20">
        <v>205814</v>
      </c>
      <c r="N77" s="20">
        <v>230680</v>
      </c>
      <c r="O77" s="20">
        <f t="shared" si="107"/>
        <v>230680</v>
      </c>
      <c r="P77" s="20">
        <v>98</v>
      </c>
      <c r="Q77" s="20">
        <v>907</v>
      </c>
      <c r="R77" s="20">
        <v>1747</v>
      </c>
      <c r="S77" s="20">
        <v>39102</v>
      </c>
      <c r="T77" s="20">
        <v>50749</v>
      </c>
      <c r="U77" s="20">
        <v>52117</v>
      </c>
      <c r="V77" s="20">
        <v>53586</v>
      </c>
      <c r="W77" s="20">
        <v>55733</v>
      </c>
      <c r="X77" s="20">
        <v>63697</v>
      </c>
      <c r="Y77" s="20">
        <v>82932</v>
      </c>
      <c r="Z77" s="20">
        <v>158015</v>
      </c>
      <c r="AA77" s="20">
        <v>838373</v>
      </c>
      <c r="AB77" s="20">
        <f t="shared" si="108"/>
        <v>838373</v>
      </c>
      <c r="AC77" s="20">
        <v>0</v>
      </c>
      <c r="AD77" s="20">
        <v>17902</v>
      </c>
      <c r="AE77" s="20">
        <v>25945</v>
      </c>
      <c r="AF77" s="20">
        <v>51062</v>
      </c>
      <c r="AG77" s="20">
        <v>54469</v>
      </c>
      <c r="AH77" s="20">
        <v>55416</v>
      </c>
      <c r="AI77" s="20">
        <v>56875</v>
      </c>
      <c r="AJ77" s="20">
        <v>60356</v>
      </c>
      <c r="AK77" s="20">
        <v>64353</v>
      </c>
      <c r="AL77" s="20">
        <v>74033</v>
      </c>
      <c r="AM77" s="20">
        <v>75711</v>
      </c>
      <c r="AN77" s="20">
        <v>634425</v>
      </c>
      <c r="AO77" s="20">
        <f t="shared" si="109"/>
        <v>634425</v>
      </c>
      <c r="AP77" s="20">
        <v>0</v>
      </c>
      <c r="AQ77" s="20">
        <v>269</v>
      </c>
      <c r="AR77" s="20">
        <v>269</v>
      </c>
      <c r="AS77" s="20">
        <v>22119</v>
      </c>
      <c r="AT77" s="20">
        <v>22119</v>
      </c>
      <c r="AU77" s="20">
        <v>22695</v>
      </c>
      <c r="AV77" s="20">
        <v>46097</v>
      </c>
      <c r="AW77" s="20">
        <v>48260</v>
      </c>
      <c r="AX77" s="20">
        <v>48861</v>
      </c>
      <c r="AY77" s="20">
        <v>61420</v>
      </c>
      <c r="AZ77" s="20">
        <v>74200</v>
      </c>
      <c r="BA77" s="20">
        <v>1758867</v>
      </c>
      <c r="BB77" s="20">
        <f t="shared" si="110"/>
        <v>1758867</v>
      </c>
      <c r="BC77" s="20">
        <v>198</v>
      </c>
      <c r="BD77" s="20">
        <v>1102</v>
      </c>
      <c r="BE77" s="20">
        <v>5726</v>
      </c>
      <c r="BF77" s="20">
        <v>28536</v>
      </c>
      <c r="BG77" s="20">
        <v>48499</v>
      </c>
      <c r="BH77" s="20">
        <v>53855</v>
      </c>
      <c r="BI77" s="20">
        <v>60520</v>
      </c>
      <c r="BJ77" s="20">
        <v>69445</v>
      </c>
      <c r="BK77" s="20">
        <v>70064</v>
      </c>
      <c r="BL77" s="20">
        <v>73093</v>
      </c>
      <c r="BM77" s="20">
        <v>73356</v>
      </c>
      <c r="BN77" s="20">
        <v>1605443</v>
      </c>
      <c r="BO77" s="20">
        <f t="shared" si="111"/>
        <v>1605443</v>
      </c>
      <c r="BP77" s="20">
        <v>147</v>
      </c>
      <c r="BQ77" s="20">
        <v>229</v>
      </c>
      <c r="BR77" s="20">
        <v>344</v>
      </c>
      <c r="BS77" s="20">
        <v>3873</v>
      </c>
      <c r="BT77" s="20">
        <v>25548</v>
      </c>
      <c r="BU77" s="20">
        <v>41488</v>
      </c>
      <c r="BV77" s="20">
        <v>43633</v>
      </c>
      <c r="BW77" s="20">
        <v>48371</v>
      </c>
      <c r="BX77" s="20">
        <v>69965</v>
      </c>
      <c r="BY77" s="20">
        <v>76233</v>
      </c>
      <c r="BZ77" s="20">
        <v>80516</v>
      </c>
      <c r="CA77" s="20">
        <v>97338</v>
      </c>
      <c r="CB77" s="20">
        <f t="shared" si="112"/>
        <v>97338</v>
      </c>
      <c r="CC77" s="20">
        <v>607</v>
      </c>
      <c r="CD77" s="20">
        <v>1736</v>
      </c>
      <c r="CE77" s="20">
        <v>2472</v>
      </c>
      <c r="CF77" s="20">
        <v>2472</v>
      </c>
      <c r="CG77" s="20">
        <v>18311</v>
      </c>
      <c r="CH77" s="20">
        <v>18311</v>
      </c>
      <c r="CI77" s="20">
        <v>18985</v>
      </c>
      <c r="CJ77" s="20">
        <v>18985</v>
      </c>
      <c r="CK77" s="20">
        <v>21184</v>
      </c>
      <c r="CL77" s="20">
        <v>31168</v>
      </c>
      <c r="CM77" s="20">
        <v>33157</v>
      </c>
      <c r="CN77" s="20">
        <v>382693</v>
      </c>
      <c r="CO77" s="20">
        <f t="shared" si="113"/>
        <v>382693</v>
      </c>
      <c r="CP77" s="20">
        <v>0</v>
      </c>
      <c r="CQ77" s="20">
        <v>0</v>
      </c>
      <c r="CR77" s="20">
        <v>0</v>
      </c>
      <c r="CS77" s="20">
        <v>0</v>
      </c>
      <c r="CT77" s="20">
        <v>375</v>
      </c>
      <c r="CU77" s="20">
        <v>375</v>
      </c>
      <c r="CV77" s="20">
        <v>375</v>
      </c>
      <c r="CW77" s="20">
        <v>375</v>
      </c>
      <c r="CX77" s="20">
        <v>16453</v>
      </c>
      <c r="CY77" s="20">
        <v>16738</v>
      </c>
      <c r="CZ77" s="20">
        <v>59581</v>
      </c>
      <c r="DA77" s="20">
        <v>101089</v>
      </c>
      <c r="DB77" s="20">
        <f t="shared" si="114"/>
        <v>101089</v>
      </c>
      <c r="DC77" s="20">
        <v>0</v>
      </c>
      <c r="DD77" s="20">
        <v>0</v>
      </c>
      <c r="DE77" s="20">
        <v>0</v>
      </c>
      <c r="DF77" s="20">
        <v>43</v>
      </c>
      <c r="DG77" s="20">
        <v>43</v>
      </c>
      <c r="DH77" s="20">
        <v>638</v>
      </c>
      <c r="DI77" s="20">
        <v>3960</v>
      </c>
      <c r="DJ77" s="20">
        <v>60216</v>
      </c>
      <c r="DK77" s="20">
        <v>61185</v>
      </c>
      <c r="DL77" s="20">
        <v>67106</v>
      </c>
      <c r="DM77" s="20">
        <v>95932</v>
      </c>
      <c r="DN77" s="20">
        <v>160797</v>
      </c>
      <c r="DO77" s="20">
        <f t="shared" si="115"/>
        <v>160797</v>
      </c>
      <c r="DP77" s="20">
        <v>0</v>
      </c>
      <c r="DQ77" s="20">
        <v>0</v>
      </c>
      <c r="DR77" s="20">
        <v>0</v>
      </c>
      <c r="DS77" s="20">
        <v>0</v>
      </c>
      <c r="DT77" s="20">
        <v>3085</v>
      </c>
      <c r="DU77" s="20">
        <v>82381</v>
      </c>
      <c r="DV77" s="20">
        <v>125991</v>
      </c>
      <c r="DW77" s="20">
        <v>140950</v>
      </c>
      <c r="DX77" s="20">
        <v>158342</v>
      </c>
      <c r="DY77" s="20">
        <v>163795</v>
      </c>
      <c r="DZ77" s="20">
        <v>191564</v>
      </c>
      <c r="EA77" s="20">
        <v>237804</v>
      </c>
      <c r="EB77" s="20">
        <f t="shared" si="116"/>
        <v>237804</v>
      </c>
      <c r="EC77" s="20">
        <v>0</v>
      </c>
      <c r="ED77" s="20">
        <v>0</v>
      </c>
      <c r="EE77" s="20">
        <v>0</v>
      </c>
      <c r="EF77" s="20">
        <v>2262</v>
      </c>
      <c r="EG77" s="20">
        <v>74380</v>
      </c>
      <c r="EH77" s="20">
        <v>161068</v>
      </c>
      <c r="EI77" s="20">
        <v>226500</v>
      </c>
      <c r="EJ77" s="20">
        <v>235972</v>
      </c>
      <c r="EK77" s="20">
        <v>1485698</v>
      </c>
      <c r="EL77" s="20">
        <v>1613690</v>
      </c>
      <c r="EM77" s="20">
        <v>1931498</v>
      </c>
      <c r="EN77" s="20">
        <v>1997225</v>
      </c>
      <c r="EO77" s="20">
        <f t="shared" si="117"/>
        <v>1997225</v>
      </c>
      <c r="EP77" s="20">
        <v>0</v>
      </c>
      <c r="EQ77" s="20">
        <v>97469</v>
      </c>
      <c r="ER77" s="20">
        <v>97751</v>
      </c>
      <c r="ES77" s="20">
        <v>98001</v>
      </c>
      <c r="ET77" s="20">
        <v>170182</v>
      </c>
      <c r="EU77" s="20">
        <v>170245</v>
      </c>
      <c r="EV77" s="20">
        <v>421065</v>
      </c>
      <c r="EW77" s="20">
        <v>428624</v>
      </c>
      <c r="EX77" s="20">
        <v>444757</v>
      </c>
      <c r="EY77" s="20">
        <v>610730</v>
      </c>
      <c r="EZ77" s="20">
        <v>614072</v>
      </c>
      <c r="FA77" s="20">
        <v>809633</v>
      </c>
      <c r="FB77" s="20">
        <f t="shared" si="118"/>
        <v>809633</v>
      </c>
      <c r="FC77" s="20">
        <v>0</v>
      </c>
      <c r="FD77" s="20">
        <v>0</v>
      </c>
      <c r="FE77" s="20">
        <v>0</v>
      </c>
      <c r="FF77" s="20">
        <v>0</v>
      </c>
      <c r="FG77" s="20">
        <v>0</v>
      </c>
      <c r="FH77" s="20">
        <v>64950</v>
      </c>
      <c r="FI77" s="20">
        <v>127454</v>
      </c>
      <c r="FJ77" s="10"/>
      <c r="FK77" s="10"/>
      <c r="FL77" s="10"/>
      <c r="FM77" s="10"/>
      <c r="FN77" s="10"/>
      <c r="FO77" s="20">
        <f t="shared" si="119"/>
        <v>127454</v>
      </c>
    </row>
    <row r="78" spans="1:171" ht="27.75" customHeight="1">
      <c r="A78" s="10"/>
      <c r="B78" s="19" t="s">
        <v>48</v>
      </c>
      <c r="C78" s="20">
        <v>140</v>
      </c>
      <c r="D78" s="20">
        <v>8109</v>
      </c>
      <c r="E78" s="20">
        <v>8109</v>
      </c>
      <c r="F78" s="20">
        <v>8613</v>
      </c>
      <c r="G78" s="20">
        <v>84253</v>
      </c>
      <c r="H78" s="20">
        <v>84548</v>
      </c>
      <c r="I78" s="20">
        <v>86349</v>
      </c>
      <c r="J78" s="20">
        <v>86349</v>
      </c>
      <c r="K78" s="20">
        <v>86399</v>
      </c>
      <c r="L78" s="20">
        <v>98968</v>
      </c>
      <c r="M78" s="20">
        <v>117677</v>
      </c>
      <c r="N78" s="20">
        <v>141920</v>
      </c>
      <c r="O78" s="20">
        <f t="shared" si="107"/>
        <v>141920</v>
      </c>
      <c r="P78" s="20">
        <v>0</v>
      </c>
      <c r="Q78" s="20">
        <v>60</v>
      </c>
      <c r="R78" s="20">
        <v>60</v>
      </c>
      <c r="S78" s="20">
        <v>2161</v>
      </c>
      <c r="T78" s="20">
        <v>36520</v>
      </c>
      <c r="U78" s="20">
        <v>61061</v>
      </c>
      <c r="V78" s="20">
        <v>74560</v>
      </c>
      <c r="W78" s="20">
        <v>75213</v>
      </c>
      <c r="X78" s="20">
        <v>75636</v>
      </c>
      <c r="Y78" s="20">
        <v>79205</v>
      </c>
      <c r="Z78" s="20">
        <v>177440</v>
      </c>
      <c r="AA78" s="20">
        <v>295571</v>
      </c>
      <c r="AB78" s="20">
        <f t="shared" si="108"/>
        <v>295571</v>
      </c>
      <c r="AC78" s="20">
        <v>0</v>
      </c>
      <c r="AD78" s="20">
        <v>19653</v>
      </c>
      <c r="AE78" s="20">
        <v>32728</v>
      </c>
      <c r="AF78" s="20">
        <v>33680</v>
      </c>
      <c r="AG78" s="20">
        <v>35995</v>
      </c>
      <c r="AH78" s="20">
        <v>38174</v>
      </c>
      <c r="AI78" s="20">
        <v>38528</v>
      </c>
      <c r="AJ78" s="20">
        <v>39517</v>
      </c>
      <c r="AK78" s="20">
        <v>41442</v>
      </c>
      <c r="AL78" s="20">
        <v>42876</v>
      </c>
      <c r="AM78" s="20">
        <v>54418</v>
      </c>
      <c r="AN78" s="20">
        <v>95971</v>
      </c>
      <c r="AO78" s="20">
        <f t="shared" si="109"/>
        <v>95971</v>
      </c>
      <c r="AP78" s="20">
        <v>0</v>
      </c>
      <c r="AQ78" s="20">
        <v>1007</v>
      </c>
      <c r="AR78" s="20">
        <v>1387</v>
      </c>
      <c r="AS78" s="20">
        <v>4088</v>
      </c>
      <c r="AT78" s="20">
        <v>18570</v>
      </c>
      <c r="AU78" s="20">
        <v>18846</v>
      </c>
      <c r="AV78" s="20">
        <v>38317</v>
      </c>
      <c r="AW78" s="20">
        <v>42381</v>
      </c>
      <c r="AX78" s="20">
        <v>45866</v>
      </c>
      <c r="AY78" s="20">
        <v>54771</v>
      </c>
      <c r="AZ78" s="20">
        <v>81489</v>
      </c>
      <c r="BA78" s="20">
        <v>95609</v>
      </c>
      <c r="BB78" s="20">
        <f t="shared" si="110"/>
        <v>95609</v>
      </c>
      <c r="BC78" s="20">
        <v>0</v>
      </c>
      <c r="BD78" s="20">
        <v>3271</v>
      </c>
      <c r="BE78" s="20">
        <v>3271</v>
      </c>
      <c r="BF78" s="20">
        <v>3389</v>
      </c>
      <c r="BG78" s="20">
        <v>4357</v>
      </c>
      <c r="BH78" s="20">
        <v>10454</v>
      </c>
      <c r="BI78" s="20">
        <v>14421</v>
      </c>
      <c r="BJ78" s="20">
        <v>18234</v>
      </c>
      <c r="BK78" s="20">
        <v>59217</v>
      </c>
      <c r="BL78" s="20">
        <v>60033</v>
      </c>
      <c r="BM78" s="20">
        <v>68642</v>
      </c>
      <c r="BN78" s="20">
        <v>297380</v>
      </c>
      <c r="BO78" s="20">
        <f t="shared" si="111"/>
        <v>297380</v>
      </c>
      <c r="BP78" s="20">
        <v>693</v>
      </c>
      <c r="BQ78" s="20">
        <v>15530</v>
      </c>
      <c r="BR78" s="20">
        <v>15631</v>
      </c>
      <c r="BS78" s="20">
        <v>20846</v>
      </c>
      <c r="BT78" s="20">
        <v>65721</v>
      </c>
      <c r="BU78" s="20">
        <v>89898</v>
      </c>
      <c r="BV78" s="20">
        <v>92591</v>
      </c>
      <c r="BW78" s="20">
        <v>100668</v>
      </c>
      <c r="BX78" s="20">
        <v>100991</v>
      </c>
      <c r="BY78" s="20">
        <v>103952</v>
      </c>
      <c r="BZ78" s="20">
        <v>109621</v>
      </c>
      <c r="CA78" s="20">
        <v>111876</v>
      </c>
      <c r="CB78" s="20">
        <f t="shared" si="112"/>
        <v>111876</v>
      </c>
      <c r="CC78" s="20">
        <v>0</v>
      </c>
      <c r="CD78" s="20">
        <v>1098</v>
      </c>
      <c r="CE78" s="20">
        <v>3137</v>
      </c>
      <c r="CF78" s="20">
        <v>17987</v>
      </c>
      <c r="CG78" s="20">
        <v>22135</v>
      </c>
      <c r="CH78" s="20">
        <v>22135</v>
      </c>
      <c r="CI78" s="20">
        <v>29972</v>
      </c>
      <c r="CJ78" s="20">
        <v>79295</v>
      </c>
      <c r="CK78" s="20">
        <v>84364</v>
      </c>
      <c r="CL78" s="20">
        <v>87854</v>
      </c>
      <c r="CM78" s="20">
        <v>95431</v>
      </c>
      <c r="CN78" s="20">
        <v>107174</v>
      </c>
      <c r="CO78" s="20">
        <f t="shared" si="113"/>
        <v>107174</v>
      </c>
      <c r="CP78" s="20">
        <v>0</v>
      </c>
      <c r="CQ78" s="20">
        <v>0</v>
      </c>
      <c r="CR78" s="20">
        <v>0</v>
      </c>
      <c r="CS78" s="20">
        <v>0</v>
      </c>
      <c r="CT78" s="20">
        <v>0</v>
      </c>
      <c r="CU78" s="20">
        <v>0</v>
      </c>
      <c r="CV78" s="20">
        <v>0</v>
      </c>
      <c r="CW78" s="20">
        <v>0</v>
      </c>
      <c r="CX78" s="20">
        <v>0</v>
      </c>
      <c r="CY78" s="20">
        <v>0</v>
      </c>
      <c r="CZ78" s="20">
        <v>38499</v>
      </c>
      <c r="DA78" s="20">
        <v>107372</v>
      </c>
      <c r="DB78" s="20">
        <f t="shared" si="114"/>
        <v>107372</v>
      </c>
      <c r="DC78" s="20">
        <v>0</v>
      </c>
      <c r="DD78" s="20">
        <v>0</v>
      </c>
      <c r="DE78" s="20">
        <v>0</v>
      </c>
      <c r="DF78" s="20">
        <v>0</v>
      </c>
      <c r="DG78" s="20">
        <v>0</v>
      </c>
      <c r="DH78" s="20">
        <v>0</v>
      </c>
      <c r="DI78" s="20">
        <v>1222</v>
      </c>
      <c r="DJ78" s="20">
        <v>9602</v>
      </c>
      <c r="DK78" s="20">
        <v>92334</v>
      </c>
      <c r="DL78" s="20">
        <v>96189</v>
      </c>
      <c r="DM78" s="20">
        <v>319595</v>
      </c>
      <c r="DN78" s="20">
        <v>395574</v>
      </c>
      <c r="DO78" s="20">
        <f t="shared" si="115"/>
        <v>395574</v>
      </c>
      <c r="DP78" s="20">
        <v>0</v>
      </c>
      <c r="DQ78" s="20">
        <v>333</v>
      </c>
      <c r="DR78" s="20">
        <v>581</v>
      </c>
      <c r="DS78" s="20">
        <v>17754</v>
      </c>
      <c r="DT78" s="20">
        <v>70246</v>
      </c>
      <c r="DU78" s="20">
        <v>92472</v>
      </c>
      <c r="DV78" s="20">
        <v>321438</v>
      </c>
      <c r="DW78" s="20">
        <v>325356</v>
      </c>
      <c r="DX78" s="20">
        <v>420771</v>
      </c>
      <c r="DY78" s="20">
        <v>450435</v>
      </c>
      <c r="DZ78" s="20">
        <v>501604</v>
      </c>
      <c r="EA78" s="20">
        <v>554997</v>
      </c>
      <c r="EB78" s="20">
        <f t="shared" si="116"/>
        <v>554997</v>
      </c>
      <c r="EC78" s="20">
        <v>0</v>
      </c>
      <c r="ED78" s="20">
        <v>47980</v>
      </c>
      <c r="EE78" s="20">
        <v>92337</v>
      </c>
      <c r="EF78" s="20">
        <v>95895</v>
      </c>
      <c r="EG78" s="20">
        <v>268337</v>
      </c>
      <c r="EH78" s="20">
        <v>389981</v>
      </c>
      <c r="EI78" s="20">
        <v>421650</v>
      </c>
      <c r="EJ78" s="20">
        <v>428305</v>
      </c>
      <c r="EK78" s="20">
        <v>503200</v>
      </c>
      <c r="EL78" s="20">
        <v>506685</v>
      </c>
      <c r="EM78" s="20">
        <v>563895</v>
      </c>
      <c r="EN78" s="20">
        <v>631827</v>
      </c>
      <c r="EO78" s="20">
        <f t="shared" si="117"/>
        <v>631827</v>
      </c>
      <c r="EP78" s="20">
        <v>0</v>
      </c>
      <c r="EQ78" s="20">
        <v>33966</v>
      </c>
      <c r="ER78" s="20">
        <v>39677</v>
      </c>
      <c r="ES78" s="20">
        <v>68547</v>
      </c>
      <c r="ET78" s="20">
        <v>184933</v>
      </c>
      <c r="EU78" s="20">
        <v>316527</v>
      </c>
      <c r="EV78" s="20">
        <v>324773</v>
      </c>
      <c r="EW78" s="20">
        <v>324773</v>
      </c>
      <c r="EX78" s="20">
        <v>329257</v>
      </c>
      <c r="EY78" s="20">
        <v>333451</v>
      </c>
      <c r="EZ78" s="20">
        <v>436896</v>
      </c>
      <c r="FA78" s="20">
        <v>504566</v>
      </c>
      <c r="FB78" s="20">
        <f t="shared" si="118"/>
        <v>504566</v>
      </c>
      <c r="FC78" s="20">
        <v>0</v>
      </c>
      <c r="FD78" s="20">
        <v>0</v>
      </c>
      <c r="FE78" s="20">
        <v>59187</v>
      </c>
      <c r="FF78" s="20">
        <v>68554</v>
      </c>
      <c r="FG78" s="20">
        <v>87338</v>
      </c>
      <c r="FH78" s="20">
        <v>87338</v>
      </c>
      <c r="FI78" s="20">
        <v>87338</v>
      </c>
      <c r="FJ78" s="10"/>
      <c r="FK78" s="10"/>
      <c r="FL78" s="10"/>
      <c r="FM78" s="10"/>
      <c r="FN78" s="10"/>
      <c r="FO78" s="20">
        <f t="shared" si="119"/>
        <v>87338</v>
      </c>
    </row>
    <row r="79" spans="1:171" ht="21.75" customHeight="1">
      <c r="A79" s="10"/>
      <c r="B79" s="15" t="s">
        <v>49</v>
      </c>
      <c r="C79" s="38">
        <f t="shared" ref="C79:AH79" si="120">SUM(C73:C78)</f>
        <v>1371</v>
      </c>
      <c r="D79" s="38">
        <f t="shared" si="120"/>
        <v>14594</v>
      </c>
      <c r="E79" s="38">
        <f t="shared" si="120"/>
        <v>195096</v>
      </c>
      <c r="F79" s="38">
        <f t="shared" si="120"/>
        <v>301989</v>
      </c>
      <c r="G79" s="38">
        <f t="shared" si="120"/>
        <v>556759</v>
      </c>
      <c r="H79" s="38">
        <f t="shared" si="120"/>
        <v>1034775</v>
      </c>
      <c r="I79" s="38">
        <f t="shared" si="120"/>
        <v>1426755</v>
      </c>
      <c r="J79" s="38">
        <f t="shared" si="120"/>
        <v>1993508</v>
      </c>
      <c r="K79" s="38">
        <f t="shared" si="120"/>
        <v>2736749</v>
      </c>
      <c r="L79" s="38">
        <f t="shared" si="120"/>
        <v>3729562</v>
      </c>
      <c r="M79" s="38">
        <f t="shared" si="120"/>
        <v>4387206</v>
      </c>
      <c r="N79" s="38">
        <f t="shared" si="120"/>
        <v>13720677</v>
      </c>
      <c r="O79" s="38">
        <f t="shared" si="120"/>
        <v>13720677</v>
      </c>
      <c r="P79" s="38">
        <f t="shared" si="120"/>
        <v>98</v>
      </c>
      <c r="Q79" s="38">
        <f t="shared" si="120"/>
        <v>4437</v>
      </c>
      <c r="R79" s="38">
        <f t="shared" si="120"/>
        <v>19682</v>
      </c>
      <c r="S79" s="38">
        <f t="shared" si="120"/>
        <v>214915</v>
      </c>
      <c r="T79" s="38">
        <f t="shared" si="120"/>
        <v>983671</v>
      </c>
      <c r="U79" s="38">
        <f t="shared" si="120"/>
        <v>1803209</v>
      </c>
      <c r="V79" s="38">
        <f t="shared" si="120"/>
        <v>2229111</v>
      </c>
      <c r="W79" s="38">
        <f t="shared" si="120"/>
        <v>5843691</v>
      </c>
      <c r="X79" s="38">
        <f t="shared" si="120"/>
        <v>7204574</v>
      </c>
      <c r="Y79" s="38">
        <f t="shared" si="120"/>
        <v>8078294</v>
      </c>
      <c r="Z79" s="38">
        <f t="shared" si="120"/>
        <v>9080689</v>
      </c>
      <c r="AA79" s="38">
        <f t="shared" si="120"/>
        <v>15186096</v>
      </c>
      <c r="AB79" s="38">
        <f t="shared" si="120"/>
        <v>15186096</v>
      </c>
      <c r="AC79" s="38">
        <f t="shared" si="120"/>
        <v>190</v>
      </c>
      <c r="AD79" s="38">
        <f t="shared" si="120"/>
        <v>43864</v>
      </c>
      <c r="AE79" s="38">
        <f t="shared" si="120"/>
        <v>374746</v>
      </c>
      <c r="AF79" s="38">
        <f t="shared" si="120"/>
        <v>503826</v>
      </c>
      <c r="AG79" s="38">
        <f t="shared" si="120"/>
        <v>1270748</v>
      </c>
      <c r="AH79" s="38">
        <f t="shared" si="120"/>
        <v>1302991</v>
      </c>
      <c r="AI79" s="38">
        <f t="shared" ref="AI79:BN79" si="121">SUM(AI73:AI78)</f>
        <v>2400934</v>
      </c>
      <c r="AJ79" s="38">
        <f t="shared" si="121"/>
        <v>3744939</v>
      </c>
      <c r="AK79" s="38">
        <f t="shared" si="121"/>
        <v>4431865</v>
      </c>
      <c r="AL79" s="38">
        <f t="shared" si="121"/>
        <v>5510590</v>
      </c>
      <c r="AM79" s="38">
        <f t="shared" si="121"/>
        <v>6091339</v>
      </c>
      <c r="AN79" s="38">
        <f t="shared" si="121"/>
        <v>8188414</v>
      </c>
      <c r="AO79" s="38">
        <f t="shared" si="121"/>
        <v>8188414</v>
      </c>
      <c r="AP79" s="38">
        <f t="shared" si="121"/>
        <v>1234</v>
      </c>
      <c r="AQ79" s="38">
        <f t="shared" si="121"/>
        <v>802137</v>
      </c>
      <c r="AR79" s="38">
        <f t="shared" si="121"/>
        <v>813175</v>
      </c>
      <c r="AS79" s="38">
        <f t="shared" si="121"/>
        <v>970598</v>
      </c>
      <c r="AT79" s="38">
        <f t="shared" si="121"/>
        <v>1172393</v>
      </c>
      <c r="AU79" s="38">
        <f t="shared" si="121"/>
        <v>1280307</v>
      </c>
      <c r="AV79" s="38">
        <f t="shared" si="121"/>
        <v>1610317</v>
      </c>
      <c r="AW79" s="38">
        <f t="shared" si="121"/>
        <v>2716401</v>
      </c>
      <c r="AX79" s="38">
        <f t="shared" si="121"/>
        <v>3828005</v>
      </c>
      <c r="AY79" s="38">
        <f t="shared" si="121"/>
        <v>4287655</v>
      </c>
      <c r="AZ79" s="38">
        <f t="shared" si="121"/>
        <v>5892866</v>
      </c>
      <c r="BA79" s="38">
        <f t="shared" si="121"/>
        <v>20342284</v>
      </c>
      <c r="BB79" s="38">
        <f t="shared" si="121"/>
        <v>20342284</v>
      </c>
      <c r="BC79" s="38">
        <f t="shared" si="121"/>
        <v>198</v>
      </c>
      <c r="BD79" s="38">
        <f t="shared" si="121"/>
        <v>6334</v>
      </c>
      <c r="BE79" s="38">
        <f t="shared" si="121"/>
        <v>273608</v>
      </c>
      <c r="BF79" s="38">
        <f t="shared" si="121"/>
        <v>2337694</v>
      </c>
      <c r="BG79" s="38">
        <f t="shared" si="121"/>
        <v>2779438</v>
      </c>
      <c r="BH79" s="38">
        <f t="shared" si="121"/>
        <v>4782936</v>
      </c>
      <c r="BI79" s="38">
        <f t="shared" si="121"/>
        <v>4825073</v>
      </c>
      <c r="BJ79" s="38">
        <f t="shared" si="121"/>
        <v>4908596</v>
      </c>
      <c r="BK79" s="38">
        <f t="shared" si="121"/>
        <v>5085573</v>
      </c>
      <c r="BL79" s="38">
        <f t="shared" si="121"/>
        <v>6586858</v>
      </c>
      <c r="BM79" s="38">
        <f t="shared" si="121"/>
        <v>6792240</v>
      </c>
      <c r="BN79" s="38">
        <f t="shared" si="121"/>
        <v>14082713</v>
      </c>
      <c r="BO79" s="38">
        <f t="shared" ref="BO79:CT79" si="122">SUM(BO73:BO78)</f>
        <v>14082713</v>
      </c>
      <c r="BP79" s="38">
        <f t="shared" si="122"/>
        <v>917</v>
      </c>
      <c r="BQ79" s="38">
        <f t="shared" si="122"/>
        <v>25641</v>
      </c>
      <c r="BR79" s="38">
        <f t="shared" si="122"/>
        <v>34202</v>
      </c>
      <c r="BS79" s="38">
        <f t="shared" si="122"/>
        <v>75013</v>
      </c>
      <c r="BT79" s="38">
        <f t="shared" si="122"/>
        <v>154914</v>
      </c>
      <c r="BU79" s="38">
        <f t="shared" si="122"/>
        <v>227327</v>
      </c>
      <c r="BV79" s="38">
        <f t="shared" si="122"/>
        <v>361756</v>
      </c>
      <c r="BW79" s="38">
        <f t="shared" si="122"/>
        <v>559230</v>
      </c>
      <c r="BX79" s="38">
        <f t="shared" si="122"/>
        <v>803285</v>
      </c>
      <c r="BY79" s="38">
        <f t="shared" si="122"/>
        <v>870929</v>
      </c>
      <c r="BZ79" s="38">
        <f t="shared" si="122"/>
        <v>1853912</v>
      </c>
      <c r="CA79" s="38">
        <f t="shared" si="122"/>
        <v>8626328</v>
      </c>
      <c r="CB79" s="38">
        <f t="shared" si="122"/>
        <v>8626328</v>
      </c>
      <c r="CC79" s="38">
        <f t="shared" si="122"/>
        <v>701</v>
      </c>
      <c r="CD79" s="38">
        <f t="shared" si="122"/>
        <v>180143</v>
      </c>
      <c r="CE79" s="38">
        <f t="shared" si="122"/>
        <v>242856</v>
      </c>
      <c r="CF79" s="38">
        <f t="shared" si="122"/>
        <v>262791</v>
      </c>
      <c r="CG79" s="38">
        <f t="shared" si="122"/>
        <v>567222</v>
      </c>
      <c r="CH79" s="38">
        <f t="shared" si="122"/>
        <v>642092</v>
      </c>
      <c r="CI79" s="38">
        <f t="shared" si="122"/>
        <v>671996</v>
      </c>
      <c r="CJ79" s="38">
        <f t="shared" si="122"/>
        <v>1049067</v>
      </c>
      <c r="CK79" s="38">
        <f t="shared" si="122"/>
        <v>1670315</v>
      </c>
      <c r="CL79" s="38">
        <f t="shared" si="122"/>
        <v>2014665</v>
      </c>
      <c r="CM79" s="38">
        <f t="shared" si="122"/>
        <v>2780900</v>
      </c>
      <c r="CN79" s="38">
        <f t="shared" si="122"/>
        <v>8560528</v>
      </c>
      <c r="CO79" s="38">
        <f t="shared" si="122"/>
        <v>8560528</v>
      </c>
      <c r="CP79" s="38">
        <f t="shared" si="122"/>
        <v>0</v>
      </c>
      <c r="CQ79" s="38">
        <f t="shared" si="122"/>
        <v>425958</v>
      </c>
      <c r="CR79" s="38">
        <f t="shared" si="122"/>
        <v>1470948</v>
      </c>
      <c r="CS79" s="38">
        <f t="shared" si="122"/>
        <v>1475537</v>
      </c>
      <c r="CT79" s="38">
        <f t="shared" si="122"/>
        <v>1491037</v>
      </c>
      <c r="CU79" s="38">
        <f t="shared" ref="CU79:DZ79" si="123">SUM(CU73:CU78)</f>
        <v>1786355</v>
      </c>
      <c r="CV79" s="38">
        <f t="shared" si="123"/>
        <v>2633620</v>
      </c>
      <c r="CW79" s="38">
        <f t="shared" si="123"/>
        <v>2801277</v>
      </c>
      <c r="CX79" s="38">
        <f t="shared" si="123"/>
        <v>2935524</v>
      </c>
      <c r="CY79" s="38">
        <f t="shared" si="123"/>
        <v>3099676</v>
      </c>
      <c r="CZ79" s="38">
        <f t="shared" si="123"/>
        <v>3924655</v>
      </c>
      <c r="DA79" s="38">
        <f t="shared" si="123"/>
        <v>6357835</v>
      </c>
      <c r="DB79" s="38">
        <f t="shared" si="123"/>
        <v>6357835</v>
      </c>
      <c r="DC79" s="38">
        <f t="shared" si="123"/>
        <v>0</v>
      </c>
      <c r="DD79" s="38">
        <f t="shared" si="123"/>
        <v>0</v>
      </c>
      <c r="DE79" s="38">
        <f t="shared" si="123"/>
        <v>397</v>
      </c>
      <c r="DF79" s="38">
        <f t="shared" si="123"/>
        <v>462</v>
      </c>
      <c r="DG79" s="38">
        <f t="shared" si="123"/>
        <v>110919</v>
      </c>
      <c r="DH79" s="38">
        <f t="shared" si="123"/>
        <v>142091</v>
      </c>
      <c r="DI79" s="38">
        <f t="shared" si="123"/>
        <v>155178</v>
      </c>
      <c r="DJ79" s="38">
        <f t="shared" si="123"/>
        <v>225311</v>
      </c>
      <c r="DK79" s="38">
        <f t="shared" si="123"/>
        <v>556965</v>
      </c>
      <c r="DL79" s="38">
        <f t="shared" si="123"/>
        <v>804825</v>
      </c>
      <c r="DM79" s="38">
        <f t="shared" si="123"/>
        <v>2647600</v>
      </c>
      <c r="DN79" s="38">
        <f t="shared" si="123"/>
        <v>11702380</v>
      </c>
      <c r="DO79" s="38">
        <f t="shared" si="123"/>
        <v>11702380</v>
      </c>
      <c r="DP79" s="38">
        <f t="shared" si="123"/>
        <v>20554</v>
      </c>
      <c r="DQ79" s="38">
        <f t="shared" si="123"/>
        <v>27246</v>
      </c>
      <c r="DR79" s="38">
        <f t="shared" si="123"/>
        <v>62594</v>
      </c>
      <c r="DS79" s="38">
        <f t="shared" si="123"/>
        <v>146546</v>
      </c>
      <c r="DT79" s="38">
        <f t="shared" si="123"/>
        <v>453951</v>
      </c>
      <c r="DU79" s="38">
        <f t="shared" si="123"/>
        <v>648049</v>
      </c>
      <c r="DV79" s="38">
        <f t="shared" si="123"/>
        <v>1110604</v>
      </c>
      <c r="DW79" s="38">
        <f t="shared" si="123"/>
        <v>1161635</v>
      </c>
      <c r="DX79" s="38">
        <f t="shared" si="123"/>
        <v>1805132</v>
      </c>
      <c r="DY79" s="38">
        <f t="shared" si="123"/>
        <v>2107787</v>
      </c>
      <c r="DZ79" s="38">
        <f t="shared" si="123"/>
        <v>2802625</v>
      </c>
      <c r="EA79" s="38">
        <f t="shared" ref="EA79:FF79" si="124">SUM(EA73:EA78)</f>
        <v>9544355</v>
      </c>
      <c r="EB79" s="38">
        <f t="shared" si="124"/>
        <v>9544355</v>
      </c>
      <c r="EC79" s="38">
        <f t="shared" si="124"/>
        <v>10076</v>
      </c>
      <c r="ED79" s="38">
        <f t="shared" si="124"/>
        <v>58249</v>
      </c>
      <c r="EE79" s="38">
        <f t="shared" si="124"/>
        <v>103169</v>
      </c>
      <c r="EF79" s="38">
        <f t="shared" si="124"/>
        <v>112844</v>
      </c>
      <c r="EG79" s="38">
        <f t="shared" si="124"/>
        <v>387074</v>
      </c>
      <c r="EH79" s="38">
        <f t="shared" si="124"/>
        <v>1315632</v>
      </c>
      <c r="EI79" s="38">
        <f t="shared" si="124"/>
        <v>1441079</v>
      </c>
      <c r="EJ79" s="38">
        <f t="shared" si="124"/>
        <v>1820572</v>
      </c>
      <c r="EK79" s="38">
        <f t="shared" si="124"/>
        <v>3400974</v>
      </c>
      <c r="EL79" s="38">
        <f t="shared" si="124"/>
        <v>3894138</v>
      </c>
      <c r="EM79" s="38">
        <f t="shared" si="124"/>
        <v>4374846</v>
      </c>
      <c r="EN79" s="38">
        <f t="shared" si="124"/>
        <v>6773876</v>
      </c>
      <c r="EO79" s="38">
        <f t="shared" si="124"/>
        <v>6773876</v>
      </c>
      <c r="EP79" s="38">
        <f t="shared" si="124"/>
        <v>0</v>
      </c>
      <c r="EQ79" s="38">
        <f t="shared" si="124"/>
        <v>131595</v>
      </c>
      <c r="ER79" s="38">
        <f t="shared" si="124"/>
        <v>137588</v>
      </c>
      <c r="ES79" s="38">
        <f t="shared" si="124"/>
        <v>178149</v>
      </c>
      <c r="ET79" s="38">
        <f t="shared" si="124"/>
        <v>442262</v>
      </c>
      <c r="EU79" s="38">
        <f t="shared" si="124"/>
        <v>672312</v>
      </c>
      <c r="EV79" s="38">
        <f t="shared" si="124"/>
        <v>1232379</v>
      </c>
      <c r="EW79" s="38">
        <f t="shared" si="124"/>
        <v>2124234</v>
      </c>
      <c r="EX79" s="38">
        <f t="shared" si="124"/>
        <v>2214112</v>
      </c>
      <c r="EY79" s="38">
        <f t="shared" si="124"/>
        <v>2549130</v>
      </c>
      <c r="EZ79" s="38">
        <f t="shared" si="124"/>
        <v>3427048</v>
      </c>
      <c r="FA79" s="38">
        <f t="shared" si="124"/>
        <v>5904453</v>
      </c>
      <c r="FB79" s="38">
        <f t="shared" si="124"/>
        <v>5904453</v>
      </c>
      <c r="FC79" s="38">
        <f t="shared" si="124"/>
        <v>70510</v>
      </c>
      <c r="FD79" s="38">
        <f t="shared" si="124"/>
        <v>70510</v>
      </c>
      <c r="FE79" s="38">
        <f t="shared" si="124"/>
        <v>136258</v>
      </c>
      <c r="FF79" s="38">
        <f t="shared" si="124"/>
        <v>175936</v>
      </c>
      <c r="FG79" s="38">
        <f t="shared" ref="FG79:GL79" si="125">SUM(FG73:FG78)</f>
        <v>500946</v>
      </c>
      <c r="FH79" s="38">
        <f t="shared" si="125"/>
        <v>1117642</v>
      </c>
      <c r="FI79" s="38">
        <f t="shared" si="125"/>
        <v>1241894</v>
      </c>
      <c r="FJ79" s="38">
        <f t="shared" si="125"/>
        <v>0</v>
      </c>
      <c r="FK79" s="38">
        <f t="shared" si="125"/>
        <v>0</v>
      </c>
      <c r="FL79" s="38">
        <f t="shared" si="125"/>
        <v>0</v>
      </c>
      <c r="FM79" s="38">
        <f t="shared" si="125"/>
        <v>0</v>
      </c>
      <c r="FN79" s="38">
        <f t="shared" si="125"/>
        <v>0</v>
      </c>
      <c r="FO79" s="38">
        <f t="shared" si="125"/>
        <v>1241894</v>
      </c>
    </row>
    <row r="80" spans="1:171" ht="14.25" customHeight="1">
      <c r="A80" s="10"/>
      <c r="B80" s="18" t="s">
        <v>54</v>
      </c>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row>
    <row r="81" spans="1:17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row>
    <row r="82" spans="1:171"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row>
    <row r="83" spans="1:171" ht="25.5" customHeight="1">
      <c r="A83" s="10"/>
      <c r="B83" s="106" t="s">
        <v>61</v>
      </c>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c r="BT83" s="105"/>
      <c r="BU83" s="105"/>
      <c r="BV83" s="105"/>
      <c r="BW83" s="105"/>
      <c r="BX83" s="105"/>
      <c r="BY83" s="105"/>
      <c r="BZ83" s="105"/>
      <c r="CA83" s="105"/>
      <c r="CB83" s="105"/>
      <c r="CC83" s="105"/>
      <c r="CD83" s="105"/>
      <c r="CE83" s="105"/>
      <c r="CF83" s="105"/>
      <c r="CG83" s="105"/>
      <c r="CH83" s="105"/>
      <c r="CI83" s="105"/>
      <c r="CJ83" s="105"/>
      <c r="CK83" s="105"/>
      <c r="CL83" s="105"/>
      <c r="CM83" s="105"/>
      <c r="CN83" s="105"/>
      <c r="CO83" s="105"/>
      <c r="CP83" s="105"/>
      <c r="CQ83" s="105"/>
      <c r="CR83" s="105"/>
      <c r="CS83" s="105"/>
      <c r="CT83" s="105"/>
      <c r="CU83" s="105"/>
      <c r="CV83" s="105"/>
      <c r="CW83" s="105"/>
      <c r="CX83" s="105"/>
      <c r="CY83" s="105"/>
      <c r="CZ83" s="105"/>
      <c r="DA83" s="105"/>
      <c r="DB83" s="105"/>
      <c r="DC83" s="105"/>
      <c r="DD83" s="105"/>
      <c r="DE83" s="105"/>
      <c r="DF83" s="105"/>
      <c r="DG83" s="105"/>
      <c r="DH83" s="105"/>
      <c r="DI83" s="105"/>
      <c r="DJ83" s="105"/>
      <c r="DK83" s="105"/>
      <c r="DL83" s="105"/>
      <c r="DM83" s="105"/>
      <c r="DN83" s="105"/>
      <c r="DO83" s="105"/>
      <c r="DP83" s="105"/>
      <c r="DQ83" s="105"/>
      <c r="DR83" s="105"/>
      <c r="DS83" s="105"/>
      <c r="DT83" s="105"/>
      <c r="DU83" s="105"/>
      <c r="DV83" s="105"/>
      <c r="DW83" s="105"/>
      <c r="DX83" s="105"/>
      <c r="DY83" s="105"/>
      <c r="DZ83" s="105"/>
      <c r="EA83" s="105"/>
      <c r="EB83" s="105"/>
      <c r="EC83" s="105"/>
      <c r="ED83" s="105"/>
      <c r="EE83" s="105"/>
      <c r="EF83" s="105"/>
      <c r="EG83" s="105"/>
      <c r="EH83" s="105"/>
      <c r="EI83" s="105"/>
      <c r="EJ83" s="105"/>
      <c r="EK83" s="105"/>
      <c r="EL83" s="105"/>
      <c r="EM83" s="105"/>
      <c r="EN83" s="105"/>
      <c r="EO83" s="105"/>
      <c r="EP83" s="105"/>
      <c r="EQ83" s="105"/>
      <c r="ER83" s="105"/>
      <c r="ES83" s="105"/>
      <c r="ET83" s="105"/>
      <c r="EU83" s="105"/>
      <c r="EV83" s="105"/>
      <c r="EW83" s="105"/>
      <c r="EX83" s="105"/>
      <c r="EY83" s="105"/>
      <c r="EZ83" s="105"/>
      <c r="FA83" s="105"/>
      <c r="FB83" s="105"/>
      <c r="FC83" s="105"/>
      <c r="FD83" s="105"/>
      <c r="FE83" s="105"/>
      <c r="FF83" s="105"/>
      <c r="FG83" s="105"/>
      <c r="FH83" s="105"/>
      <c r="FI83" s="105"/>
      <c r="FJ83" s="105"/>
      <c r="FK83" s="105"/>
      <c r="FL83" s="105"/>
      <c r="FM83" s="105"/>
      <c r="FN83" s="105"/>
      <c r="FO83" s="105"/>
    </row>
    <row r="84" spans="1:171"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row>
    <row r="85" spans="1:171" ht="15.75" customHeight="1">
      <c r="A85" s="10"/>
      <c r="B85" s="104" t="s">
        <v>62</v>
      </c>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5"/>
      <c r="BS85" s="105"/>
      <c r="BT85" s="105"/>
      <c r="BU85" s="105"/>
      <c r="BV85" s="105"/>
      <c r="BW85" s="105"/>
      <c r="BX85" s="105"/>
      <c r="BY85" s="105"/>
      <c r="BZ85" s="105"/>
      <c r="CA85" s="105"/>
      <c r="CB85" s="105"/>
      <c r="CC85" s="105"/>
      <c r="CD85" s="105"/>
      <c r="CE85" s="105"/>
      <c r="CF85" s="105"/>
      <c r="CG85" s="105"/>
      <c r="CH85" s="105"/>
      <c r="CI85" s="105"/>
      <c r="CJ85" s="105"/>
      <c r="CK85" s="105"/>
      <c r="CL85" s="105"/>
      <c r="CM85" s="105"/>
      <c r="CN85" s="105"/>
      <c r="CO85" s="105"/>
      <c r="CP85" s="105"/>
      <c r="CQ85" s="105"/>
      <c r="CR85" s="105"/>
      <c r="CS85" s="105"/>
      <c r="CT85" s="105"/>
      <c r="CU85" s="105"/>
      <c r="CV85" s="105"/>
      <c r="CW85" s="105"/>
      <c r="CX85" s="105"/>
      <c r="CY85" s="105"/>
      <c r="CZ85" s="105"/>
      <c r="DA85" s="105"/>
      <c r="DB85" s="105"/>
      <c r="DC85" s="105"/>
      <c r="DD85" s="105"/>
      <c r="DE85" s="105"/>
      <c r="DF85" s="105"/>
      <c r="DG85" s="105"/>
      <c r="DH85" s="105"/>
      <c r="DI85" s="105"/>
      <c r="DJ85" s="105"/>
      <c r="DK85" s="105"/>
      <c r="DL85" s="105"/>
      <c r="DM85" s="105"/>
      <c r="DN85" s="105"/>
      <c r="DO85" s="105"/>
      <c r="DP85" s="105"/>
      <c r="DQ85" s="105"/>
      <c r="DR85" s="105"/>
      <c r="DS85" s="105"/>
      <c r="DT85" s="105"/>
      <c r="DU85" s="105"/>
      <c r="DV85" s="105"/>
      <c r="DW85" s="105"/>
      <c r="DX85" s="105"/>
      <c r="DY85" s="105"/>
      <c r="DZ85" s="105"/>
      <c r="EA85" s="105"/>
      <c r="EB85" s="105"/>
      <c r="EC85" s="105"/>
      <c r="ED85" s="105"/>
      <c r="EE85" s="105"/>
      <c r="EF85" s="105"/>
      <c r="EG85" s="105"/>
      <c r="EH85" s="105"/>
      <c r="EI85" s="105"/>
      <c r="EJ85" s="105"/>
      <c r="EK85" s="105"/>
      <c r="EL85" s="105"/>
      <c r="EM85" s="105"/>
      <c r="EN85" s="105"/>
      <c r="EO85" s="105"/>
      <c r="EP85" s="105"/>
      <c r="EQ85" s="105"/>
      <c r="ER85" s="105"/>
      <c r="ES85" s="105"/>
      <c r="ET85" s="105"/>
      <c r="EU85" s="105"/>
      <c r="EV85" s="105"/>
      <c r="EW85" s="105"/>
      <c r="EX85" s="105"/>
      <c r="EY85" s="105"/>
      <c r="EZ85" s="105"/>
      <c r="FA85" s="105"/>
      <c r="FB85" s="105"/>
      <c r="FC85" s="105"/>
      <c r="FD85" s="105"/>
      <c r="FE85" s="105"/>
      <c r="FF85" s="105"/>
      <c r="FG85" s="105"/>
      <c r="FH85" s="105"/>
      <c r="FI85" s="105"/>
      <c r="FJ85" s="105"/>
      <c r="FK85" s="105"/>
      <c r="FL85" s="105"/>
      <c r="FM85" s="105"/>
      <c r="FN85" s="105"/>
      <c r="FO85" s="105"/>
    </row>
    <row r="86" spans="1:171" ht="21.75" customHeight="1">
      <c r="A86" s="10"/>
      <c r="B86" s="14"/>
      <c r="C86" s="102" t="s">
        <v>4</v>
      </c>
      <c r="D86" s="103"/>
      <c r="E86" s="103"/>
      <c r="F86" s="103"/>
      <c r="G86" s="103"/>
      <c r="H86" s="103"/>
      <c r="I86" s="103"/>
      <c r="J86" s="103"/>
      <c r="K86" s="103"/>
      <c r="L86" s="103"/>
      <c r="M86" s="103"/>
      <c r="N86" s="103"/>
      <c r="O86" s="103"/>
      <c r="P86" s="102" t="s">
        <v>5</v>
      </c>
      <c r="Q86" s="103"/>
      <c r="R86" s="103"/>
      <c r="S86" s="103"/>
      <c r="T86" s="103"/>
      <c r="U86" s="103"/>
      <c r="V86" s="103"/>
      <c r="W86" s="103"/>
      <c r="X86" s="103"/>
      <c r="Y86" s="103"/>
      <c r="Z86" s="103"/>
      <c r="AA86" s="103"/>
      <c r="AB86" s="103"/>
      <c r="AC86" s="102" t="s">
        <v>6</v>
      </c>
      <c r="AD86" s="103"/>
      <c r="AE86" s="103"/>
      <c r="AF86" s="103"/>
      <c r="AG86" s="103"/>
      <c r="AH86" s="103"/>
      <c r="AI86" s="103"/>
      <c r="AJ86" s="103"/>
      <c r="AK86" s="103"/>
      <c r="AL86" s="103"/>
      <c r="AM86" s="103"/>
      <c r="AN86" s="103"/>
      <c r="AO86" s="103"/>
      <c r="AP86" s="102" t="s">
        <v>7</v>
      </c>
      <c r="AQ86" s="103"/>
      <c r="AR86" s="103"/>
      <c r="AS86" s="103"/>
      <c r="AT86" s="103"/>
      <c r="AU86" s="103"/>
      <c r="AV86" s="103"/>
      <c r="AW86" s="103"/>
      <c r="AX86" s="103"/>
      <c r="AY86" s="103"/>
      <c r="AZ86" s="103"/>
      <c r="BA86" s="103"/>
      <c r="BB86" s="103"/>
      <c r="BC86" s="102" t="s">
        <v>8</v>
      </c>
      <c r="BD86" s="103"/>
      <c r="BE86" s="103"/>
      <c r="BF86" s="103"/>
      <c r="BG86" s="103"/>
      <c r="BH86" s="103"/>
      <c r="BI86" s="103"/>
      <c r="BJ86" s="103"/>
      <c r="BK86" s="103"/>
      <c r="BL86" s="103"/>
      <c r="BM86" s="103"/>
      <c r="BN86" s="103"/>
      <c r="BO86" s="103"/>
      <c r="BP86" s="102" t="s">
        <v>9</v>
      </c>
      <c r="BQ86" s="103"/>
      <c r="BR86" s="103"/>
      <c r="BS86" s="103"/>
      <c r="BT86" s="103"/>
      <c r="BU86" s="103"/>
      <c r="BV86" s="103"/>
      <c r="BW86" s="103"/>
      <c r="BX86" s="103"/>
      <c r="BY86" s="103"/>
      <c r="BZ86" s="103"/>
      <c r="CA86" s="103"/>
      <c r="CB86" s="103"/>
      <c r="CC86" s="102" t="s">
        <v>10</v>
      </c>
      <c r="CD86" s="103"/>
      <c r="CE86" s="103"/>
      <c r="CF86" s="103"/>
      <c r="CG86" s="103"/>
      <c r="CH86" s="103"/>
      <c r="CI86" s="103"/>
      <c r="CJ86" s="103"/>
      <c r="CK86" s="103"/>
      <c r="CL86" s="103"/>
      <c r="CM86" s="103"/>
      <c r="CN86" s="103"/>
      <c r="CO86" s="103"/>
      <c r="CP86" s="102" t="s">
        <v>57</v>
      </c>
      <c r="CQ86" s="103"/>
      <c r="CR86" s="103"/>
      <c r="CS86" s="103"/>
      <c r="CT86" s="103"/>
      <c r="CU86" s="103"/>
      <c r="CV86" s="103"/>
      <c r="CW86" s="103"/>
      <c r="CX86" s="103"/>
      <c r="CY86" s="103"/>
      <c r="CZ86" s="103"/>
      <c r="DA86" s="103"/>
      <c r="DB86" s="103"/>
      <c r="DC86" s="102" t="s">
        <v>58</v>
      </c>
      <c r="DD86" s="103"/>
      <c r="DE86" s="103"/>
      <c r="DF86" s="103"/>
      <c r="DG86" s="103"/>
      <c r="DH86" s="103"/>
      <c r="DI86" s="103"/>
      <c r="DJ86" s="103"/>
      <c r="DK86" s="103"/>
      <c r="DL86" s="103"/>
      <c r="DM86" s="103"/>
      <c r="DN86" s="103"/>
      <c r="DO86" s="103"/>
      <c r="DP86" s="102" t="s">
        <v>13</v>
      </c>
      <c r="DQ86" s="103"/>
      <c r="DR86" s="103"/>
      <c r="DS86" s="103"/>
      <c r="DT86" s="103"/>
      <c r="DU86" s="103"/>
      <c r="DV86" s="103"/>
      <c r="DW86" s="103"/>
      <c r="DX86" s="103"/>
      <c r="DY86" s="103"/>
      <c r="DZ86" s="103"/>
      <c r="EA86" s="103"/>
      <c r="EB86" s="103"/>
      <c r="EC86" s="102" t="s">
        <v>14</v>
      </c>
      <c r="ED86" s="103"/>
      <c r="EE86" s="103"/>
      <c r="EF86" s="103"/>
      <c r="EG86" s="103"/>
      <c r="EH86" s="103"/>
      <c r="EI86" s="103"/>
      <c r="EJ86" s="103"/>
      <c r="EK86" s="103"/>
      <c r="EL86" s="103"/>
      <c r="EM86" s="103"/>
      <c r="EN86" s="103"/>
      <c r="EO86" s="103"/>
      <c r="EP86" s="102" t="s">
        <v>15</v>
      </c>
      <c r="EQ86" s="103"/>
      <c r="ER86" s="103"/>
      <c r="ES86" s="103"/>
      <c r="ET86" s="103"/>
      <c r="EU86" s="103"/>
      <c r="EV86" s="103"/>
      <c r="EW86" s="103"/>
      <c r="EX86" s="103"/>
      <c r="EY86" s="103"/>
      <c r="EZ86" s="103"/>
      <c r="FA86" s="103"/>
      <c r="FB86" s="103"/>
      <c r="FC86" s="102" t="s">
        <v>16</v>
      </c>
      <c r="FD86" s="103"/>
      <c r="FE86" s="103"/>
      <c r="FF86" s="103"/>
      <c r="FG86" s="103"/>
      <c r="FH86" s="103"/>
      <c r="FI86" s="103"/>
      <c r="FJ86" s="103"/>
      <c r="FK86" s="103"/>
      <c r="FL86" s="103"/>
      <c r="FM86" s="103"/>
      <c r="FN86" s="103"/>
      <c r="FO86" s="103"/>
    </row>
    <row r="87" spans="1:171" ht="27.75" customHeight="1">
      <c r="A87" s="10"/>
      <c r="B87" s="15" t="s">
        <v>17</v>
      </c>
      <c r="C87" s="16" t="s">
        <v>18</v>
      </c>
      <c r="D87" s="16" t="s">
        <v>19</v>
      </c>
      <c r="E87" s="16" t="s">
        <v>20</v>
      </c>
      <c r="F87" s="16" t="s">
        <v>21</v>
      </c>
      <c r="G87" s="16" t="s">
        <v>22</v>
      </c>
      <c r="H87" s="16" t="s">
        <v>23</v>
      </c>
      <c r="I87" s="16" t="s">
        <v>24</v>
      </c>
      <c r="J87" s="16" t="s">
        <v>25</v>
      </c>
      <c r="K87" s="16" t="s">
        <v>26</v>
      </c>
      <c r="L87" s="16" t="s">
        <v>27</v>
      </c>
      <c r="M87" s="16" t="s">
        <v>28</v>
      </c>
      <c r="N87" s="16" t="s">
        <v>29</v>
      </c>
      <c r="O87" s="16" t="s">
        <v>30</v>
      </c>
      <c r="P87" s="16" t="s">
        <v>18</v>
      </c>
      <c r="Q87" s="16" t="s">
        <v>19</v>
      </c>
      <c r="R87" s="16" t="s">
        <v>20</v>
      </c>
      <c r="S87" s="16" t="s">
        <v>21</v>
      </c>
      <c r="T87" s="16" t="s">
        <v>22</v>
      </c>
      <c r="U87" s="16" t="s">
        <v>23</v>
      </c>
      <c r="V87" s="16" t="s">
        <v>24</v>
      </c>
      <c r="W87" s="16" t="s">
        <v>25</v>
      </c>
      <c r="X87" s="16" t="s">
        <v>26</v>
      </c>
      <c r="Y87" s="16" t="s">
        <v>27</v>
      </c>
      <c r="Z87" s="16" t="s">
        <v>28</v>
      </c>
      <c r="AA87" s="16" t="s">
        <v>29</v>
      </c>
      <c r="AB87" s="16" t="s">
        <v>31</v>
      </c>
      <c r="AC87" s="16" t="s">
        <v>18</v>
      </c>
      <c r="AD87" s="16" t="s">
        <v>19</v>
      </c>
      <c r="AE87" s="16" t="s">
        <v>20</v>
      </c>
      <c r="AF87" s="16" t="s">
        <v>21</v>
      </c>
      <c r="AG87" s="16" t="s">
        <v>22</v>
      </c>
      <c r="AH87" s="16" t="s">
        <v>23</v>
      </c>
      <c r="AI87" s="16" t="s">
        <v>24</v>
      </c>
      <c r="AJ87" s="16" t="s">
        <v>25</v>
      </c>
      <c r="AK87" s="16" t="s">
        <v>26</v>
      </c>
      <c r="AL87" s="16" t="s">
        <v>27</v>
      </c>
      <c r="AM87" s="16" t="s">
        <v>28</v>
      </c>
      <c r="AN87" s="16" t="s">
        <v>29</v>
      </c>
      <c r="AO87" s="16" t="s">
        <v>32</v>
      </c>
      <c r="AP87" s="16" t="s">
        <v>18</v>
      </c>
      <c r="AQ87" s="16" t="s">
        <v>19</v>
      </c>
      <c r="AR87" s="16" t="s">
        <v>20</v>
      </c>
      <c r="AS87" s="16" t="s">
        <v>21</v>
      </c>
      <c r="AT87" s="16" t="s">
        <v>22</v>
      </c>
      <c r="AU87" s="16" t="s">
        <v>23</v>
      </c>
      <c r="AV87" s="16" t="s">
        <v>24</v>
      </c>
      <c r="AW87" s="16" t="s">
        <v>25</v>
      </c>
      <c r="AX87" s="16" t="s">
        <v>26</v>
      </c>
      <c r="AY87" s="16" t="s">
        <v>27</v>
      </c>
      <c r="AZ87" s="16" t="s">
        <v>28</v>
      </c>
      <c r="BA87" s="16" t="s">
        <v>29</v>
      </c>
      <c r="BB87" s="16" t="s">
        <v>33</v>
      </c>
      <c r="BC87" s="16" t="s">
        <v>18</v>
      </c>
      <c r="BD87" s="16" t="s">
        <v>19</v>
      </c>
      <c r="BE87" s="16" t="s">
        <v>20</v>
      </c>
      <c r="BF87" s="16" t="s">
        <v>21</v>
      </c>
      <c r="BG87" s="16" t="s">
        <v>22</v>
      </c>
      <c r="BH87" s="16" t="s">
        <v>23</v>
      </c>
      <c r="BI87" s="16" t="s">
        <v>24</v>
      </c>
      <c r="BJ87" s="16" t="s">
        <v>25</v>
      </c>
      <c r="BK87" s="16" t="s">
        <v>26</v>
      </c>
      <c r="BL87" s="16" t="s">
        <v>27</v>
      </c>
      <c r="BM87" s="16" t="s">
        <v>28</v>
      </c>
      <c r="BN87" s="16" t="s">
        <v>29</v>
      </c>
      <c r="BO87" s="16" t="s">
        <v>34</v>
      </c>
      <c r="BP87" s="16" t="s">
        <v>18</v>
      </c>
      <c r="BQ87" s="16" t="s">
        <v>19</v>
      </c>
      <c r="BR87" s="16" t="s">
        <v>20</v>
      </c>
      <c r="BS87" s="16" t="s">
        <v>21</v>
      </c>
      <c r="BT87" s="16" t="s">
        <v>22</v>
      </c>
      <c r="BU87" s="16" t="s">
        <v>23</v>
      </c>
      <c r="BV87" s="16" t="s">
        <v>24</v>
      </c>
      <c r="BW87" s="16" t="s">
        <v>25</v>
      </c>
      <c r="BX87" s="16" t="s">
        <v>26</v>
      </c>
      <c r="BY87" s="16" t="s">
        <v>27</v>
      </c>
      <c r="BZ87" s="16" t="s">
        <v>28</v>
      </c>
      <c r="CA87" s="16" t="s">
        <v>29</v>
      </c>
      <c r="CB87" s="16" t="s">
        <v>35</v>
      </c>
      <c r="CC87" s="16" t="s">
        <v>18</v>
      </c>
      <c r="CD87" s="16" t="s">
        <v>19</v>
      </c>
      <c r="CE87" s="16" t="s">
        <v>20</v>
      </c>
      <c r="CF87" s="16" t="s">
        <v>21</v>
      </c>
      <c r="CG87" s="16" t="s">
        <v>22</v>
      </c>
      <c r="CH87" s="16" t="s">
        <v>23</v>
      </c>
      <c r="CI87" s="16" t="s">
        <v>24</v>
      </c>
      <c r="CJ87" s="16" t="s">
        <v>25</v>
      </c>
      <c r="CK87" s="16" t="s">
        <v>26</v>
      </c>
      <c r="CL87" s="16" t="s">
        <v>27</v>
      </c>
      <c r="CM87" s="16" t="s">
        <v>28</v>
      </c>
      <c r="CN87" s="16" t="s">
        <v>29</v>
      </c>
      <c r="CO87" s="16" t="s">
        <v>36</v>
      </c>
      <c r="CP87" s="16" t="s">
        <v>18</v>
      </c>
      <c r="CQ87" s="16" t="s">
        <v>19</v>
      </c>
      <c r="CR87" s="16" t="s">
        <v>20</v>
      </c>
      <c r="CS87" s="16" t="s">
        <v>21</v>
      </c>
      <c r="CT87" s="16" t="s">
        <v>22</v>
      </c>
      <c r="CU87" s="16" t="s">
        <v>23</v>
      </c>
      <c r="CV87" s="16" t="s">
        <v>24</v>
      </c>
      <c r="CW87" s="16" t="s">
        <v>25</v>
      </c>
      <c r="CX87" s="16" t="s">
        <v>26</v>
      </c>
      <c r="CY87" s="16" t="s">
        <v>27</v>
      </c>
      <c r="CZ87" s="16" t="s">
        <v>28</v>
      </c>
      <c r="DA87" s="16" t="s">
        <v>29</v>
      </c>
      <c r="DB87" s="16" t="s">
        <v>37</v>
      </c>
      <c r="DC87" s="16" t="s">
        <v>18</v>
      </c>
      <c r="DD87" s="16" t="s">
        <v>19</v>
      </c>
      <c r="DE87" s="16" t="s">
        <v>20</v>
      </c>
      <c r="DF87" s="16" t="s">
        <v>21</v>
      </c>
      <c r="DG87" s="16" t="s">
        <v>22</v>
      </c>
      <c r="DH87" s="16" t="s">
        <v>23</v>
      </c>
      <c r="DI87" s="16" t="s">
        <v>24</v>
      </c>
      <c r="DJ87" s="16" t="s">
        <v>25</v>
      </c>
      <c r="DK87" s="16" t="s">
        <v>26</v>
      </c>
      <c r="DL87" s="16" t="s">
        <v>27</v>
      </c>
      <c r="DM87" s="16" t="s">
        <v>28</v>
      </c>
      <c r="DN87" s="16" t="s">
        <v>29</v>
      </c>
      <c r="DO87" s="16" t="s">
        <v>38</v>
      </c>
      <c r="DP87" s="16" t="s">
        <v>18</v>
      </c>
      <c r="DQ87" s="16" t="s">
        <v>19</v>
      </c>
      <c r="DR87" s="16" t="s">
        <v>20</v>
      </c>
      <c r="DS87" s="16" t="s">
        <v>21</v>
      </c>
      <c r="DT87" s="16" t="s">
        <v>22</v>
      </c>
      <c r="DU87" s="16" t="s">
        <v>23</v>
      </c>
      <c r="DV87" s="16" t="s">
        <v>24</v>
      </c>
      <c r="DW87" s="16" t="s">
        <v>25</v>
      </c>
      <c r="DX87" s="16" t="s">
        <v>26</v>
      </c>
      <c r="DY87" s="16" t="s">
        <v>27</v>
      </c>
      <c r="DZ87" s="16" t="s">
        <v>28</v>
      </c>
      <c r="EA87" s="16" t="s">
        <v>29</v>
      </c>
      <c r="EB87" s="16" t="s">
        <v>39</v>
      </c>
      <c r="EC87" s="16" t="s">
        <v>18</v>
      </c>
      <c r="ED87" s="16" t="s">
        <v>19</v>
      </c>
      <c r="EE87" s="16" t="s">
        <v>20</v>
      </c>
      <c r="EF87" s="16" t="s">
        <v>21</v>
      </c>
      <c r="EG87" s="16" t="s">
        <v>22</v>
      </c>
      <c r="EH87" s="16" t="s">
        <v>23</v>
      </c>
      <c r="EI87" s="16" t="s">
        <v>24</v>
      </c>
      <c r="EJ87" s="16" t="s">
        <v>25</v>
      </c>
      <c r="EK87" s="16" t="s">
        <v>26</v>
      </c>
      <c r="EL87" s="16" t="s">
        <v>27</v>
      </c>
      <c r="EM87" s="16" t="s">
        <v>28</v>
      </c>
      <c r="EN87" s="16" t="s">
        <v>29</v>
      </c>
      <c r="EO87" s="16" t="s">
        <v>40</v>
      </c>
      <c r="EP87" s="16" t="s">
        <v>18</v>
      </c>
      <c r="EQ87" s="16" t="s">
        <v>19</v>
      </c>
      <c r="ER87" s="16" t="s">
        <v>20</v>
      </c>
      <c r="ES87" s="16" t="s">
        <v>21</v>
      </c>
      <c r="ET87" s="16" t="s">
        <v>22</v>
      </c>
      <c r="EU87" s="16" t="s">
        <v>23</v>
      </c>
      <c r="EV87" s="16" t="s">
        <v>24</v>
      </c>
      <c r="EW87" s="16" t="s">
        <v>25</v>
      </c>
      <c r="EX87" s="16" t="s">
        <v>26</v>
      </c>
      <c r="EY87" s="16" t="s">
        <v>27</v>
      </c>
      <c r="EZ87" s="16" t="s">
        <v>28</v>
      </c>
      <c r="FA87" s="16" t="s">
        <v>29</v>
      </c>
      <c r="FB87" s="16" t="s">
        <v>41</v>
      </c>
      <c r="FC87" s="16" t="s">
        <v>18</v>
      </c>
      <c r="FD87" s="16" t="s">
        <v>19</v>
      </c>
      <c r="FE87" s="16" t="s">
        <v>20</v>
      </c>
      <c r="FF87" s="16" t="s">
        <v>21</v>
      </c>
      <c r="FG87" s="16" t="s">
        <v>22</v>
      </c>
      <c r="FH87" s="16" t="s">
        <v>23</v>
      </c>
      <c r="FI87" s="16" t="s">
        <v>24</v>
      </c>
      <c r="FJ87" s="16" t="s">
        <v>25</v>
      </c>
      <c r="FK87" s="16" t="s">
        <v>26</v>
      </c>
      <c r="FL87" s="16" t="s">
        <v>27</v>
      </c>
      <c r="FM87" s="16" t="s">
        <v>28</v>
      </c>
      <c r="FN87" s="16" t="s">
        <v>29</v>
      </c>
      <c r="FO87" s="16" t="s">
        <v>42</v>
      </c>
    </row>
    <row r="88" spans="1:171" ht="27.75" customHeight="1">
      <c r="A88" s="10"/>
      <c r="B88" s="19" t="s">
        <v>43</v>
      </c>
      <c r="C88" s="20">
        <v>0</v>
      </c>
      <c r="D88" s="20">
        <v>0</v>
      </c>
      <c r="E88" s="20">
        <v>0</v>
      </c>
      <c r="F88" s="20">
        <v>0</v>
      </c>
      <c r="G88" s="20">
        <v>0</v>
      </c>
      <c r="H88" s="20">
        <v>0</v>
      </c>
      <c r="I88" s="20">
        <v>0</v>
      </c>
      <c r="J88" s="20">
        <v>0</v>
      </c>
      <c r="K88" s="20">
        <v>0</v>
      </c>
      <c r="L88" s="20">
        <v>0</v>
      </c>
      <c r="M88" s="20">
        <v>0</v>
      </c>
      <c r="N88" s="20">
        <v>0</v>
      </c>
      <c r="O88" s="20">
        <f t="shared" ref="O88:O93" si="126">N88</f>
        <v>0</v>
      </c>
      <c r="P88" s="20">
        <v>0</v>
      </c>
      <c r="Q88" s="20">
        <v>0</v>
      </c>
      <c r="R88" s="20">
        <v>0</v>
      </c>
      <c r="S88" s="20">
        <v>0</v>
      </c>
      <c r="T88" s="20">
        <v>0</v>
      </c>
      <c r="U88" s="20">
        <v>0</v>
      </c>
      <c r="V88" s="20">
        <v>0</v>
      </c>
      <c r="W88" s="20">
        <v>0</v>
      </c>
      <c r="X88" s="20">
        <v>0</v>
      </c>
      <c r="Y88" s="20">
        <v>0</v>
      </c>
      <c r="Z88" s="20">
        <v>0</v>
      </c>
      <c r="AA88" s="20">
        <v>0</v>
      </c>
      <c r="AB88" s="20">
        <f t="shared" ref="AB88:AB93" si="127">AA88</f>
        <v>0</v>
      </c>
      <c r="AC88" s="20">
        <v>0</v>
      </c>
      <c r="AD88" s="20">
        <v>0</v>
      </c>
      <c r="AE88" s="20">
        <v>0</v>
      </c>
      <c r="AF88" s="20">
        <v>0</v>
      </c>
      <c r="AG88" s="20">
        <v>0</v>
      </c>
      <c r="AH88" s="20">
        <v>0</v>
      </c>
      <c r="AI88" s="20">
        <v>0</v>
      </c>
      <c r="AJ88" s="20">
        <v>0</v>
      </c>
      <c r="AK88" s="20">
        <v>0</v>
      </c>
      <c r="AL88" s="20">
        <v>0</v>
      </c>
      <c r="AM88" s="20">
        <v>0</v>
      </c>
      <c r="AN88" s="20">
        <v>0</v>
      </c>
      <c r="AO88" s="20">
        <f t="shared" ref="AO88:AO93" si="128">AN88</f>
        <v>0</v>
      </c>
      <c r="AP88" s="20">
        <v>0</v>
      </c>
      <c r="AQ88" s="20">
        <v>0</v>
      </c>
      <c r="AR88" s="20">
        <v>0</v>
      </c>
      <c r="AS88" s="20">
        <v>0</v>
      </c>
      <c r="AT88" s="20">
        <v>0</v>
      </c>
      <c r="AU88" s="20">
        <v>0</v>
      </c>
      <c r="AV88" s="20">
        <v>0</v>
      </c>
      <c r="AW88" s="20">
        <v>0</v>
      </c>
      <c r="AX88" s="20">
        <v>0</v>
      </c>
      <c r="AY88" s="20">
        <v>0</v>
      </c>
      <c r="AZ88" s="20">
        <v>0</v>
      </c>
      <c r="BA88" s="20">
        <v>0</v>
      </c>
      <c r="BB88" s="20">
        <f t="shared" ref="BB88:BB93" si="129">BA88</f>
        <v>0</v>
      </c>
      <c r="BC88" s="20">
        <v>0</v>
      </c>
      <c r="BD88" s="20">
        <v>0</v>
      </c>
      <c r="BE88" s="20">
        <v>0</v>
      </c>
      <c r="BF88" s="20">
        <v>0</v>
      </c>
      <c r="BG88" s="20">
        <v>0</v>
      </c>
      <c r="BH88" s="20">
        <v>0</v>
      </c>
      <c r="BI88" s="20">
        <v>0</v>
      </c>
      <c r="BJ88" s="20">
        <v>0</v>
      </c>
      <c r="BK88" s="20">
        <v>0</v>
      </c>
      <c r="BL88" s="20">
        <v>0</v>
      </c>
      <c r="BM88" s="20">
        <v>0</v>
      </c>
      <c r="BN88" s="20">
        <v>0</v>
      </c>
      <c r="BO88" s="20">
        <f t="shared" ref="BO88:BO93" si="130">BN88</f>
        <v>0</v>
      </c>
      <c r="BP88" s="20">
        <v>0</v>
      </c>
      <c r="BQ88" s="20">
        <v>0</v>
      </c>
      <c r="BR88" s="20">
        <v>0</v>
      </c>
      <c r="BS88" s="20">
        <v>0</v>
      </c>
      <c r="BT88" s="20">
        <v>0</v>
      </c>
      <c r="BU88" s="20">
        <v>0</v>
      </c>
      <c r="BV88" s="20">
        <v>0</v>
      </c>
      <c r="BW88" s="20">
        <v>0</v>
      </c>
      <c r="BX88" s="20">
        <v>0</v>
      </c>
      <c r="BY88" s="20">
        <v>0</v>
      </c>
      <c r="BZ88" s="20">
        <v>0</v>
      </c>
      <c r="CA88" s="20">
        <v>0</v>
      </c>
      <c r="CB88" s="20">
        <f t="shared" ref="CB88:CB93" si="131">CA88</f>
        <v>0</v>
      </c>
      <c r="CC88" s="20">
        <v>0</v>
      </c>
      <c r="CD88" s="20">
        <v>0</v>
      </c>
      <c r="CE88" s="20">
        <v>0</v>
      </c>
      <c r="CF88" s="20">
        <v>0</v>
      </c>
      <c r="CG88" s="20">
        <v>0</v>
      </c>
      <c r="CH88" s="20">
        <v>0</v>
      </c>
      <c r="CI88" s="20">
        <v>0</v>
      </c>
      <c r="CJ88" s="20">
        <v>0</v>
      </c>
      <c r="CK88" s="20">
        <v>0</v>
      </c>
      <c r="CL88" s="20">
        <v>0</v>
      </c>
      <c r="CM88" s="20">
        <v>0</v>
      </c>
      <c r="CN88" s="20">
        <v>0</v>
      </c>
      <c r="CO88" s="20">
        <f t="shared" ref="CO88:CO93" si="132">CN88</f>
        <v>0</v>
      </c>
      <c r="CP88" s="20">
        <v>0</v>
      </c>
      <c r="CQ88" s="20">
        <v>0</v>
      </c>
      <c r="CR88" s="20">
        <v>0</v>
      </c>
      <c r="CS88" s="20">
        <v>0</v>
      </c>
      <c r="CT88" s="20">
        <v>0</v>
      </c>
      <c r="CU88" s="20">
        <v>0</v>
      </c>
      <c r="CV88" s="20">
        <v>0</v>
      </c>
      <c r="CW88" s="20">
        <v>0</v>
      </c>
      <c r="CX88" s="20">
        <v>0</v>
      </c>
      <c r="CY88" s="20">
        <v>0</v>
      </c>
      <c r="CZ88" s="20">
        <v>0</v>
      </c>
      <c r="DA88" s="20">
        <v>0</v>
      </c>
      <c r="DB88" s="20">
        <f t="shared" ref="DB88:DB93" si="133">DA88</f>
        <v>0</v>
      </c>
      <c r="DC88" s="20">
        <v>0</v>
      </c>
      <c r="DD88" s="20">
        <v>0</v>
      </c>
      <c r="DE88" s="20">
        <v>0</v>
      </c>
      <c r="DF88" s="20">
        <v>0</v>
      </c>
      <c r="DG88" s="20">
        <v>0</v>
      </c>
      <c r="DH88" s="20">
        <v>0</v>
      </c>
      <c r="DI88" s="20">
        <v>0</v>
      </c>
      <c r="DJ88" s="20">
        <v>0</v>
      </c>
      <c r="DK88" s="20">
        <v>0</v>
      </c>
      <c r="DL88" s="20">
        <v>0</v>
      </c>
      <c r="DM88" s="20">
        <v>0</v>
      </c>
      <c r="DN88" s="20">
        <v>0</v>
      </c>
      <c r="DO88" s="20">
        <f t="shared" ref="DO88:DO93" si="134">DN88</f>
        <v>0</v>
      </c>
      <c r="DP88" s="20">
        <v>0</v>
      </c>
      <c r="DQ88" s="20">
        <v>0</v>
      </c>
      <c r="DR88" s="20">
        <v>0</v>
      </c>
      <c r="DS88" s="20">
        <v>0</v>
      </c>
      <c r="DT88" s="20">
        <v>0</v>
      </c>
      <c r="DU88" s="20">
        <v>0</v>
      </c>
      <c r="DV88" s="20">
        <v>0</v>
      </c>
      <c r="DW88" s="20">
        <v>0</v>
      </c>
      <c r="DX88" s="20">
        <v>0</v>
      </c>
      <c r="DY88" s="20">
        <v>0</v>
      </c>
      <c r="DZ88" s="20">
        <v>0</v>
      </c>
      <c r="EA88" s="20">
        <v>0</v>
      </c>
      <c r="EB88" s="20">
        <f t="shared" ref="EB88:EB93" si="135">EA88</f>
        <v>0</v>
      </c>
      <c r="EC88" s="20">
        <v>0</v>
      </c>
      <c r="ED88" s="20">
        <v>0</v>
      </c>
      <c r="EE88" s="20">
        <v>0</v>
      </c>
      <c r="EF88" s="20">
        <v>0</v>
      </c>
      <c r="EG88" s="20">
        <v>0</v>
      </c>
      <c r="EH88" s="20">
        <v>0</v>
      </c>
      <c r="EI88" s="20">
        <v>0</v>
      </c>
      <c r="EJ88" s="20">
        <v>0</v>
      </c>
      <c r="EK88" s="20">
        <v>0</v>
      </c>
      <c r="EL88" s="20">
        <v>0</v>
      </c>
      <c r="EM88" s="20">
        <v>0</v>
      </c>
      <c r="EN88" s="20">
        <v>0</v>
      </c>
      <c r="EO88" s="20">
        <f t="shared" ref="EO88:EO93" si="136">EN88</f>
        <v>0</v>
      </c>
      <c r="EP88" s="20">
        <v>0</v>
      </c>
      <c r="EQ88" s="20">
        <v>0</v>
      </c>
      <c r="ER88" s="20">
        <v>0</v>
      </c>
      <c r="ES88" s="20">
        <v>0</v>
      </c>
      <c r="ET88" s="20">
        <v>0</v>
      </c>
      <c r="EU88" s="20">
        <v>0</v>
      </c>
      <c r="EV88" s="20">
        <v>0</v>
      </c>
      <c r="EW88" s="20">
        <v>0</v>
      </c>
      <c r="EX88" s="20">
        <v>0</v>
      </c>
      <c r="EY88" s="20">
        <v>0</v>
      </c>
      <c r="EZ88" s="20">
        <v>0</v>
      </c>
      <c r="FA88" s="20">
        <v>0</v>
      </c>
      <c r="FB88" s="20">
        <f t="shared" ref="FB88:FB93" si="137">FA88</f>
        <v>0</v>
      </c>
      <c r="FC88" s="20">
        <v>0</v>
      </c>
      <c r="FD88" s="20">
        <v>0</v>
      </c>
      <c r="FE88" s="20">
        <v>0</v>
      </c>
      <c r="FF88" s="20">
        <v>0</v>
      </c>
      <c r="FG88" s="20">
        <v>0</v>
      </c>
      <c r="FH88" s="20">
        <v>0</v>
      </c>
      <c r="FI88" s="20">
        <v>0</v>
      </c>
      <c r="FJ88" s="10"/>
      <c r="FK88" s="10"/>
      <c r="FL88" s="10"/>
      <c r="FM88" s="10"/>
      <c r="FN88" s="10"/>
      <c r="FO88" s="20">
        <f t="shared" ref="FO88:FO93" si="138">FI88</f>
        <v>0</v>
      </c>
    </row>
    <row r="89" spans="1:171" ht="27.75" customHeight="1">
      <c r="A89" s="10"/>
      <c r="B89" s="19" t="s">
        <v>44</v>
      </c>
      <c r="C89" s="20">
        <v>0</v>
      </c>
      <c r="D89" s="20">
        <v>0</v>
      </c>
      <c r="E89" s="20">
        <v>0</v>
      </c>
      <c r="F89" s="20">
        <v>0</v>
      </c>
      <c r="G89" s="20">
        <v>0</v>
      </c>
      <c r="H89" s="20">
        <v>0</v>
      </c>
      <c r="I89" s="20">
        <v>0</v>
      </c>
      <c r="J89" s="20">
        <v>0</v>
      </c>
      <c r="K89" s="20">
        <v>0</v>
      </c>
      <c r="L89" s="20">
        <v>0</v>
      </c>
      <c r="M89" s="20">
        <v>0</v>
      </c>
      <c r="N89" s="20">
        <v>0</v>
      </c>
      <c r="O89" s="20">
        <f t="shared" si="126"/>
        <v>0</v>
      </c>
      <c r="P89" s="20">
        <v>0</v>
      </c>
      <c r="Q89" s="20">
        <v>0</v>
      </c>
      <c r="R89" s="20">
        <v>0</v>
      </c>
      <c r="S89" s="20">
        <v>0</v>
      </c>
      <c r="T89" s="20">
        <v>0</v>
      </c>
      <c r="U89" s="20">
        <v>0</v>
      </c>
      <c r="V89" s="20">
        <v>0</v>
      </c>
      <c r="W89" s="20">
        <v>0</v>
      </c>
      <c r="X89" s="20">
        <v>0</v>
      </c>
      <c r="Y89" s="20">
        <v>0</v>
      </c>
      <c r="Z89" s="20">
        <v>0</v>
      </c>
      <c r="AA89" s="20">
        <v>0</v>
      </c>
      <c r="AB89" s="20">
        <f t="shared" si="127"/>
        <v>0</v>
      </c>
      <c r="AC89" s="20">
        <v>0</v>
      </c>
      <c r="AD89" s="20">
        <v>0</v>
      </c>
      <c r="AE89" s="20">
        <v>0</v>
      </c>
      <c r="AF89" s="20">
        <v>0</v>
      </c>
      <c r="AG89" s="20">
        <v>0</v>
      </c>
      <c r="AH89" s="20">
        <v>0</v>
      </c>
      <c r="AI89" s="20">
        <v>0</v>
      </c>
      <c r="AJ89" s="20">
        <v>0</v>
      </c>
      <c r="AK89" s="20">
        <v>0</v>
      </c>
      <c r="AL89" s="20">
        <v>0</v>
      </c>
      <c r="AM89" s="20">
        <v>0</v>
      </c>
      <c r="AN89" s="20">
        <v>0</v>
      </c>
      <c r="AO89" s="20">
        <f t="shared" si="128"/>
        <v>0</v>
      </c>
      <c r="AP89" s="20">
        <v>0</v>
      </c>
      <c r="AQ89" s="20">
        <v>0</v>
      </c>
      <c r="AR89" s="20">
        <v>0</v>
      </c>
      <c r="AS89" s="20">
        <v>0</v>
      </c>
      <c r="AT89" s="20">
        <v>0</v>
      </c>
      <c r="AU89" s="20">
        <v>0</v>
      </c>
      <c r="AV89" s="20">
        <v>0</v>
      </c>
      <c r="AW89" s="20">
        <v>0</v>
      </c>
      <c r="AX89" s="20">
        <v>0</v>
      </c>
      <c r="AY89" s="20">
        <v>0</v>
      </c>
      <c r="AZ89" s="20">
        <v>0</v>
      </c>
      <c r="BA89" s="20">
        <v>0</v>
      </c>
      <c r="BB89" s="20">
        <f t="shared" si="129"/>
        <v>0</v>
      </c>
      <c r="BC89" s="20">
        <v>0</v>
      </c>
      <c r="BD89" s="20">
        <v>0</v>
      </c>
      <c r="BE89" s="20">
        <v>0</v>
      </c>
      <c r="BF89" s="20">
        <v>0</v>
      </c>
      <c r="BG89" s="20">
        <v>0</v>
      </c>
      <c r="BH89" s="20">
        <v>0</v>
      </c>
      <c r="BI89" s="20">
        <v>0</v>
      </c>
      <c r="BJ89" s="20">
        <v>0</v>
      </c>
      <c r="BK89" s="20">
        <v>0</v>
      </c>
      <c r="BL89" s="20">
        <v>0</v>
      </c>
      <c r="BM89" s="20">
        <v>0</v>
      </c>
      <c r="BN89" s="20">
        <v>0</v>
      </c>
      <c r="BO89" s="20">
        <f t="shared" si="130"/>
        <v>0</v>
      </c>
      <c r="BP89" s="20">
        <v>0</v>
      </c>
      <c r="BQ89" s="20">
        <v>0</v>
      </c>
      <c r="BR89" s="20">
        <v>0</v>
      </c>
      <c r="BS89" s="20">
        <v>0</v>
      </c>
      <c r="BT89" s="20">
        <v>0</v>
      </c>
      <c r="BU89" s="20">
        <v>0</v>
      </c>
      <c r="BV89" s="20">
        <v>0</v>
      </c>
      <c r="BW89" s="20">
        <v>0</v>
      </c>
      <c r="BX89" s="20">
        <v>0</v>
      </c>
      <c r="BY89" s="20">
        <v>0</v>
      </c>
      <c r="BZ89" s="20">
        <v>0</v>
      </c>
      <c r="CA89" s="20">
        <v>0</v>
      </c>
      <c r="CB89" s="20">
        <f t="shared" si="131"/>
        <v>0</v>
      </c>
      <c r="CC89" s="20">
        <v>0</v>
      </c>
      <c r="CD89" s="20">
        <v>0</v>
      </c>
      <c r="CE89" s="20">
        <v>0</v>
      </c>
      <c r="CF89" s="20">
        <v>0</v>
      </c>
      <c r="CG89" s="20">
        <v>0</v>
      </c>
      <c r="CH89" s="20">
        <v>0</v>
      </c>
      <c r="CI89" s="20">
        <v>0</v>
      </c>
      <c r="CJ89" s="20">
        <v>0</v>
      </c>
      <c r="CK89" s="20">
        <v>0</v>
      </c>
      <c r="CL89" s="20">
        <v>0</v>
      </c>
      <c r="CM89" s="20">
        <v>0</v>
      </c>
      <c r="CN89" s="20">
        <v>0</v>
      </c>
      <c r="CO89" s="20">
        <f t="shared" si="132"/>
        <v>0</v>
      </c>
      <c r="CP89" s="20">
        <v>0</v>
      </c>
      <c r="CQ89" s="20">
        <v>0</v>
      </c>
      <c r="CR89" s="20">
        <v>0</v>
      </c>
      <c r="CS89" s="20">
        <v>0</v>
      </c>
      <c r="CT89" s="20">
        <v>0</v>
      </c>
      <c r="CU89" s="20">
        <v>0</v>
      </c>
      <c r="CV89" s="20">
        <v>0</v>
      </c>
      <c r="CW89" s="20">
        <v>0</v>
      </c>
      <c r="CX89" s="20">
        <v>0</v>
      </c>
      <c r="CY89" s="20">
        <v>0</v>
      </c>
      <c r="CZ89" s="20">
        <v>0</v>
      </c>
      <c r="DA89" s="20">
        <v>0</v>
      </c>
      <c r="DB89" s="20">
        <f t="shared" si="133"/>
        <v>0</v>
      </c>
      <c r="DC89" s="20">
        <v>0</v>
      </c>
      <c r="DD89" s="20">
        <v>0</v>
      </c>
      <c r="DE89" s="20">
        <v>0</v>
      </c>
      <c r="DF89" s="20">
        <v>0</v>
      </c>
      <c r="DG89" s="20">
        <v>0</v>
      </c>
      <c r="DH89" s="20">
        <v>0</v>
      </c>
      <c r="DI89" s="20">
        <v>0</v>
      </c>
      <c r="DJ89" s="20">
        <v>0</v>
      </c>
      <c r="DK89" s="20">
        <v>0</v>
      </c>
      <c r="DL89" s="20">
        <v>0</v>
      </c>
      <c r="DM89" s="20">
        <v>0</v>
      </c>
      <c r="DN89" s="20">
        <v>0</v>
      </c>
      <c r="DO89" s="20">
        <f t="shared" si="134"/>
        <v>0</v>
      </c>
      <c r="DP89" s="20">
        <v>0</v>
      </c>
      <c r="DQ89" s="20">
        <v>0</v>
      </c>
      <c r="DR89" s="20">
        <v>0</v>
      </c>
      <c r="DS89" s="20">
        <v>0</v>
      </c>
      <c r="DT89" s="20">
        <v>0</v>
      </c>
      <c r="DU89" s="20">
        <v>0</v>
      </c>
      <c r="DV89" s="20">
        <v>0</v>
      </c>
      <c r="DW89" s="20">
        <v>0</v>
      </c>
      <c r="DX89" s="20">
        <v>0</v>
      </c>
      <c r="DY89" s="20">
        <v>0</v>
      </c>
      <c r="DZ89" s="20">
        <v>0</v>
      </c>
      <c r="EA89" s="20">
        <v>0</v>
      </c>
      <c r="EB89" s="20">
        <f t="shared" si="135"/>
        <v>0</v>
      </c>
      <c r="EC89" s="20">
        <v>0</v>
      </c>
      <c r="ED89" s="20">
        <v>0</v>
      </c>
      <c r="EE89" s="20">
        <v>0</v>
      </c>
      <c r="EF89" s="20">
        <v>0</v>
      </c>
      <c r="EG89" s="20">
        <v>0</v>
      </c>
      <c r="EH89" s="20">
        <v>0</v>
      </c>
      <c r="EI89" s="20">
        <v>0</v>
      </c>
      <c r="EJ89" s="20">
        <v>0</v>
      </c>
      <c r="EK89" s="20">
        <v>0</v>
      </c>
      <c r="EL89" s="20">
        <v>0</v>
      </c>
      <c r="EM89" s="20">
        <v>0</v>
      </c>
      <c r="EN89" s="20">
        <v>0</v>
      </c>
      <c r="EO89" s="20">
        <f t="shared" si="136"/>
        <v>0</v>
      </c>
      <c r="EP89" s="20">
        <v>0</v>
      </c>
      <c r="EQ89" s="20">
        <v>0</v>
      </c>
      <c r="ER89" s="20">
        <v>0</v>
      </c>
      <c r="ES89" s="20">
        <v>0</v>
      </c>
      <c r="ET89" s="20">
        <v>0</v>
      </c>
      <c r="EU89" s="20">
        <v>0</v>
      </c>
      <c r="EV89" s="20">
        <v>0</v>
      </c>
      <c r="EW89" s="20">
        <v>0</v>
      </c>
      <c r="EX89" s="20">
        <v>0</v>
      </c>
      <c r="EY89" s="20">
        <v>0</v>
      </c>
      <c r="EZ89" s="20">
        <v>0</v>
      </c>
      <c r="FA89" s="20">
        <v>0</v>
      </c>
      <c r="FB89" s="20">
        <f t="shared" si="137"/>
        <v>0</v>
      </c>
      <c r="FC89" s="20">
        <v>0</v>
      </c>
      <c r="FD89" s="20">
        <v>0</v>
      </c>
      <c r="FE89" s="20">
        <v>0</v>
      </c>
      <c r="FF89" s="20">
        <v>0</v>
      </c>
      <c r="FG89" s="20">
        <v>0</v>
      </c>
      <c r="FH89" s="20">
        <v>0</v>
      </c>
      <c r="FI89" s="20">
        <v>0</v>
      </c>
      <c r="FJ89" s="10"/>
      <c r="FK89" s="10"/>
      <c r="FL89" s="10"/>
      <c r="FM89" s="10"/>
      <c r="FN89" s="10"/>
      <c r="FO89" s="20">
        <f t="shared" si="138"/>
        <v>0</v>
      </c>
    </row>
    <row r="90" spans="1:171" ht="27.75" customHeight="1">
      <c r="A90" s="10"/>
      <c r="B90" s="19" t="s">
        <v>45</v>
      </c>
      <c r="C90" s="20">
        <v>0</v>
      </c>
      <c r="D90" s="20">
        <v>0</v>
      </c>
      <c r="E90" s="20">
        <v>0</v>
      </c>
      <c r="F90" s="20">
        <v>0</v>
      </c>
      <c r="G90" s="20">
        <v>0</v>
      </c>
      <c r="H90" s="20">
        <v>0</v>
      </c>
      <c r="I90" s="20">
        <v>0</v>
      </c>
      <c r="J90" s="20">
        <v>0</v>
      </c>
      <c r="K90" s="20">
        <v>0</v>
      </c>
      <c r="L90" s="20">
        <v>0</v>
      </c>
      <c r="M90" s="20">
        <v>0</v>
      </c>
      <c r="N90" s="20">
        <v>0</v>
      </c>
      <c r="O90" s="20">
        <f t="shared" si="126"/>
        <v>0</v>
      </c>
      <c r="P90" s="20">
        <v>0</v>
      </c>
      <c r="Q90" s="20">
        <v>0</v>
      </c>
      <c r="R90" s="20">
        <v>0</v>
      </c>
      <c r="S90" s="20">
        <v>0</v>
      </c>
      <c r="T90" s="20">
        <v>0</v>
      </c>
      <c r="U90" s="20">
        <v>0</v>
      </c>
      <c r="V90" s="20">
        <v>0</v>
      </c>
      <c r="W90" s="20">
        <v>0</v>
      </c>
      <c r="X90" s="20">
        <v>0</v>
      </c>
      <c r="Y90" s="20">
        <v>0</v>
      </c>
      <c r="Z90" s="20">
        <v>0</v>
      </c>
      <c r="AA90" s="20">
        <v>0</v>
      </c>
      <c r="AB90" s="20">
        <f t="shared" si="127"/>
        <v>0</v>
      </c>
      <c r="AC90" s="20">
        <v>0</v>
      </c>
      <c r="AD90" s="20">
        <v>0</v>
      </c>
      <c r="AE90" s="20">
        <v>0</v>
      </c>
      <c r="AF90" s="20">
        <v>0</v>
      </c>
      <c r="AG90" s="20">
        <v>0</v>
      </c>
      <c r="AH90" s="20">
        <v>0</v>
      </c>
      <c r="AI90" s="20">
        <v>0</v>
      </c>
      <c r="AJ90" s="20">
        <v>0</v>
      </c>
      <c r="AK90" s="20">
        <v>0</v>
      </c>
      <c r="AL90" s="20">
        <v>0</v>
      </c>
      <c r="AM90" s="20">
        <v>0</v>
      </c>
      <c r="AN90" s="20">
        <v>0</v>
      </c>
      <c r="AO90" s="20">
        <f t="shared" si="128"/>
        <v>0</v>
      </c>
      <c r="AP90" s="20">
        <v>0</v>
      </c>
      <c r="AQ90" s="20">
        <v>0</v>
      </c>
      <c r="AR90" s="20">
        <v>0</v>
      </c>
      <c r="AS90" s="20">
        <v>0</v>
      </c>
      <c r="AT90" s="20">
        <v>0</v>
      </c>
      <c r="AU90" s="20">
        <v>0</v>
      </c>
      <c r="AV90" s="20">
        <v>0</v>
      </c>
      <c r="AW90" s="20">
        <v>0</v>
      </c>
      <c r="AX90" s="20">
        <v>0</v>
      </c>
      <c r="AY90" s="20">
        <v>0</v>
      </c>
      <c r="AZ90" s="20">
        <v>0</v>
      </c>
      <c r="BA90" s="20">
        <v>0</v>
      </c>
      <c r="BB90" s="20">
        <f t="shared" si="129"/>
        <v>0</v>
      </c>
      <c r="BC90" s="20">
        <v>0</v>
      </c>
      <c r="BD90" s="20">
        <v>0</v>
      </c>
      <c r="BE90" s="20">
        <v>0</v>
      </c>
      <c r="BF90" s="20">
        <v>0</v>
      </c>
      <c r="BG90" s="20">
        <v>0</v>
      </c>
      <c r="BH90" s="20">
        <v>0</v>
      </c>
      <c r="BI90" s="20">
        <v>0</v>
      </c>
      <c r="BJ90" s="20">
        <v>0</v>
      </c>
      <c r="BK90" s="20">
        <v>0</v>
      </c>
      <c r="BL90" s="20">
        <v>0</v>
      </c>
      <c r="BM90" s="20">
        <v>0</v>
      </c>
      <c r="BN90" s="20">
        <v>0</v>
      </c>
      <c r="BO90" s="20">
        <f t="shared" si="130"/>
        <v>0</v>
      </c>
      <c r="BP90" s="20">
        <v>0</v>
      </c>
      <c r="BQ90" s="20">
        <v>0</v>
      </c>
      <c r="BR90" s="20">
        <v>0</v>
      </c>
      <c r="BS90" s="20">
        <v>0</v>
      </c>
      <c r="BT90" s="20">
        <v>0</v>
      </c>
      <c r="BU90" s="20">
        <v>0</v>
      </c>
      <c r="BV90" s="20">
        <v>0</v>
      </c>
      <c r="BW90" s="20">
        <v>0</v>
      </c>
      <c r="BX90" s="20">
        <v>0</v>
      </c>
      <c r="BY90" s="20">
        <v>0</v>
      </c>
      <c r="BZ90" s="20">
        <v>0</v>
      </c>
      <c r="CA90" s="20">
        <v>0</v>
      </c>
      <c r="CB90" s="20">
        <f t="shared" si="131"/>
        <v>0</v>
      </c>
      <c r="CC90" s="20">
        <v>0</v>
      </c>
      <c r="CD90" s="20">
        <v>0</v>
      </c>
      <c r="CE90" s="20">
        <v>0</v>
      </c>
      <c r="CF90" s="20">
        <v>0</v>
      </c>
      <c r="CG90" s="20">
        <v>0</v>
      </c>
      <c r="CH90" s="20">
        <v>0</v>
      </c>
      <c r="CI90" s="20">
        <v>0</v>
      </c>
      <c r="CJ90" s="20">
        <v>0</v>
      </c>
      <c r="CK90" s="20">
        <v>0</v>
      </c>
      <c r="CL90" s="20">
        <v>0</v>
      </c>
      <c r="CM90" s="20">
        <v>0</v>
      </c>
      <c r="CN90" s="20">
        <v>0</v>
      </c>
      <c r="CO90" s="20">
        <f t="shared" si="132"/>
        <v>0</v>
      </c>
      <c r="CP90" s="20">
        <v>0</v>
      </c>
      <c r="CQ90" s="20">
        <v>0</v>
      </c>
      <c r="CR90" s="20">
        <v>0</v>
      </c>
      <c r="CS90" s="20">
        <v>0</v>
      </c>
      <c r="CT90" s="20">
        <v>0</v>
      </c>
      <c r="CU90" s="20">
        <v>0</v>
      </c>
      <c r="CV90" s="20">
        <v>0</v>
      </c>
      <c r="CW90" s="20">
        <v>0</v>
      </c>
      <c r="CX90" s="20">
        <v>0</v>
      </c>
      <c r="CY90" s="20">
        <v>0</v>
      </c>
      <c r="CZ90" s="20">
        <v>0</v>
      </c>
      <c r="DA90" s="20">
        <v>0</v>
      </c>
      <c r="DB90" s="20">
        <f t="shared" si="133"/>
        <v>0</v>
      </c>
      <c r="DC90" s="20">
        <v>0</v>
      </c>
      <c r="DD90" s="20">
        <v>0</v>
      </c>
      <c r="DE90" s="20">
        <v>0</v>
      </c>
      <c r="DF90" s="20">
        <v>0</v>
      </c>
      <c r="DG90" s="20">
        <v>0</v>
      </c>
      <c r="DH90" s="20">
        <v>0</v>
      </c>
      <c r="DI90" s="20">
        <v>0</v>
      </c>
      <c r="DJ90" s="20">
        <v>0</v>
      </c>
      <c r="DK90" s="20">
        <v>0</v>
      </c>
      <c r="DL90" s="20">
        <v>0</v>
      </c>
      <c r="DM90" s="20">
        <v>0</v>
      </c>
      <c r="DN90" s="20">
        <v>0</v>
      </c>
      <c r="DO90" s="20">
        <f t="shared" si="134"/>
        <v>0</v>
      </c>
      <c r="DP90" s="20">
        <v>17877772</v>
      </c>
      <c r="DQ90" s="20">
        <v>17877772</v>
      </c>
      <c r="DR90" s="20">
        <v>17877772</v>
      </c>
      <c r="DS90" s="20">
        <v>17877772</v>
      </c>
      <c r="DT90" s="20">
        <v>17877772</v>
      </c>
      <c r="DU90" s="20">
        <v>17877772</v>
      </c>
      <c r="DV90" s="20">
        <v>17877772</v>
      </c>
      <c r="DW90" s="20">
        <v>17877772</v>
      </c>
      <c r="DX90" s="20">
        <v>17877772</v>
      </c>
      <c r="DY90" s="20">
        <v>17877772</v>
      </c>
      <c r="DZ90" s="20">
        <v>17877772</v>
      </c>
      <c r="EA90" s="20">
        <v>17877772</v>
      </c>
      <c r="EB90" s="20">
        <f t="shared" si="135"/>
        <v>17877772</v>
      </c>
      <c r="EC90" s="20">
        <v>0</v>
      </c>
      <c r="ED90" s="20">
        <v>0</v>
      </c>
      <c r="EE90" s="20">
        <v>0</v>
      </c>
      <c r="EF90" s="20">
        <v>0</v>
      </c>
      <c r="EG90" s="20">
        <v>0</v>
      </c>
      <c r="EH90" s="20">
        <v>0</v>
      </c>
      <c r="EI90" s="20">
        <v>0</v>
      </c>
      <c r="EJ90" s="20">
        <v>0</v>
      </c>
      <c r="EK90" s="20">
        <v>0</v>
      </c>
      <c r="EL90" s="20">
        <v>0</v>
      </c>
      <c r="EM90" s="20">
        <v>0</v>
      </c>
      <c r="EN90" s="20">
        <v>0</v>
      </c>
      <c r="EO90" s="20">
        <f t="shared" si="136"/>
        <v>0</v>
      </c>
      <c r="EP90" s="20">
        <v>0</v>
      </c>
      <c r="EQ90" s="20">
        <v>0</v>
      </c>
      <c r="ER90" s="20">
        <v>0</v>
      </c>
      <c r="ES90" s="20">
        <v>0</v>
      </c>
      <c r="ET90" s="20">
        <v>0</v>
      </c>
      <c r="EU90" s="20">
        <v>0</v>
      </c>
      <c r="EV90" s="20">
        <v>0</v>
      </c>
      <c r="EW90" s="20">
        <v>0</v>
      </c>
      <c r="EX90" s="20">
        <v>0</v>
      </c>
      <c r="EY90" s="20">
        <v>0</v>
      </c>
      <c r="EZ90" s="20">
        <v>0</v>
      </c>
      <c r="FA90" s="20">
        <v>0</v>
      </c>
      <c r="FB90" s="20">
        <f t="shared" si="137"/>
        <v>0</v>
      </c>
      <c r="FC90" s="20">
        <v>0</v>
      </c>
      <c r="FD90" s="20">
        <v>0</v>
      </c>
      <c r="FE90" s="20">
        <v>0</v>
      </c>
      <c r="FF90" s="20">
        <v>0</v>
      </c>
      <c r="FG90" s="20">
        <v>0</v>
      </c>
      <c r="FH90" s="20">
        <v>0</v>
      </c>
      <c r="FI90" s="20">
        <v>0</v>
      </c>
      <c r="FJ90" s="10"/>
      <c r="FK90" s="10"/>
      <c r="FL90" s="10"/>
      <c r="FM90" s="10"/>
      <c r="FN90" s="10"/>
      <c r="FO90" s="20">
        <f t="shared" si="138"/>
        <v>0</v>
      </c>
    </row>
    <row r="91" spans="1:171" ht="27.75" customHeight="1">
      <c r="A91" s="10"/>
      <c r="B91" s="19" t="s">
        <v>46</v>
      </c>
      <c r="C91" s="20">
        <v>0</v>
      </c>
      <c r="D91" s="20">
        <v>0</v>
      </c>
      <c r="E91" s="20">
        <v>0</v>
      </c>
      <c r="F91" s="20">
        <v>0</v>
      </c>
      <c r="G91" s="20">
        <v>0</v>
      </c>
      <c r="H91" s="20">
        <v>0</v>
      </c>
      <c r="I91" s="20">
        <v>0</v>
      </c>
      <c r="J91" s="20">
        <v>0</v>
      </c>
      <c r="K91" s="20">
        <v>0</v>
      </c>
      <c r="L91" s="20">
        <v>0</v>
      </c>
      <c r="M91" s="20">
        <v>0</v>
      </c>
      <c r="N91" s="20">
        <v>0</v>
      </c>
      <c r="O91" s="20">
        <f t="shared" si="126"/>
        <v>0</v>
      </c>
      <c r="P91" s="20">
        <v>0</v>
      </c>
      <c r="Q91" s="20">
        <v>0</v>
      </c>
      <c r="R91" s="20">
        <v>0</v>
      </c>
      <c r="S91" s="20">
        <v>0</v>
      </c>
      <c r="T91" s="20">
        <v>0</v>
      </c>
      <c r="U91" s="20">
        <v>0</v>
      </c>
      <c r="V91" s="20">
        <v>0</v>
      </c>
      <c r="W91" s="20">
        <v>0</v>
      </c>
      <c r="X91" s="20">
        <v>0</v>
      </c>
      <c r="Y91" s="20">
        <v>0</v>
      </c>
      <c r="Z91" s="20">
        <v>0</v>
      </c>
      <c r="AA91" s="20">
        <v>0</v>
      </c>
      <c r="AB91" s="20">
        <f t="shared" si="127"/>
        <v>0</v>
      </c>
      <c r="AC91" s="20">
        <v>0</v>
      </c>
      <c r="AD91" s="20">
        <v>0</v>
      </c>
      <c r="AE91" s="20">
        <v>0</v>
      </c>
      <c r="AF91" s="20">
        <v>0</v>
      </c>
      <c r="AG91" s="20">
        <v>0</v>
      </c>
      <c r="AH91" s="20">
        <v>0</v>
      </c>
      <c r="AI91" s="20">
        <v>0</v>
      </c>
      <c r="AJ91" s="20">
        <v>0</v>
      </c>
      <c r="AK91" s="20">
        <v>0</v>
      </c>
      <c r="AL91" s="20">
        <v>0</v>
      </c>
      <c r="AM91" s="20">
        <v>0</v>
      </c>
      <c r="AN91" s="20">
        <v>0</v>
      </c>
      <c r="AO91" s="20">
        <f t="shared" si="128"/>
        <v>0</v>
      </c>
      <c r="AP91" s="20">
        <v>0</v>
      </c>
      <c r="AQ91" s="20">
        <v>0</v>
      </c>
      <c r="AR91" s="20">
        <v>0</v>
      </c>
      <c r="AS91" s="20">
        <v>0</v>
      </c>
      <c r="AT91" s="20">
        <v>0</v>
      </c>
      <c r="AU91" s="20">
        <v>0</v>
      </c>
      <c r="AV91" s="20">
        <v>0</v>
      </c>
      <c r="AW91" s="20">
        <v>0</v>
      </c>
      <c r="AX91" s="20">
        <v>0</v>
      </c>
      <c r="AY91" s="20">
        <v>0</v>
      </c>
      <c r="AZ91" s="20">
        <v>0</v>
      </c>
      <c r="BA91" s="20">
        <v>0</v>
      </c>
      <c r="BB91" s="20">
        <f t="shared" si="129"/>
        <v>0</v>
      </c>
      <c r="BC91" s="20">
        <v>0</v>
      </c>
      <c r="BD91" s="20">
        <v>0</v>
      </c>
      <c r="BE91" s="20">
        <v>0</v>
      </c>
      <c r="BF91" s="20">
        <v>0</v>
      </c>
      <c r="BG91" s="20">
        <v>0</v>
      </c>
      <c r="BH91" s="20">
        <v>0</v>
      </c>
      <c r="BI91" s="20">
        <v>0</v>
      </c>
      <c r="BJ91" s="20">
        <v>0</v>
      </c>
      <c r="BK91" s="20">
        <v>0</v>
      </c>
      <c r="BL91" s="20">
        <v>0</v>
      </c>
      <c r="BM91" s="20">
        <v>0</v>
      </c>
      <c r="BN91" s="20">
        <v>0</v>
      </c>
      <c r="BO91" s="20">
        <f t="shared" si="130"/>
        <v>0</v>
      </c>
      <c r="BP91" s="20">
        <v>0</v>
      </c>
      <c r="BQ91" s="20">
        <v>0</v>
      </c>
      <c r="BR91" s="20">
        <v>0</v>
      </c>
      <c r="BS91" s="20">
        <v>0</v>
      </c>
      <c r="BT91" s="20">
        <v>0</v>
      </c>
      <c r="BU91" s="20">
        <v>0</v>
      </c>
      <c r="BV91" s="20">
        <v>0</v>
      </c>
      <c r="BW91" s="20">
        <v>0</v>
      </c>
      <c r="BX91" s="20">
        <v>0</v>
      </c>
      <c r="BY91" s="20">
        <v>0</v>
      </c>
      <c r="BZ91" s="20">
        <v>0</v>
      </c>
      <c r="CA91" s="20">
        <v>0</v>
      </c>
      <c r="CB91" s="20">
        <f t="shared" si="131"/>
        <v>0</v>
      </c>
      <c r="CC91" s="20">
        <v>0</v>
      </c>
      <c r="CD91" s="20">
        <v>0</v>
      </c>
      <c r="CE91" s="20">
        <v>0</v>
      </c>
      <c r="CF91" s="20">
        <v>0</v>
      </c>
      <c r="CG91" s="20">
        <v>0</v>
      </c>
      <c r="CH91" s="20">
        <v>0</v>
      </c>
      <c r="CI91" s="20">
        <v>0</v>
      </c>
      <c r="CJ91" s="20">
        <v>0</v>
      </c>
      <c r="CK91" s="20">
        <v>0</v>
      </c>
      <c r="CL91" s="20">
        <v>0</v>
      </c>
      <c r="CM91" s="20">
        <v>0</v>
      </c>
      <c r="CN91" s="20">
        <v>0</v>
      </c>
      <c r="CO91" s="20">
        <f t="shared" si="132"/>
        <v>0</v>
      </c>
      <c r="CP91" s="20">
        <v>0</v>
      </c>
      <c r="CQ91" s="20">
        <v>0</v>
      </c>
      <c r="CR91" s="20">
        <v>0</v>
      </c>
      <c r="CS91" s="20">
        <v>0</v>
      </c>
      <c r="CT91" s="20">
        <v>0</v>
      </c>
      <c r="CU91" s="20">
        <v>0</v>
      </c>
      <c r="CV91" s="20">
        <v>0</v>
      </c>
      <c r="CW91" s="20">
        <v>0</v>
      </c>
      <c r="CX91" s="20">
        <v>0</v>
      </c>
      <c r="CY91" s="20">
        <v>0</v>
      </c>
      <c r="CZ91" s="20">
        <v>0</v>
      </c>
      <c r="DA91" s="20">
        <v>0</v>
      </c>
      <c r="DB91" s="20">
        <f t="shared" si="133"/>
        <v>0</v>
      </c>
      <c r="DC91" s="20">
        <v>0</v>
      </c>
      <c r="DD91" s="20">
        <v>0</v>
      </c>
      <c r="DE91" s="20">
        <v>0</v>
      </c>
      <c r="DF91" s="20">
        <v>0</v>
      </c>
      <c r="DG91" s="20">
        <v>0</v>
      </c>
      <c r="DH91" s="20">
        <v>0</v>
      </c>
      <c r="DI91" s="20">
        <v>0</v>
      </c>
      <c r="DJ91" s="20">
        <v>0</v>
      </c>
      <c r="DK91" s="20">
        <v>0</v>
      </c>
      <c r="DL91" s="20">
        <v>0</v>
      </c>
      <c r="DM91" s="20">
        <v>0</v>
      </c>
      <c r="DN91" s="20">
        <v>0</v>
      </c>
      <c r="DO91" s="20">
        <f t="shared" si="134"/>
        <v>0</v>
      </c>
      <c r="DP91" s="20">
        <v>0</v>
      </c>
      <c r="DQ91" s="20">
        <v>0</v>
      </c>
      <c r="DR91" s="20">
        <v>0</v>
      </c>
      <c r="DS91" s="20">
        <v>0</v>
      </c>
      <c r="DT91" s="20">
        <v>0</v>
      </c>
      <c r="DU91" s="20">
        <v>0</v>
      </c>
      <c r="DV91" s="20">
        <v>0</v>
      </c>
      <c r="DW91" s="20">
        <v>0</v>
      </c>
      <c r="DX91" s="20">
        <v>0</v>
      </c>
      <c r="DY91" s="20">
        <v>0</v>
      </c>
      <c r="DZ91" s="20">
        <v>0</v>
      </c>
      <c r="EA91" s="20">
        <v>0</v>
      </c>
      <c r="EB91" s="20">
        <f t="shared" si="135"/>
        <v>0</v>
      </c>
      <c r="EC91" s="20">
        <v>0</v>
      </c>
      <c r="ED91" s="20">
        <v>0</v>
      </c>
      <c r="EE91" s="20">
        <v>0</v>
      </c>
      <c r="EF91" s="20">
        <v>0</v>
      </c>
      <c r="EG91" s="20">
        <v>0</v>
      </c>
      <c r="EH91" s="20">
        <v>0</v>
      </c>
      <c r="EI91" s="20">
        <v>0</v>
      </c>
      <c r="EJ91" s="20">
        <v>0</v>
      </c>
      <c r="EK91" s="20">
        <v>0</v>
      </c>
      <c r="EL91" s="20">
        <v>0</v>
      </c>
      <c r="EM91" s="20">
        <v>0</v>
      </c>
      <c r="EN91" s="20">
        <v>0</v>
      </c>
      <c r="EO91" s="20">
        <f t="shared" si="136"/>
        <v>0</v>
      </c>
      <c r="EP91" s="20">
        <v>0</v>
      </c>
      <c r="EQ91" s="20">
        <v>0</v>
      </c>
      <c r="ER91" s="20">
        <v>0</v>
      </c>
      <c r="ES91" s="20">
        <v>0</v>
      </c>
      <c r="ET91" s="20">
        <v>0</v>
      </c>
      <c r="EU91" s="20">
        <v>0</v>
      </c>
      <c r="EV91" s="20">
        <v>0</v>
      </c>
      <c r="EW91" s="20">
        <v>0</v>
      </c>
      <c r="EX91" s="20">
        <v>0</v>
      </c>
      <c r="EY91" s="20">
        <v>0</v>
      </c>
      <c r="EZ91" s="20">
        <v>0</v>
      </c>
      <c r="FA91" s="20">
        <v>0</v>
      </c>
      <c r="FB91" s="20">
        <f t="shared" si="137"/>
        <v>0</v>
      </c>
      <c r="FC91" s="20">
        <v>0</v>
      </c>
      <c r="FD91" s="20">
        <v>0</v>
      </c>
      <c r="FE91" s="20">
        <v>0</v>
      </c>
      <c r="FF91" s="20">
        <v>0</v>
      </c>
      <c r="FG91" s="20">
        <v>0</v>
      </c>
      <c r="FH91" s="20">
        <v>0</v>
      </c>
      <c r="FI91" s="20">
        <v>0</v>
      </c>
      <c r="FJ91" s="10"/>
      <c r="FK91" s="10"/>
      <c r="FL91" s="10"/>
      <c r="FM91" s="10"/>
      <c r="FN91" s="10"/>
      <c r="FO91" s="20">
        <f t="shared" si="138"/>
        <v>0</v>
      </c>
    </row>
    <row r="92" spans="1:171" ht="27.75" customHeight="1">
      <c r="A92" s="10"/>
      <c r="B92" s="19" t="s">
        <v>47</v>
      </c>
      <c r="C92" s="20">
        <v>0</v>
      </c>
      <c r="D92" s="20">
        <v>0</v>
      </c>
      <c r="E92" s="20">
        <v>0</v>
      </c>
      <c r="F92" s="20">
        <v>0</v>
      </c>
      <c r="G92" s="20">
        <v>0</v>
      </c>
      <c r="H92" s="20">
        <v>0</v>
      </c>
      <c r="I92" s="20">
        <v>0</v>
      </c>
      <c r="J92" s="20">
        <v>0</v>
      </c>
      <c r="K92" s="20">
        <v>0</v>
      </c>
      <c r="L92" s="20">
        <v>0</v>
      </c>
      <c r="M92" s="20">
        <v>0</v>
      </c>
      <c r="N92" s="20">
        <v>0</v>
      </c>
      <c r="O92" s="20">
        <f t="shared" si="126"/>
        <v>0</v>
      </c>
      <c r="P92" s="20">
        <v>0</v>
      </c>
      <c r="Q92" s="20">
        <v>0</v>
      </c>
      <c r="R92" s="20">
        <v>0</v>
      </c>
      <c r="S92" s="20">
        <v>0</v>
      </c>
      <c r="T92" s="20">
        <v>0</v>
      </c>
      <c r="U92" s="20">
        <v>0</v>
      </c>
      <c r="V92" s="20">
        <v>0</v>
      </c>
      <c r="W92" s="20">
        <v>0</v>
      </c>
      <c r="X92" s="20">
        <v>0</v>
      </c>
      <c r="Y92" s="20">
        <v>0</v>
      </c>
      <c r="Z92" s="20">
        <v>0</v>
      </c>
      <c r="AA92" s="20">
        <v>0</v>
      </c>
      <c r="AB92" s="20">
        <f t="shared" si="127"/>
        <v>0</v>
      </c>
      <c r="AC92" s="20">
        <v>0</v>
      </c>
      <c r="AD92" s="20">
        <v>0</v>
      </c>
      <c r="AE92" s="20">
        <v>0</v>
      </c>
      <c r="AF92" s="20">
        <v>0</v>
      </c>
      <c r="AG92" s="20">
        <v>0</v>
      </c>
      <c r="AH92" s="20">
        <v>0</v>
      </c>
      <c r="AI92" s="20">
        <v>0</v>
      </c>
      <c r="AJ92" s="20">
        <v>0</v>
      </c>
      <c r="AK92" s="20">
        <v>0</v>
      </c>
      <c r="AL92" s="20">
        <v>0</v>
      </c>
      <c r="AM92" s="20">
        <v>0</v>
      </c>
      <c r="AN92" s="20">
        <v>0</v>
      </c>
      <c r="AO92" s="20">
        <f t="shared" si="128"/>
        <v>0</v>
      </c>
      <c r="AP92" s="20">
        <v>0</v>
      </c>
      <c r="AQ92" s="20">
        <v>0</v>
      </c>
      <c r="AR92" s="20">
        <v>0</v>
      </c>
      <c r="AS92" s="20">
        <v>0</v>
      </c>
      <c r="AT92" s="20">
        <v>0</v>
      </c>
      <c r="AU92" s="20">
        <v>0</v>
      </c>
      <c r="AV92" s="20">
        <v>0</v>
      </c>
      <c r="AW92" s="20">
        <v>0</v>
      </c>
      <c r="AX92" s="20">
        <v>0</v>
      </c>
      <c r="AY92" s="20">
        <v>0</v>
      </c>
      <c r="AZ92" s="20">
        <v>0</v>
      </c>
      <c r="BA92" s="20">
        <v>0</v>
      </c>
      <c r="BB92" s="20">
        <f t="shared" si="129"/>
        <v>0</v>
      </c>
      <c r="BC92" s="20">
        <v>0</v>
      </c>
      <c r="BD92" s="20">
        <v>0</v>
      </c>
      <c r="BE92" s="20">
        <v>0</v>
      </c>
      <c r="BF92" s="20">
        <v>0</v>
      </c>
      <c r="BG92" s="20">
        <v>0</v>
      </c>
      <c r="BH92" s="20">
        <v>0</v>
      </c>
      <c r="BI92" s="20">
        <v>0</v>
      </c>
      <c r="BJ92" s="20">
        <v>0</v>
      </c>
      <c r="BK92" s="20">
        <v>0</v>
      </c>
      <c r="BL92" s="20">
        <v>0</v>
      </c>
      <c r="BM92" s="20">
        <v>0</v>
      </c>
      <c r="BN92" s="20">
        <v>0</v>
      </c>
      <c r="BO92" s="20">
        <f t="shared" si="130"/>
        <v>0</v>
      </c>
      <c r="BP92" s="20">
        <v>0</v>
      </c>
      <c r="BQ92" s="20">
        <v>0</v>
      </c>
      <c r="BR92" s="20">
        <v>0</v>
      </c>
      <c r="BS92" s="20">
        <v>0</v>
      </c>
      <c r="BT92" s="20">
        <v>0</v>
      </c>
      <c r="BU92" s="20">
        <v>0</v>
      </c>
      <c r="BV92" s="20">
        <v>0</v>
      </c>
      <c r="BW92" s="20">
        <v>0</v>
      </c>
      <c r="BX92" s="20">
        <v>0</v>
      </c>
      <c r="BY92" s="20">
        <v>0</v>
      </c>
      <c r="BZ92" s="20">
        <v>0</v>
      </c>
      <c r="CA92" s="20">
        <v>0</v>
      </c>
      <c r="CB92" s="20">
        <f t="shared" si="131"/>
        <v>0</v>
      </c>
      <c r="CC92" s="20">
        <v>0</v>
      </c>
      <c r="CD92" s="20">
        <v>0</v>
      </c>
      <c r="CE92" s="20">
        <v>0</v>
      </c>
      <c r="CF92" s="20">
        <v>0</v>
      </c>
      <c r="CG92" s="20">
        <v>0</v>
      </c>
      <c r="CH92" s="20">
        <v>0</v>
      </c>
      <c r="CI92" s="20">
        <v>0</v>
      </c>
      <c r="CJ92" s="20">
        <v>0</v>
      </c>
      <c r="CK92" s="20">
        <v>0</v>
      </c>
      <c r="CL92" s="20">
        <v>0</v>
      </c>
      <c r="CM92" s="20">
        <v>0</v>
      </c>
      <c r="CN92" s="20">
        <v>0</v>
      </c>
      <c r="CO92" s="20">
        <f t="shared" si="132"/>
        <v>0</v>
      </c>
      <c r="CP92" s="20">
        <v>0</v>
      </c>
      <c r="CQ92" s="20">
        <v>0</v>
      </c>
      <c r="CR92" s="20">
        <v>0</v>
      </c>
      <c r="CS92" s="20">
        <v>0</v>
      </c>
      <c r="CT92" s="20">
        <v>0</v>
      </c>
      <c r="CU92" s="20">
        <v>0</v>
      </c>
      <c r="CV92" s="20">
        <v>0</v>
      </c>
      <c r="CW92" s="20">
        <v>0</v>
      </c>
      <c r="CX92" s="20">
        <v>0</v>
      </c>
      <c r="CY92" s="20">
        <v>0</v>
      </c>
      <c r="CZ92" s="20">
        <v>0</v>
      </c>
      <c r="DA92" s="20">
        <v>0</v>
      </c>
      <c r="DB92" s="20">
        <f t="shared" si="133"/>
        <v>0</v>
      </c>
      <c r="DC92" s="20">
        <v>0</v>
      </c>
      <c r="DD92" s="20">
        <v>0</v>
      </c>
      <c r="DE92" s="20">
        <v>0</v>
      </c>
      <c r="DF92" s="20">
        <v>0</v>
      </c>
      <c r="DG92" s="20">
        <v>0</v>
      </c>
      <c r="DH92" s="20">
        <v>0</v>
      </c>
      <c r="DI92" s="20">
        <v>0</v>
      </c>
      <c r="DJ92" s="20">
        <v>0</v>
      </c>
      <c r="DK92" s="20">
        <v>0</v>
      </c>
      <c r="DL92" s="20">
        <v>0</v>
      </c>
      <c r="DM92" s="20">
        <v>0</v>
      </c>
      <c r="DN92" s="20">
        <v>0</v>
      </c>
      <c r="DO92" s="20">
        <f t="shared" si="134"/>
        <v>0</v>
      </c>
      <c r="DP92" s="20">
        <v>0</v>
      </c>
      <c r="DQ92" s="20">
        <v>0</v>
      </c>
      <c r="DR92" s="20">
        <v>0</v>
      </c>
      <c r="DS92" s="20">
        <v>0</v>
      </c>
      <c r="DT92" s="20">
        <v>0</v>
      </c>
      <c r="DU92" s="20">
        <v>0</v>
      </c>
      <c r="DV92" s="20">
        <v>0</v>
      </c>
      <c r="DW92" s="20">
        <v>0</v>
      </c>
      <c r="DX92" s="20">
        <v>0</v>
      </c>
      <c r="DY92" s="20">
        <v>0</v>
      </c>
      <c r="DZ92" s="20">
        <v>0</v>
      </c>
      <c r="EA92" s="20">
        <v>0</v>
      </c>
      <c r="EB92" s="20">
        <f t="shared" si="135"/>
        <v>0</v>
      </c>
      <c r="EC92" s="20">
        <v>0</v>
      </c>
      <c r="ED92" s="20">
        <v>0</v>
      </c>
      <c r="EE92" s="20">
        <v>0</v>
      </c>
      <c r="EF92" s="20">
        <v>0</v>
      </c>
      <c r="EG92" s="20">
        <v>0</v>
      </c>
      <c r="EH92" s="20">
        <v>0</v>
      </c>
      <c r="EI92" s="20">
        <v>0</v>
      </c>
      <c r="EJ92" s="20">
        <v>0</v>
      </c>
      <c r="EK92" s="20">
        <v>0</v>
      </c>
      <c r="EL92" s="20">
        <v>0</v>
      </c>
      <c r="EM92" s="20">
        <v>0</v>
      </c>
      <c r="EN92" s="20">
        <v>0</v>
      </c>
      <c r="EO92" s="20">
        <f t="shared" si="136"/>
        <v>0</v>
      </c>
      <c r="EP92" s="20">
        <v>0</v>
      </c>
      <c r="EQ92" s="20">
        <v>0</v>
      </c>
      <c r="ER92" s="20">
        <v>0</v>
      </c>
      <c r="ES92" s="20">
        <v>0</v>
      </c>
      <c r="ET92" s="20">
        <v>0</v>
      </c>
      <c r="EU92" s="20">
        <v>0</v>
      </c>
      <c r="EV92" s="20">
        <v>0</v>
      </c>
      <c r="EW92" s="20">
        <v>0</v>
      </c>
      <c r="EX92" s="20">
        <v>0</v>
      </c>
      <c r="EY92" s="20">
        <v>0</v>
      </c>
      <c r="EZ92" s="20">
        <v>0</v>
      </c>
      <c r="FA92" s="20">
        <v>0</v>
      </c>
      <c r="FB92" s="20">
        <f t="shared" si="137"/>
        <v>0</v>
      </c>
      <c r="FC92" s="20">
        <v>0</v>
      </c>
      <c r="FD92" s="20">
        <v>0</v>
      </c>
      <c r="FE92" s="20">
        <v>0</v>
      </c>
      <c r="FF92" s="20">
        <v>0</v>
      </c>
      <c r="FG92" s="20">
        <v>0</v>
      </c>
      <c r="FH92" s="20">
        <v>0</v>
      </c>
      <c r="FI92" s="20">
        <v>0</v>
      </c>
      <c r="FJ92" s="10"/>
      <c r="FK92" s="10"/>
      <c r="FL92" s="10"/>
      <c r="FM92" s="10"/>
      <c r="FN92" s="10"/>
      <c r="FO92" s="20">
        <f t="shared" si="138"/>
        <v>0</v>
      </c>
    </row>
    <row r="93" spans="1:171" ht="27.75" customHeight="1">
      <c r="A93" s="10"/>
      <c r="B93" s="19" t="s">
        <v>48</v>
      </c>
      <c r="C93" s="20">
        <v>0</v>
      </c>
      <c r="D93" s="20">
        <v>0</v>
      </c>
      <c r="E93" s="20">
        <v>0</v>
      </c>
      <c r="F93" s="20">
        <v>0</v>
      </c>
      <c r="G93" s="20">
        <v>0</v>
      </c>
      <c r="H93" s="20">
        <v>0</v>
      </c>
      <c r="I93" s="20">
        <v>0</v>
      </c>
      <c r="J93" s="20">
        <v>0</v>
      </c>
      <c r="K93" s="20">
        <v>0</v>
      </c>
      <c r="L93" s="20">
        <v>0</v>
      </c>
      <c r="M93" s="20">
        <v>0</v>
      </c>
      <c r="N93" s="20">
        <v>0</v>
      </c>
      <c r="O93" s="20">
        <f t="shared" si="126"/>
        <v>0</v>
      </c>
      <c r="P93" s="20">
        <v>0</v>
      </c>
      <c r="Q93" s="20">
        <v>0</v>
      </c>
      <c r="R93" s="20">
        <v>0</v>
      </c>
      <c r="S93" s="20">
        <v>0</v>
      </c>
      <c r="T93" s="20">
        <v>0</v>
      </c>
      <c r="U93" s="20">
        <v>0</v>
      </c>
      <c r="V93" s="20">
        <v>0</v>
      </c>
      <c r="W93" s="20">
        <v>0</v>
      </c>
      <c r="X93" s="20">
        <v>0</v>
      </c>
      <c r="Y93" s="20">
        <v>0</v>
      </c>
      <c r="Z93" s="20">
        <v>0</v>
      </c>
      <c r="AA93" s="20">
        <v>0</v>
      </c>
      <c r="AB93" s="20">
        <f t="shared" si="127"/>
        <v>0</v>
      </c>
      <c r="AC93" s="20">
        <v>0</v>
      </c>
      <c r="AD93" s="20">
        <v>0</v>
      </c>
      <c r="AE93" s="20">
        <v>0</v>
      </c>
      <c r="AF93" s="20">
        <v>0</v>
      </c>
      <c r="AG93" s="20">
        <v>0</v>
      </c>
      <c r="AH93" s="20">
        <v>0</v>
      </c>
      <c r="AI93" s="20">
        <v>0</v>
      </c>
      <c r="AJ93" s="20">
        <v>0</v>
      </c>
      <c r="AK93" s="20">
        <v>0</v>
      </c>
      <c r="AL93" s="20">
        <v>0</v>
      </c>
      <c r="AM93" s="20">
        <v>0</v>
      </c>
      <c r="AN93" s="20">
        <v>0</v>
      </c>
      <c r="AO93" s="20">
        <f t="shared" si="128"/>
        <v>0</v>
      </c>
      <c r="AP93" s="20">
        <v>0</v>
      </c>
      <c r="AQ93" s="20">
        <v>0</v>
      </c>
      <c r="AR93" s="20">
        <v>0</v>
      </c>
      <c r="AS93" s="20">
        <v>0</v>
      </c>
      <c r="AT93" s="20">
        <v>0</v>
      </c>
      <c r="AU93" s="20">
        <v>0</v>
      </c>
      <c r="AV93" s="20">
        <v>0</v>
      </c>
      <c r="AW93" s="20">
        <v>0</v>
      </c>
      <c r="AX93" s="20">
        <v>0</v>
      </c>
      <c r="AY93" s="20">
        <v>0</v>
      </c>
      <c r="AZ93" s="20">
        <v>0</v>
      </c>
      <c r="BA93" s="20">
        <v>0</v>
      </c>
      <c r="BB93" s="20">
        <f t="shared" si="129"/>
        <v>0</v>
      </c>
      <c r="BC93" s="20">
        <v>0</v>
      </c>
      <c r="BD93" s="20">
        <v>0</v>
      </c>
      <c r="BE93" s="20">
        <v>0</v>
      </c>
      <c r="BF93" s="20">
        <v>0</v>
      </c>
      <c r="BG93" s="20">
        <v>0</v>
      </c>
      <c r="BH93" s="20">
        <v>0</v>
      </c>
      <c r="BI93" s="20">
        <v>0</v>
      </c>
      <c r="BJ93" s="20">
        <v>0</v>
      </c>
      <c r="BK93" s="20">
        <v>0</v>
      </c>
      <c r="BL93" s="20">
        <v>0</v>
      </c>
      <c r="BM93" s="20">
        <v>0</v>
      </c>
      <c r="BN93" s="20">
        <v>0</v>
      </c>
      <c r="BO93" s="20">
        <f t="shared" si="130"/>
        <v>0</v>
      </c>
      <c r="BP93" s="20">
        <v>0</v>
      </c>
      <c r="BQ93" s="20">
        <v>0</v>
      </c>
      <c r="BR93" s="20">
        <v>0</v>
      </c>
      <c r="BS93" s="20">
        <v>0</v>
      </c>
      <c r="BT93" s="20">
        <v>0</v>
      </c>
      <c r="BU93" s="20">
        <v>0</v>
      </c>
      <c r="BV93" s="20">
        <v>0</v>
      </c>
      <c r="BW93" s="20">
        <v>0</v>
      </c>
      <c r="BX93" s="20">
        <v>0</v>
      </c>
      <c r="BY93" s="20">
        <v>0</v>
      </c>
      <c r="BZ93" s="20">
        <v>0</v>
      </c>
      <c r="CA93" s="20">
        <v>0</v>
      </c>
      <c r="CB93" s="20">
        <f t="shared" si="131"/>
        <v>0</v>
      </c>
      <c r="CC93" s="20">
        <v>0</v>
      </c>
      <c r="CD93" s="20">
        <v>0</v>
      </c>
      <c r="CE93" s="20">
        <v>0</v>
      </c>
      <c r="CF93" s="20">
        <v>0</v>
      </c>
      <c r="CG93" s="20">
        <v>0</v>
      </c>
      <c r="CH93" s="20">
        <v>0</v>
      </c>
      <c r="CI93" s="20">
        <v>0</v>
      </c>
      <c r="CJ93" s="20">
        <v>0</v>
      </c>
      <c r="CK93" s="20">
        <v>0</v>
      </c>
      <c r="CL93" s="20">
        <v>0</v>
      </c>
      <c r="CM93" s="20">
        <v>0</v>
      </c>
      <c r="CN93" s="20">
        <v>0</v>
      </c>
      <c r="CO93" s="20">
        <f t="shared" si="132"/>
        <v>0</v>
      </c>
      <c r="CP93" s="20">
        <v>0</v>
      </c>
      <c r="CQ93" s="20">
        <v>0</v>
      </c>
      <c r="CR93" s="20">
        <v>0</v>
      </c>
      <c r="CS93" s="20">
        <v>0</v>
      </c>
      <c r="CT93" s="20">
        <v>0</v>
      </c>
      <c r="CU93" s="20">
        <v>0</v>
      </c>
      <c r="CV93" s="20">
        <v>0</v>
      </c>
      <c r="CW93" s="20">
        <v>0</v>
      </c>
      <c r="CX93" s="20">
        <v>0</v>
      </c>
      <c r="CY93" s="20">
        <v>0</v>
      </c>
      <c r="CZ93" s="20">
        <v>0</v>
      </c>
      <c r="DA93" s="20">
        <v>0</v>
      </c>
      <c r="DB93" s="20">
        <f t="shared" si="133"/>
        <v>0</v>
      </c>
      <c r="DC93" s="20">
        <v>0</v>
      </c>
      <c r="DD93" s="20">
        <v>0</v>
      </c>
      <c r="DE93" s="20">
        <v>0</v>
      </c>
      <c r="DF93" s="20">
        <v>0</v>
      </c>
      <c r="DG93" s="20">
        <v>0</v>
      </c>
      <c r="DH93" s="20">
        <v>0</v>
      </c>
      <c r="DI93" s="20">
        <v>0</v>
      </c>
      <c r="DJ93" s="20">
        <v>0</v>
      </c>
      <c r="DK93" s="20">
        <v>0</v>
      </c>
      <c r="DL93" s="20">
        <v>0</v>
      </c>
      <c r="DM93" s="20">
        <v>0</v>
      </c>
      <c r="DN93" s="20">
        <v>0</v>
      </c>
      <c r="DO93" s="20">
        <f t="shared" si="134"/>
        <v>0</v>
      </c>
      <c r="DP93" s="20">
        <v>0</v>
      </c>
      <c r="DQ93" s="20">
        <v>0</v>
      </c>
      <c r="DR93" s="20">
        <v>0</v>
      </c>
      <c r="DS93" s="20">
        <v>0</v>
      </c>
      <c r="DT93" s="20">
        <v>0</v>
      </c>
      <c r="DU93" s="20">
        <v>0</v>
      </c>
      <c r="DV93" s="20">
        <v>0</v>
      </c>
      <c r="DW93" s="20">
        <v>0</v>
      </c>
      <c r="DX93" s="20">
        <v>0</v>
      </c>
      <c r="DY93" s="20">
        <v>0</v>
      </c>
      <c r="DZ93" s="20">
        <v>0</v>
      </c>
      <c r="EA93" s="20">
        <v>0</v>
      </c>
      <c r="EB93" s="20">
        <f t="shared" si="135"/>
        <v>0</v>
      </c>
      <c r="EC93" s="20">
        <v>0</v>
      </c>
      <c r="ED93" s="20">
        <v>0</v>
      </c>
      <c r="EE93" s="20">
        <v>0</v>
      </c>
      <c r="EF93" s="20">
        <v>0</v>
      </c>
      <c r="EG93" s="20">
        <v>0</v>
      </c>
      <c r="EH93" s="20">
        <v>0</v>
      </c>
      <c r="EI93" s="20">
        <v>0</v>
      </c>
      <c r="EJ93" s="20">
        <v>0</v>
      </c>
      <c r="EK93" s="20">
        <v>0</v>
      </c>
      <c r="EL93" s="20">
        <v>0</v>
      </c>
      <c r="EM93" s="20">
        <v>0</v>
      </c>
      <c r="EN93" s="20">
        <v>0</v>
      </c>
      <c r="EO93" s="20">
        <f t="shared" si="136"/>
        <v>0</v>
      </c>
      <c r="EP93" s="20">
        <v>0</v>
      </c>
      <c r="EQ93" s="20">
        <v>0</v>
      </c>
      <c r="ER93" s="20">
        <v>0</v>
      </c>
      <c r="ES93" s="20">
        <v>0</v>
      </c>
      <c r="ET93" s="20">
        <v>0</v>
      </c>
      <c r="EU93" s="20">
        <v>0</v>
      </c>
      <c r="EV93" s="20">
        <v>0</v>
      </c>
      <c r="EW93" s="20">
        <v>0</v>
      </c>
      <c r="EX93" s="20">
        <v>0</v>
      </c>
      <c r="EY93" s="20">
        <v>0</v>
      </c>
      <c r="EZ93" s="20">
        <v>0</v>
      </c>
      <c r="FA93" s="20">
        <v>0</v>
      </c>
      <c r="FB93" s="20">
        <f t="shared" si="137"/>
        <v>0</v>
      </c>
      <c r="FC93" s="20">
        <v>0</v>
      </c>
      <c r="FD93" s="20">
        <v>0</v>
      </c>
      <c r="FE93" s="20">
        <v>0</v>
      </c>
      <c r="FF93" s="20">
        <v>0</v>
      </c>
      <c r="FG93" s="20">
        <v>0</v>
      </c>
      <c r="FH93" s="20">
        <v>0</v>
      </c>
      <c r="FI93" s="20">
        <v>0</v>
      </c>
      <c r="FJ93" s="10"/>
      <c r="FK93" s="10"/>
      <c r="FL93" s="10"/>
      <c r="FM93" s="10"/>
      <c r="FN93" s="10"/>
      <c r="FO93" s="20">
        <f t="shared" si="138"/>
        <v>0</v>
      </c>
    </row>
    <row r="94" spans="1:171" ht="21.75" customHeight="1">
      <c r="A94" s="10"/>
      <c r="B94" s="15" t="s">
        <v>49</v>
      </c>
      <c r="C94" s="38">
        <f t="shared" ref="C94:AH94" si="139">SUM(C88:C93)</f>
        <v>0</v>
      </c>
      <c r="D94" s="38">
        <f t="shared" si="139"/>
        <v>0</v>
      </c>
      <c r="E94" s="38">
        <f t="shared" si="139"/>
        <v>0</v>
      </c>
      <c r="F94" s="38">
        <f t="shared" si="139"/>
        <v>0</v>
      </c>
      <c r="G94" s="38">
        <f t="shared" si="139"/>
        <v>0</v>
      </c>
      <c r="H94" s="38">
        <f t="shared" si="139"/>
        <v>0</v>
      </c>
      <c r="I94" s="38">
        <f t="shared" si="139"/>
        <v>0</v>
      </c>
      <c r="J94" s="38">
        <f t="shared" si="139"/>
        <v>0</v>
      </c>
      <c r="K94" s="38">
        <f t="shared" si="139"/>
        <v>0</v>
      </c>
      <c r="L94" s="38">
        <f t="shared" si="139"/>
        <v>0</v>
      </c>
      <c r="M94" s="38">
        <f t="shared" si="139"/>
        <v>0</v>
      </c>
      <c r="N94" s="38">
        <f t="shared" si="139"/>
        <v>0</v>
      </c>
      <c r="O94" s="38">
        <f t="shared" si="139"/>
        <v>0</v>
      </c>
      <c r="P94" s="38">
        <f t="shared" si="139"/>
        <v>0</v>
      </c>
      <c r="Q94" s="38">
        <f t="shared" si="139"/>
        <v>0</v>
      </c>
      <c r="R94" s="38">
        <f t="shared" si="139"/>
        <v>0</v>
      </c>
      <c r="S94" s="38">
        <f t="shared" si="139"/>
        <v>0</v>
      </c>
      <c r="T94" s="38">
        <f t="shared" si="139"/>
        <v>0</v>
      </c>
      <c r="U94" s="38">
        <f t="shared" si="139"/>
        <v>0</v>
      </c>
      <c r="V94" s="38">
        <f t="shared" si="139"/>
        <v>0</v>
      </c>
      <c r="W94" s="38">
        <f t="shared" si="139"/>
        <v>0</v>
      </c>
      <c r="X94" s="38">
        <f t="shared" si="139"/>
        <v>0</v>
      </c>
      <c r="Y94" s="38">
        <f t="shared" si="139"/>
        <v>0</v>
      </c>
      <c r="Z94" s="38">
        <f t="shared" si="139"/>
        <v>0</v>
      </c>
      <c r="AA94" s="38">
        <f t="shared" si="139"/>
        <v>0</v>
      </c>
      <c r="AB94" s="38">
        <f t="shared" si="139"/>
        <v>0</v>
      </c>
      <c r="AC94" s="38">
        <f t="shared" si="139"/>
        <v>0</v>
      </c>
      <c r="AD94" s="38">
        <f t="shared" si="139"/>
        <v>0</v>
      </c>
      <c r="AE94" s="38">
        <f t="shared" si="139"/>
        <v>0</v>
      </c>
      <c r="AF94" s="38">
        <f t="shared" si="139"/>
        <v>0</v>
      </c>
      <c r="AG94" s="38">
        <f t="shared" si="139"/>
        <v>0</v>
      </c>
      <c r="AH94" s="38">
        <f t="shared" si="139"/>
        <v>0</v>
      </c>
      <c r="AI94" s="38">
        <f t="shared" ref="AI94:BN94" si="140">SUM(AI88:AI93)</f>
        <v>0</v>
      </c>
      <c r="AJ94" s="38">
        <f t="shared" si="140"/>
        <v>0</v>
      </c>
      <c r="AK94" s="38">
        <f t="shared" si="140"/>
        <v>0</v>
      </c>
      <c r="AL94" s="38">
        <f t="shared" si="140"/>
        <v>0</v>
      </c>
      <c r="AM94" s="38">
        <f t="shared" si="140"/>
        <v>0</v>
      </c>
      <c r="AN94" s="38">
        <f t="shared" si="140"/>
        <v>0</v>
      </c>
      <c r="AO94" s="38">
        <f t="shared" si="140"/>
        <v>0</v>
      </c>
      <c r="AP94" s="38">
        <f t="shared" si="140"/>
        <v>0</v>
      </c>
      <c r="AQ94" s="38">
        <f t="shared" si="140"/>
        <v>0</v>
      </c>
      <c r="AR94" s="38">
        <f t="shared" si="140"/>
        <v>0</v>
      </c>
      <c r="AS94" s="38">
        <f t="shared" si="140"/>
        <v>0</v>
      </c>
      <c r="AT94" s="38">
        <f t="shared" si="140"/>
        <v>0</v>
      </c>
      <c r="AU94" s="38">
        <f t="shared" si="140"/>
        <v>0</v>
      </c>
      <c r="AV94" s="38">
        <f t="shared" si="140"/>
        <v>0</v>
      </c>
      <c r="AW94" s="38">
        <f t="shared" si="140"/>
        <v>0</v>
      </c>
      <c r="AX94" s="38">
        <f t="shared" si="140"/>
        <v>0</v>
      </c>
      <c r="AY94" s="38">
        <f t="shared" si="140"/>
        <v>0</v>
      </c>
      <c r="AZ94" s="38">
        <f t="shared" si="140"/>
        <v>0</v>
      </c>
      <c r="BA94" s="38">
        <f t="shared" si="140"/>
        <v>0</v>
      </c>
      <c r="BB94" s="38">
        <f t="shared" si="140"/>
        <v>0</v>
      </c>
      <c r="BC94" s="38">
        <f t="shared" si="140"/>
        <v>0</v>
      </c>
      <c r="BD94" s="38">
        <f t="shared" si="140"/>
        <v>0</v>
      </c>
      <c r="BE94" s="38">
        <f t="shared" si="140"/>
        <v>0</v>
      </c>
      <c r="BF94" s="38">
        <f t="shared" si="140"/>
        <v>0</v>
      </c>
      <c r="BG94" s="38">
        <f t="shared" si="140"/>
        <v>0</v>
      </c>
      <c r="BH94" s="38">
        <f t="shared" si="140"/>
        <v>0</v>
      </c>
      <c r="BI94" s="38">
        <f t="shared" si="140"/>
        <v>0</v>
      </c>
      <c r="BJ94" s="38">
        <f t="shared" si="140"/>
        <v>0</v>
      </c>
      <c r="BK94" s="38">
        <f t="shared" si="140"/>
        <v>0</v>
      </c>
      <c r="BL94" s="38">
        <f t="shared" si="140"/>
        <v>0</v>
      </c>
      <c r="BM94" s="38">
        <f t="shared" si="140"/>
        <v>0</v>
      </c>
      <c r="BN94" s="38">
        <f t="shared" si="140"/>
        <v>0</v>
      </c>
      <c r="BO94" s="38">
        <f t="shared" ref="BO94:CT94" si="141">SUM(BO88:BO93)</f>
        <v>0</v>
      </c>
      <c r="BP94" s="38">
        <f t="shared" si="141"/>
        <v>0</v>
      </c>
      <c r="BQ94" s="38">
        <f t="shared" si="141"/>
        <v>0</v>
      </c>
      <c r="BR94" s="38">
        <f t="shared" si="141"/>
        <v>0</v>
      </c>
      <c r="BS94" s="38">
        <f t="shared" si="141"/>
        <v>0</v>
      </c>
      <c r="BT94" s="38">
        <f t="shared" si="141"/>
        <v>0</v>
      </c>
      <c r="BU94" s="38">
        <f t="shared" si="141"/>
        <v>0</v>
      </c>
      <c r="BV94" s="38">
        <f t="shared" si="141"/>
        <v>0</v>
      </c>
      <c r="BW94" s="38">
        <f t="shared" si="141"/>
        <v>0</v>
      </c>
      <c r="BX94" s="38">
        <f t="shared" si="141"/>
        <v>0</v>
      </c>
      <c r="BY94" s="38">
        <f t="shared" si="141"/>
        <v>0</v>
      </c>
      <c r="BZ94" s="38">
        <f t="shared" si="141"/>
        <v>0</v>
      </c>
      <c r="CA94" s="38">
        <f t="shared" si="141"/>
        <v>0</v>
      </c>
      <c r="CB94" s="38">
        <f t="shared" si="141"/>
        <v>0</v>
      </c>
      <c r="CC94" s="38">
        <f t="shared" si="141"/>
        <v>0</v>
      </c>
      <c r="CD94" s="38">
        <f t="shared" si="141"/>
        <v>0</v>
      </c>
      <c r="CE94" s="38">
        <f t="shared" si="141"/>
        <v>0</v>
      </c>
      <c r="CF94" s="38">
        <f t="shared" si="141"/>
        <v>0</v>
      </c>
      <c r="CG94" s="38">
        <f t="shared" si="141"/>
        <v>0</v>
      </c>
      <c r="CH94" s="38">
        <f t="shared" si="141"/>
        <v>0</v>
      </c>
      <c r="CI94" s="38">
        <f t="shared" si="141"/>
        <v>0</v>
      </c>
      <c r="CJ94" s="38">
        <f t="shared" si="141"/>
        <v>0</v>
      </c>
      <c r="CK94" s="38">
        <f t="shared" si="141"/>
        <v>0</v>
      </c>
      <c r="CL94" s="38">
        <f t="shared" si="141"/>
        <v>0</v>
      </c>
      <c r="CM94" s="38">
        <f t="shared" si="141"/>
        <v>0</v>
      </c>
      <c r="CN94" s="38">
        <f t="shared" si="141"/>
        <v>0</v>
      </c>
      <c r="CO94" s="38">
        <f t="shared" si="141"/>
        <v>0</v>
      </c>
      <c r="CP94" s="38">
        <f t="shared" si="141"/>
        <v>0</v>
      </c>
      <c r="CQ94" s="38">
        <f t="shared" si="141"/>
        <v>0</v>
      </c>
      <c r="CR94" s="38">
        <f t="shared" si="141"/>
        <v>0</v>
      </c>
      <c r="CS94" s="38">
        <f t="shared" si="141"/>
        <v>0</v>
      </c>
      <c r="CT94" s="38">
        <f t="shared" si="141"/>
        <v>0</v>
      </c>
      <c r="CU94" s="38">
        <f t="shared" ref="CU94:DZ94" si="142">SUM(CU88:CU93)</f>
        <v>0</v>
      </c>
      <c r="CV94" s="38">
        <f t="shared" si="142"/>
        <v>0</v>
      </c>
      <c r="CW94" s="38">
        <f t="shared" si="142"/>
        <v>0</v>
      </c>
      <c r="CX94" s="38">
        <f t="shared" si="142"/>
        <v>0</v>
      </c>
      <c r="CY94" s="38">
        <f t="shared" si="142"/>
        <v>0</v>
      </c>
      <c r="CZ94" s="38">
        <f t="shared" si="142"/>
        <v>0</v>
      </c>
      <c r="DA94" s="38">
        <f t="shared" si="142"/>
        <v>0</v>
      </c>
      <c r="DB94" s="38">
        <f t="shared" si="142"/>
        <v>0</v>
      </c>
      <c r="DC94" s="38">
        <f t="shared" si="142"/>
        <v>0</v>
      </c>
      <c r="DD94" s="38">
        <f t="shared" si="142"/>
        <v>0</v>
      </c>
      <c r="DE94" s="38">
        <f t="shared" si="142"/>
        <v>0</v>
      </c>
      <c r="DF94" s="38">
        <f t="shared" si="142"/>
        <v>0</v>
      </c>
      <c r="DG94" s="38">
        <f t="shared" si="142"/>
        <v>0</v>
      </c>
      <c r="DH94" s="38">
        <f t="shared" si="142"/>
        <v>0</v>
      </c>
      <c r="DI94" s="38">
        <f t="shared" si="142"/>
        <v>0</v>
      </c>
      <c r="DJ94" s="38">
        <f t="shared" si="142"/>
        <v>0</v>
      </c>
      <c r="DK94" s="38">
        <f t="shared" si="142"/>
        <v>0</v>
      </c>
      <c r="DL94" s="38">
        <f t="shared" si="142"/>
        <v>0</v>
      </c>
      <c r="DM94" s="38">
        <f t="shared" si="142"/>
        <v>0</v>
      </c>
      <c r="DN94" s="38">
        <f t="shared" si="142"/>
        <v>0</v>
      </c>
      <c r="DO94" s="38">
        <f t="shared" si="142"/>
        <v>0</v>
      </c>
      <c r="DP94" s="38">
        <f t="shared" si="142"/>
        <v>17877772</v>
      </c>
      <c r="DQ94" s="38">
        <f t="shared" si="142"/>
        <v>17877772</v>
      </c>
      <c r="DR94" s="38">
        <f t="shared" si="142"/>
        <v>17877772</v>
      </c>
      <c r="DS94" s="38">
        <f t="shared" si="142"/>
        <v>17877772</v>
      </c>
      <c r="DT94" s="38">
        <f t="shared" si="142"/>
        <v>17877772</v>
      </c>
      <c r="DU94" s="38">
        <f t="shared" si="142"/>
        <v>17877772</v>
      </c>
      <c r="DV94" s="38">
        <f t="shared" si="142"/>
        <v>17877772</v>
      </c>
      <c r="DW94" s="38">
        <f t="shared" si="142"/>
        <v>17877772</v>
      </c>
      <c r="DX94" s="38">
        <f t="shared" si="142"/>
        <v>17877772</v>
      </c>
      <c r="DY94" s="38">
        <f t="shared" si="142"/>
        <v>17877772</v>
      </c>
      <c r="DZ94" s="38">
        <f t="shared" si="142"/>
        <v>17877772</v>
      </c>
      <c r="EA94" s="38">
        <f t="shared" ref="EA94:FF94" si="143">SUM(EA88:EA93)</f>
        <v>17877772</v>
      </c>
      <c r="EB94" s="38">
        <f t="shared" si="143"/>
        <v>17877772</v>
      </c>
      <c r="EC94" s="38">
        <f t="shared" si="143"/>
        <v>0</v>
      </c>
      <c r="ED94" s="38">
        <f t="shared" si="143"/>
        <v>0</v>
      </c>
      <c r="EE94" s="38">
        <f t="shared" si="143"/>
        <v>0</v>
      </c>
      <c r="EF94" s="38">
        <f t="shared" si="143"/>
        <v>0</v>
      </c>
      <c r="EG94" s="38">
        <f t="shared" si="143"/>
        <v>0</v>
      </c>
      <c r="EH94" s="38">
        <f t="shared" si="143"/>
        <v>0</v>
      </c>
      <c r="EI94" s="38">
        <f t="shared" si="143"/>
        <v>0</v>
      </c>
      <c r="EJ94" s="38">
        <f t="shared" si="143"/>
        <v>0</v>
      </c>
      <c r="EK94" s="38">
        <f t="shared" si="143"/>
        <v>0</v>
      </c>
      <c r="EL94" s="38">
        <f t="shared" si="143"/>
        <v>0</v>
      </c>
      <c r="EM94" s="38">
        <f t="shared" si="143"/>
        <v>0</v>
      </c>
      <c r="EN94" s="38">
        <f t="shared" si="143"/>
        <v>0</v>
      </c>
      <c r="EO94" s="38">
        <f t="shared" si="143"/>
        <v>0</v>
      </c>
      <c r="EP94" s="38">
        <f t="shared" si="143"/>
        <v>0</v>
      </c>
      <c r="EQ94" s="38">
        <f t="shared" si="143"/>
        <v>0</v>
      </c>
      <c r="ER94" s="38">
        <f t="shared" si="143"/>
        <v>0</v>
      </c>
      <c r="ES94" s="38">
        <f t="shared" si="143"/>
        <v>0</v>
      </c>
      <c r="ET94" s="38">
        <f t="shared" si="143"/>
        <v>0</v>
      </c>
      <c r="EU94" s="38">
        <f t="shared" si="143"/>
        <v>0</v>
      </c>
      <c r="EV94" s="38">
        <f t="shared" si="143"/>
        <v>0</v>
      </c>
      <c r="EW94" s="38">
        <f t="shared" si="143"/>
        <v>0</v>
      </c>
      <c r="EX94" s="38">
        <f t="shared" si="143"/>
        <v>0</v>
      </c>
      <c r="EY94" s="38">
        <f t="shared" si="143"/>
        <v>0</v>
      </c>
      <c r="EZ94" s="38">
        <f t="shared" si="143"/>
        <v>0</v>
      </c>
      <c r="FA94" s="38">
        <f t="shared" si="143"/>
        <v>0</v>
      </c>
      <c r="FB94" s="38">
        <f t="shared" si="143"/>
        <v>0</v>
      </c>
      <c r="FC94" s="38">
        <f t="shared" si="143"/>
        <v>0</v>
      </c>
      <c r="FD94" s="38">
        <f t="shared" si="143"/>
        <v>0</v>
      </c>
      <c r="FE94" s="38">
        <f t="shared" si="143"/>
        <v>0</v>
      </c>
      <c r="FF94" s="38">
        <f t="shared" si="143"/>
        <v>0</v>
      </c>
      <c r="FG94" s="38">
        <f t="shared" ref="FG94:GL94" si="144">SUM(FG88:FG93)</f>
        <v>0</v>
      </c>
      <c r="FH94" s="38">
        <f t="shared" si="144"/>
        <v>0</v>
      </c>
      <c r="FI94" s="38">
        <f t="shared" si="144"/>
        <v>0</v>
      </c>
      <c r="FJ94" s="38">
        <f t="shared" si="144"/>
        <v>0</v>
      </c>
      <c r="FK94" s="38">
        <f t="shared" si="144"/>
        <v>0</v>
      </c>
      <c r="FL94" s="38">
        <f t="shared" si="144"/>
        <v>0</v>
      </c>
      <c r="FM94" s="38">
        <f t="shared" si="144"/>
        <v>0</v>
      </c>
      <c r="FN94" s="38">
        <f t="shared" si="144"/>
        <v>0</v>
      </c>
      <c r="FO94" s="38">
        <f t="shared" si="144"/>
        <v>0</v>
      </c>
    </row>
    <row r="95" spans="1:171" ht="14.25" customHeight="1">
      <c r="A95" s="10"/>
      <c r="B95" s="18" t="s">
        <v>63</v>
      </c>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row>
    <row r="96" spans="1:171"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row>
    <row r="97" spans="1:171" ht="15.75" customHeight="1">
      <c r="A97" s="10"/>
      <c r="B97" s="104" t="s">
        <v>64</v>
      </c>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c r="BT97" s="105"/>
      <c r="BU97" s="105"/>
      <c r="BV97" s="105"/>
      <c r="BW97" s="105"/>
      <c r="BX97" s="105"/>
      <c r="BY97" s="105"/>
      <c r="BZ97" s="105"/>
      <c r="CA97" s="105"/>
      <c r="CB97" s="105"/>
      <c r="CC97" s="105"/>
      <c r="CD97" s="105"/>
      <c r="CE97" s="105"/>
      <c r="CF97" s="105"/>
      <c r="CG97" s="105"/>
      <c r="CH97" s="105"/>
      <c r="CI97" s="105"/>
      <c r="CJ97" s="105"/>
      <c r="CK97" s="105"/>
      <c r="CL97" s="105"/>
      <c r="CM97" s="105"/>
      <c r="CN97" s="105"/>
      <c r="CO97" s="105"/>
      <c r="CP97" s="105"/>
      <c r="CQ97" s="105"/>
      <c r="CR97" s="105"/>
      <c r="CS97" s="105"/>
      <c r="CT97" s="105"/>
      <c r="CU97" s="105"/>
      <c r="CV97" s="105"/>
      <c r="CW97" s="105"/>
      <c r="CX97" s="105"/>
      <c r="CY97" s="105"/>
      <c r="CZ97" s="105"/>
      <c r="DA97" s="105"/>
      <c r="DB97" s="105"/>
      <c r="DC97" s="105"/>
      <c r="DD97" s="105"/>
      <c r="DE97" s="105"/>
      <c r="DF97" s="105"/>
      <c r="DG97" s="105"/>
      <c r="DH97" s="105"/>
      <c r="DI97" s="105"/>
      <c r="DJ97" s="105"/>
      <c r="DK97" s="105"/>
      <c r="DL97" s="105"/>
      <c r="DM97" s="105"/>
      <c r="DN97" s="105"/>
      <c r="DO97" s="105"/>
      <c r="DP97" s="105"/>
      <c r="DQ97" s="105"/>
      <c r="DR97" s="105"/>
      <c r="DS97" s="105"/>
      <c r="DT97" s="105"/>
      <c r="DU97" s="105"/>
      <c r="DV97" s="105"/>
      <c r="DW97" s="105"/>
      <c r="DX97" s="105"/>
      <c r="DY97" s="105"/>
      <c r="DZ97" s="105"/>
      <c r="EA97" s="105"/>
      <c r="EB97" s="105"/>
      <c r="EC97" s="105"/>
      <c r="ED97" s="105"/>
      <c r="EE97" s="105"/>
      <c r="EF97" s="105"/>
      <c r="EG97" s="105"/>
      <c r="EH97" s="105"/>
      <c r="EI97" s="105"/>
      <c r="EJ97" s="105"/>
      <c r="EK97" s="105"/>
      <c r="EL97" s="105"/>
      <c r="EM97" s="105"/>
      <c r="EN97" s="105"/>
      <c r="EO97" s="105"/>
      <c r="EP97" s="105"/>
      <c r="EQ97" s="105"/>
      <c r="ER97" s="105"/>
      <c r="ES97" s="105"/>
      <c r="ET97" s="105"/>
      <c r="EU97" s="105"/>
      <c r="EV97" s="105"/>
      <c r="EW97" s="105"/>
      <c r="EX97" s="105"/>
      <c r="EY97" s="105"/>
      <c r="EZ97" s="105"/>
      <c r="FA97" s="105"/>
      <c r="FB97" s="105"/>
      <c r="FC97" s="105"/>
      <c r="FD97" s="105"/>
      <c r="FE97" s="105"/>
      <c r="FF97" s="105"/>
      <c r="FG97" s="105"/>
      <c r="FH97" s="105"/>
      <c r="FI97" s="105"/>
      <c r="FJ97" s="105"/>
      <c r="FK97" s="105"/>
      <c r="FL97" s="105"/>
      <c r="FM97" s="105"/>
      <c r="FN97" s="105"/>
      <c r="FO97" s="105"/>
    </row>
    <row r="98" spans="1:171" ht="21.75" customHeight="1">
      <c r="A98" s="10"/>
      <c r="B98" s="14"/>
      <c r="C98" s="102" t="s">
        <v>4</v>
      </c>
      <c r="D98" s="103"/>
      <c r="E98" s="103"/>
      <c r="F98" s="103"/>
      <c r="G98" s="103"/>
      <c r="H98" s="103"/>
      <c r="I98" s="103"/>
      <c r="J98" s="103"/>
      <c r="K98" s="103"/>
      <c r="L98" s="103"/>
      <c r="M98" s="103"/>
      <c r="N98" s="103"/>
      <c r="O98" s="103"/>
      <c r="P98" s="102" t="s">
        <v>5</v>
      </c>
      <c r="Q98" s="103"/>
      <c r="R98" s="103"/>
      <c r="S98" s="103"/>
      <c r="T98" s="103"/>
      <c r="U98" s="103"/>
      <c r="V98" s="103"/>
      <c r="W98" s="103"/>
      <c r="X98" s="103"/>
      <c r="Y98" s="103"/>
      <c r="Z98" s="103"/>
      <c r="AA98" s="103"/>
      <c r="AB98" s="103"/>
      <c r="AC98" s="102" t="s">
        <v>6</v>
      </c>
      <c r="AD98" s="103"/>
      <c r="AE98" s="103"/>
      <c r="AF98" s="103"/>
      <c r="AG98" s="103"/>
      <c r="AH98" s="103"/>
      <c r="AI98" s="103"/>
      <c r="AJ98" s="103"/>
      <c r="AK98" s="103"/>
      <c r="AL98" s="103"/>
      <c r="AM98" s="103"/>
      <c r="AN98" s="103"/>
      <c r="AO98" s="103"/>
      <c r="AP98" s="102" t="s">
        <v>7</v>
      </c>
      <c r="AQ98" s="103"/>
      <c r="AR98" s="103"/>
      <c r="AS98" s="103"/>
      <c r="AT98" s="103"/>
      <c r="AU98" s="103"/>
      <c r="AV98" s="103"/>
      <c r="AW98" s="103"/>
      <c r="AX98" s="103"/>
      <c r="AY98" s="103"/>
      <c r="AZ98" s="103"/>
      <c r="BA98" s="103"/>
      <c r="BB98" s="103"/>
      <c r="BC98" s="102" t="s">
        <v>8</v>
      </c>
      <c r="BD98" s="103"/>
      <c r="BE98" s="103"/>
      <c r="BF98" s="103"/>
      <c r="BG98" s="103"/>
      <c r="BH98" s="103"/>
      <c r="BI98" s="103"/>
      <c r="BJ98" s="103"/>
      <c r="BK98" s="103"/>
      <c r="BL98" s="103"/>
      <c r="BM98" s="103"/>
      <c r="BN98" s="103"/>
      <c r="BO98" s="103"/>
      <c r="BP98" s="102" t="s">
        <v>9</v>
      </c>
      <c r="BQ98" s="103"/>
      <c r="BR98" s="103"/>
      <c r="BS98" s="103"/>
      <c r="BT98" s="103"/>
      <c r="BU98" s="103"/>
      <c r="BV98" s="103"/>
      <c r="BW98" s="103"/>
      <c r="BX98" s="103"/>
      <c r="BY98" s="103"/>
      <c r="BZ98" s="103"/>
      <c r="CA98" s="103"/>
      <c r="CB98" s="103"/>
      <c r="CC98" s="102" t="s">
        <v>10</v>
      </c>
      <c r="CD98" s="103"/>
      <c r="CE98" s="103"/>
      <c r="CF98" s="103"/>
      <c r="CG98" s="103"/>
      <c r="CH98" s="103"/>
      <c r="CI98" s="103"/>
      <c r="CJ98" s="103"/>
      <c r="CK98" s="103"/>
      <c r="CL98" s="103"/>
      <c r="CM98" s="103"/>
      <c r="CN98" s="103"/>
      <c r="CO98" s="103"/>
      <c r="CP98" s="102" t="s">
        <v>57</v>
      </c>
      <c r="CQ98" s="103"/>
      <c r="CR98" s="103"/>
      <c r="CS98" s="103"/>
      <c r="CT98" s="103"/>
      <c r="CU98" s="103"/>
      <c r="CV98" s="103"/>
      <c r="CW98" s="103"/>
      <c r="CX98" s="103"/>
      <c r="CY98" s="103"/>
      <c r="CZ98" s="103"/>
      <c r="DA98" s="103"/>
      <c r="DB98" s="103"/>
      <c r="DC98" s="102" t="s">
        <v>58</v>
      </c>
      <c r="DD98" s="103"/>
      <c r="DE98" s="103"/>
      <c r="DF98" s="103"/>
      <c r="DG98" s="103"/>
      <c r="DH98" s="103"/>
      <c r="DI98" s="103"/>
      <c r="DJ98" s="103"/>
      <c r="DK98" s="103"/>
      <c r="DL98" s="103"/>
      <c r="DM98" s="103"/>
      <c r="DN98" s="103"/>
      <c r="DO98" s="103"/>
      <c r="DP98" s="102" t="s">
        <v>13</v>
      </c>
      <c r="DQ98" s="103"/>
      <c r="DR98" s="103"/>
      <c r="DS98" s="103"/>
      <c r="DT98" s="103"/>
      <c r="DU98" s="103"/>
      <c r="DV98" s="103"/>
      <c r="DW98" s="103"/>
      <c r="DX98" s="103"/>
      <c r="DY98" s="103"/>
      <c r="DZ98" s="103"/>
      <c r="EA98" s="103"/>
      <c r="EB98" s="103"/>
      <c r="EC98" s="102" t="s">
        <v>14</v>
      </c>
      <c r="ED98" s="103"/>
      <c r="EE98" s="103"/>
      <c r="EF98" s="103"/>
      <c r="EG98" s="103"/>
      <c r="EH98" s="103"/>
      <c r="EI98" s="103"/>
      <c r="EJ98" s="103"/>
      <c r="EK98" s="103"/>
      <c r="EL98" s="103"/>
      <c r="EM98" s="103"/>
      <c r="EN98" s="103"/>
      <c r="EO98" s="103"/>
      <c r="EP98" s="102" t="s">
        <v>15</v>
      </c>
      <c r="EQ98" s="103"/>
      <c r="ER98" s="103"/>
      <c r="ES98" s="103"/>
      <c r="ET98" s="103"/>
      <c r="EU98" s="103"/>
      <c r="EV98" s="103"/>
      <c r="EW98" s="103"/>
      <c r="EX98" s="103"/>
      <c r="EY98" s="103"/>
      <c r="EZ98" s="103"/>
      <c r="FA98" s="103"/>
      <c r="FB98" s="103"/>
      <c r="FC98" s="102" t="s">
        <v>16</v>
      </c>
      <c r="FD98" s="103"/>
      <c r="FE98" s="103"/>
      <c r="FF98" s="103"/>
      <c r="FG98" s="103"/>
      <c r="FH98" s="103"/>
      <c r="FI98" s="103"/>
      <c r="FJ98" s="103"/>
      <c r="FK98" s="103"/>
      <c r="FL98" s="103"/>
      <c r="FM98" s="103"/>
      <c r="FN98" s="103"/>
      <c r="FO98" s="103"/>
    </row>
    <row r="99" spans="1:171" ht="27.75" customHeight="1">
      <c r="A99" s="10"/>
      <c r="B99" s="15" t="s">
        <v>17</v>
      </c>
      <c r="C99" s="16" t="s">
        <v>18</v>
      </c>
      <c r="D99" s="16" t="s">
        <v>19</v>
      </c>
      <c r="E99" s="16" t="s">
        <v>20</v>
      </c>
      <c r="F99" s="16" t="s">
        <v>21</v>
      </c>
      <c r="G99" s="16" t="s">
        <v>22</v>
      </c>
      <c r="H99" s="16" t="s">
        <v>23</v>
      </c>
      <c r="I99" s="16" t="s">
        <v>24</v>
      </c>
      <c r="J99" s="16" t="s">
        <v>25</v>
      </c>
      <c r="K99" s="16" t="s">
        <v>26</v>
      </c>
      <c r="L99" s="16" t="s">
        <v>27</v>
      </c>
      <c r="M99" s="16" t="s">
        <v>28</v>
      </c>
      <c r="N99" s="16" t="s">
        <v>29</v>
      </c>
      <c r="O99" s="16" t="s">
        <v>30</v>
      </c>
      <c r="P99" s="16" t="s">
        <v>18</v>
      </c>
      <c r="Q99" s="16" t="s">
        <v>19</v>
      </c>
      <c r="R99" s="16" t="s">
        <v>20</v>
      </c>
      <c r="S99" s="16" t="s">
        <v>21</v>
      </c>
      <c r="T99" s="16" t="s">
        <v>22</v>
      </c>
      <c r="U99" s="16" t="s">
        <v>23</v>
      </c>
      <c r="V99" s="16" t="s">
        <v>24</v>
      </c>
      <c r="W99" s="16" t="s">
        <v>25</v>
      </c>
      <c r="X99" s="16" t="s">
        <v>26</v>
      </c>
      <c r="Y99" s="16" t="s">
        <v>27</v>
      </c>
      <c r="Z99" s="16" t="s">
        <v>28</v>
      </c>
      <c r="AA99" s="16" t="s">
        <v>29</v>
      </c>
      <c r="AB99" s="16" t="s">
        <v>31</v>
      </c>
      <c r="AC99" s="16" t="s">
        <v>18</v>
      </c>
      <c r="AD99" s="16" t="s">
        <v>19</v>
      </c>
      <c r="AE99" s="16" t="s">
        <v>20</v>
      </c>
      <c r="AF99" s="16" t="s">
        <v>21</v>
      </c>
      <c r="AG99" s="16" t="s">
        <v>22</v>
      </c>
      <c r="AH99" s="16" t="s">
        <v>23</v>
      </c>
      <c r="AI99" s="16" t="s">
        <v>24</v>
      </c>
      <c r="AJ99" s="16" t="s">
        <v>25</v>
      </c>
      <c r="AK99" s="16" t="s">
        <v>26</v>
      </c>
      <c r="AL99" s="16" t="s">
        <v>27</v>
      </c>
      <c r="AM99" s="16" t="s">
        <v>28</v>
      </c>
      <c r="AN99" s="16" t="s">
        <v>29</v>
      </c>
      <c r="AO99" s="16" t="s">
        <v>32</v>
      </c>
      <c r="AP99" s="16" t="s">
        <v>18</v>
      </c>
      <c r="AQ99" s="16" t="s">
        <v>19</v>
      </c>
      <c r="AR99" s="16" t="s">
        <v>20</v>
      </c>
      <c r="AS99" s="16" t="s">
        <v>21</v>
      </c>
      <c r="AT99" s="16" t="s">
        <v>22</v>
      </c>
      <c r="AU99" s="16" t="s">
        <v>23</v>
      </c>
      <c r="AV99" s="16" t="s">
        <v>24</v>
      </c>
      <c r="AW99" s="16" t="s">
        <v>25</v>
      </c>
      <c r="AX99" s="16" t="s">
        <v>26</v>
      </c>
      <c r="AY99" s="16" t="s">
        <v>27</v>
      </c>
      <c r="AZ99" s="16" t="s">
        <v>28</v>
      </c>
      <c r="BA99" s="16" t="s">
        <v>29</v>
      </c>
      <c r="BB99" s="16" t="s">
        <v>33</v>
      </c>
      <c r="BC99" s="16" t="s">
        <v>18</v>
      </c>
      <c r="BD99" s="16" t="s">
        <v>19</v>
      </c>
      <c r="BE99" s="16" t="s">
        <v>20</v>
      </c>
      <c r="BF99" s="16" t="s">
        <v>21</v>
      </c>
      <c r="BG99" s="16" t="s">
        <v>22</v>
      </c>
      <c r="BH99" s="16" t="s">
        <v>23</v>
      </c>
      <c r="BI99" s="16" t="s">
        <v>24</v>
      </c>
      <c r="BJ99" s="16" t="s">
        <v>25</v>
      </c>
      <c r="BK99" s="16" t="s">
        <v>26</v>
      </c>
      <c r="BL99" s="16" t="s">
        <v>27</v>
      </c>
      <c r="BM99" s="16" t="s">
        <v>28</v>
      </c>
      <c r="BN99" s="16" t="s">
        <v>29</v>
      </c>
      <c r="BO99" s="16" t="s">
        <v>34</v>
      </c>
      <c r="BP99" s="16" t="s">
        <v>18</v>
      </c>
      <c r="BQ99" s="16" t="s">
        <v>19</v>
      </c>
      <c r="BR99" s="16" t="s">
        <v>20</v>
      </c>
      <c r="BS99" s="16" t="s">
        <v>21</v>
      </c>
      <c r="BT99" s="16" t="s">
        <v>22</v>
      </c>
      <c r="BU99" s="16" t="s">
        <v>23</v>
      </c>
      <c r="BV99" s="16" t="s">
        <v>24</v>
      </c>
      <c r="BW99" s="16" t="s">
        <v>25</v>
      </c>
      <c r="BX99" s="16" t="s">
        <v>26</v>
      </c>
      <c r="BY99" s="16" t="s">
        <v>27</v>
      </c>
      <c r="BZ99" s="16" t="s">
        <v>28</v>
      </c>
      <c r="CA99" s="16" t="s">
        <v>29</v>
      </c>
      <c r="CB99" s="16" t="s">
        <v>35</v>
      </c>
      <c r="CC99" s="16" t="s">
        <v>18</v>
      </c>
      <c r="CD99" s="16" t="s">
        <v>19</v>
      </c>
      <c r="CE99" s="16" t="s">
        <v>20</v>
      </c>
      <c r="CF99" s="16" t="s">
        <v>21</v>
      </c>
      <c r="CG99" s="16" t="s">
        <v>22</v>
      </c>
      <c r="CH99" s="16" t="s">
        <v>23</v>
      </c>
      <c r="CI99" s="16" t="s">
        <v>24</v>
      </c>
      <c r="CJ99" s="16" t="s">
        <v>25</v>
      </c>
      <c r="CK99" s="16" t="s">
        <v>26</v>
      </c>
      <c r="CL99" s="16" t="s">
        <v>27</v>
      </c>
      <c r="CM99" s="16" t="s">
        <v>28</v>
      </c>
      <c r="CN99" s="16" t="s">
        <v>29</v>
      </c>
      <c r="CO99" s="16" t="s">
        <v>36</v>
      </c>
      <c r="CP99" s="16" t="s">
        <v>18</v>
      </c>
      <c r="CQ99" s="16" t="s">
        <v>19</v>
      </c>
      <c r="CR99" s="16" t="s">
        <v>20</v>
      </c>
      <c r="CS99" s="16" t="s">
        <v>21</v>
      </c>
      <c r="CT99" s="16" t="s">
        <v>22</v>
      </c>
      <c r="CU99" s="16" t="s">
        <v>23</v>
      </c>
      <c r="CV99" s="16" t="s">
        <v>24</v>
      </c>
      <c r="CW99" s="16" t="s">
        <v>25</v>
      </c>
      <c r="CX99" s="16" t="s">
        <v>26</v>
      </c>
      <c r="CY99" s="16" t="s">
        <v>27</v>
      </c>
      <c r="CZ99" s="16" t="s">
        <v>28</v>
      </c>
      <c r="DA99" s="16" t="s">
        <v>29</v>
      </c>
      <c r="DB99" s="16" t="s">
        <v>37</v>
      </c>
      <c r="DC99" s="16" t="s">
        <v>18</v>
      </c>
      <c r="DD99" s="16" t="s">
        <v>19</v>
      </c>
      <c r="DE99" s="16" t="s">
        <v>20</v>
      </c>
      <c r="DF99" s="16" t="s">
        <v>21</v>
      </c>
      <c r="DG99" s="16" t="s">
        <v>22</v>
      </c>
      <c r="DH99" s="16" t="s">
        <v>23</v>
      </c>
      <c r="DI99" s="16" t="s">
        <v>24</v>
      </c>
      <c r="DJ99" s="16" t="s">
        <v>25</v>
      </c>
      <c r="DK99" s="16" t="s">
        <v>26</v>
      </c>
      <c r="DL99" s="16" t="s">
        <v>27</v>
      </c>
      <c r="DM99" s="16" t="s">
        <v>28</v>
      </c>
      <c r="DN99" s="16" t="s">
        <v>29</v>
      </c>
      <c r="DO99" s="16" t="s">
        <v>38</v>
      </c>
      <c r="DP99" s="16" t="s">
        <v>18</v>
      </c>
      <c r="DQ99" s="16" t="s">
        <v>19</v>
      </c>
      <c r="DR99" s="16" t="s">
        <v>20</v>
      </c>
      <c r="DS99" s="16" t="s">
        <v>21</v>
      </c>
      <c r="DT99" s="16" t="s">
        <v>22</v>
      </c>
      <c r="DU99" s="16" t="s">
        <v>23</v>
      </c>
      <c r="DV99" s="16" t="s">
        <v>24</v>
      </c>
      <c r="DW99" s="16" t="s">
        <v>25</v>
      </c>
      <c r="DX99" s="16" t="s">
        <v>26</v>
      </c>
      <c r="DY99" s="16" t="s">
        <v>27</v>
      </c>
      <c r="DZ99" s="16" t="s">
        <v>28</v>
      </c>
      <c r="EA99" s="16" t="s">
        <v>29</v>
      </c>
      <c r="EB99" s="16" t="s">
        <v>39</v>
      </c>
      <c r="EC99" s="16" t="s">
        <v>18</v>
      </c>
      <c r="ED99" s="16" t="s">
        <v>19</v>
      </c>
      <c r="EE99" s="16" t="s">
        <v>20</v>
      </c>
      <c r="EF99" s="16" t="s">
        <v>21</v>
      </c>
      <c r="EG99" s="16" t="s">
        <v>22</v>
      </c>
      <c r="EH99" s="16" t="s">
        <v>23</v>
      </c>
      <c r="EI99" s="16" t="s">
        <v>24</v>
      </c>
      <c r="EJ99" s="16" t="s">
        <v>25</v>
      </c>
      <c r="EK99" s="16" t="s">
        <v>26</v>
      </c>
      <c r="EL99" s="16" t="s">
        <v>27</v>
      </c>
      <c r="EM99" s="16" t="s">
        <v>28</v>
      </c>
      <c r="EN99" s="16" t="s">
        <v>29</v>
      </c>
      <c r="EO99" s="16" t="s">
        <v>40</v>
      </c>
      <c r="EP99" s="16" t="s">
        <v>18</v>
      </c>
      <c r="EQ99" s="16" t="s">
        <v>19</v>
      </c>
      <c r="ER99" s="16" t="s">
        <v>20</v>
      </c>
      <c r="ES99" s="16" t="s">
        <v>21</v>
      </c>
      <c r="ET99" s="16" t="s">
        <v>22</v>
      </c>
      <c r="EU99" s="16" t="s">
        <v>23</v>
      </c>
      <c r="EV99" s="16" t="s">
        <v>24</v>
      </c>
      <c r="EW99" s="16" t="s">
        <v>25</v>
      </c>
      <c r="EX99" s="16" t="s">
        <v>26</v>
      </c>
      <c r="EY99" s="16" t="s">
        <v>27</v>
      </c>
      <c r="EZ99" s="16" t="s">
        <v>28</v>
      </c>
      <c r="FA99" s="16" t="s">
        <v>29</v>
      </c>
      <c r="FB99" s="16" t="s">
        <v>41</v>
      </c>
      <c r="FC99" s="16" t="s">
        <v>18</v>
      </c>
      <c r="FD99" s="16" t="s">
        <v>19</v>
      </c>
      <c r="FE99" s="16" t="s">
        <v>20</v>
      </c>
      <c r="FF99" s="16" t="s">
        <v>21</v>
      </c>
      <c r="FG99" s="16" t="s">
        <v>22</v>
      </c>
      <c r="FH99" s="16" t="s">
        <v>23</v>
      </c>
      <c r="FI99" s="16" t="s">
        <v>24</v>
      </c>
      <c r="FJ99" s="16" t="s">
        <v>25</v>
      </c>
      <c r="FK99" s="16" t="s">
        <v>26</v>
      </c>
      <c r="FL99" s="16" t="s">
        <v>27</v>
      </c>
      <c r="FM99" s="16" t="s">
        <v>28</v>
      </c>
      <c r="FN99" s="16" t="s">
        <v>29</v>
      </c>
      <c r="FO99" s="16" t="s">
        <v>42</v>
      </c>
    </row>
    <row r="100" spans="1:171" ht="27.75" customHeight="1">
      <c r="A100" s="10"/>
      <c r="B100" s="19" t="s">
        <v>43</v>
      </c>
      <c r="C100" s="20">
        <v>0</v>
      </c>
      <c r="D100" s="20">
        <v>0</v>
      </c>
      <c r="E100" s="20">
        <v>0</v>
      </c>
      <c r="F100" s="20">
        <v>0</v>
      </c>
      <c r="G100" s="20">
        <v>0</v>
      </c>
      <c r="H100" s="20">
        <v>0</v>
      </c>
      <c r="I100" s="20">
        <v>0</v>
      </c>
      <c r="J100" s="20">
        <v>0</v>
      </c>
      <c r="K100" s="20">
        <v>0</v>
      </c>
      <c r="L100" s="20">
        <v>0</v>
      </c>
      <c r="M100" s="20">
        <v>0</v>
      </c>
      <c r="N100" s="20">
        <v>0</v>
      </c>
      <c r="O100" s="20">
        <f t="shared" ref="O100:O105" si="145">N100</f>
        <v>0</v>
      </c>
      <c r="P100" s="20">
        <v>0</v>
      </c>
      <c r="Q100" s="20">
        <v>0</v>
      </c>
      <c r="R100" s="20">
        <v>0</v>
      </c>
      <c r="S100" s="20">
        <v>0</v>
      </c>
      <c r="T100" s="20">
        <v>0</v>
      </c>
      <c r="U100" s="20">
        <v>0</v>
      </c>
      <c r="V100" s="20">
        <v>0</v>
      </c>
      <c r="W100" s="20">
        <v>0</v>
      </c>
      <c r="X100" s="20">
        <v>0</v>
      </c>
      <c r="Y100" s="20">
        <v>0</v>
      </c>
      <c r="Z100" s="20">
        <v>0</v>
      </c>
      <c r="AA100" s="20">
        <v>0</v>
      </c>
      <c r="AB100" s="20">
        <f t="shared" ref="AB100:AB105" si="146">AA100</f>
        <v>0</v>
      </c>
      <c r="AC100" s="20">
        <v>0</v>
      </c>
      <c r="AD100" s="20">
        <v>0</v>
      </c>
      <c r="AE100" s="20">
        <v>0</v>
      </c>
      <c r="AF100" s="20">
        <v>0</v>
      </c>
      <c r="AG100" s="20">
        <v>0</v>
      </c>
      <c r="AH100" s="20">
        <v>0</v>
      </c>
      <c r="AI100" s="20">
        <v>0</v>
      </c>
      <c r="AJ100" s="20">
        <v>0</v>
      </c>
      <c r="AK100" s="20">
        <v>0</v>
      </c>
      <c r="AL100" s="20">
        <v>0</v>
      </c>
      <c r="AM100" s="20">
        <v>0</v>
      </c>
      <c r="AN100" s="20">
        <v>0</v>
      </c>
      <c r="AO100" s="20">
        <f t="shared" ref="AO100:AO105" si="147">AN100</f>
        <v>0</v>
      </c>
      <c r="AP100" s="20">
        <v>0</v>
      </c>
      <c r="AQ100" s="20">
        <v>0</v>
      </c>
      <c r="AR100" s="20">
        <v>0</v>
      </c>
      <c r="AS100" s="20">
        <v>0</v>
      </c>
      <c r="AT100" s="20">
        <v>0</v>
      </c>
      <c r="AU100" s="20">
        <v>0</v>
      </c>
      <c r="AV100" s="20">
        <v>0</v>
      </c>
      <c r="AW100" s="20">
        <v>0</v>
      </c>
      <c r="AX100" s="20">
        <v>0</v>
      </c>
      <c r="AY100" s="20">
        <v>0</v>
      </c>
      <c r="AZ100" s="20">
        <v>0</v>
      </c>
      <c r="BA100" s="20">
        <v>0</v>
      </c>
      <c r="BB100" s="20">
        <f t="shared" ref="BB100:BB105" si="148">BA100</f>
        <v>0</v>
      </c>
      <c r="BC100" s="20">
        <v>0</v>
      </c>
      <c r="BD100" s="20">
        <v>0</v>
      </c>
      <c r="BE100" s="20">
        <v>0</v>
      </c>
      <c r="BF100" s="20">
        <v>0</v>
      </c>
      <c r="BG100" s="20">
        <v>0</v>
      </c>
      <c r="BH100" s="20">
        <v>0</v>
      </c>
      <c r="BI100" s="20">
        <v>0</v>
      </c>
      <c r="BJ100" s="20">
        <v>0</v>
      </c>
      <c r="BK100" s="20">
        <v>0</v>
      </c>
      <c r="BL100" s="20">
        <v>0</v>
      </c>
      <c r="BM100" s="20">
        <v>0</v>
      </c>
      <c r="BN100" s="20">
        <v>0</v>
      </c>
      <c r="BO100" s="20">
        <f t="shared" ref="BO100:BO105" si="149">BN100</f>
        <v>0</v>
      </c>
      <c r="BP100" s="20">
        <v>0</v>
      </c>
      <c r="BQ100" s="20">
        <v>0</v>
      </c>
      <c r="BR100" s="20">
        <v>0</v>
      </c>
      <c r="BS100" s="20">
        <v>0</v>
      </c>
      <c r="BT100" s="20">
        <v>0</v>
      </c>
      <c r="BU100" s="20">
        <v>0</v>
      </c>
      <c r="BV100" s="20">
        <v>0</v>
      </c>
      <c r="BW100" s="20">
        <v>0</v>
      </c>
      <c r="BX100" s="20">
        <v>0</v>
      </c>
      <c r="BY100" s="20">
        <v>0</v>
      </c>
      <c r="BZ100" s="20">
        <v>0</v>
      </c>
      <c r="CA100" s="20">
        <v>0</v>
      </c>
      <c r="CB100" s="20">
        <f t="shared" ref="CB100:CB105" si="150">CA100</f>
        <v>0</v>
      </c>
      <c r="CC100" s="20">
        <v>0</v>
      </c>
      <c r="CD100" s="20">
        <v>0</v>
      </c>
      <c r="CE100" s="20">
        <v>0</v>
      </c>
      <c r="CF100" s="20">
        <v>0</v>
      </c>
      <c r="CG100" s="20">
        <v>0</v>
      </c>
      <c r="CH100" s="20">
        <v>0</v>
      </c>
      <c r="CI100" s="20">
        <v>0</v>
      </c>
      <c r="CJ100" s="20">
        <v>0</v>
      </c>
      <c r="CK100" s="20">
        <v>0</v>
      </c>
      <c r="CL100" s="20">
        <v>0</v>
      </c>
      <c r="CM100" s="20">
        <v>0</v>
      </c>
      <c r="CN100" s="20">
        <v>0</v>
      </c>
      <c r="CO100" s="20">
        <f t="shared" ref="CO100:CO105" si="151">CN100</f>
        <v>0</v>
      </c>
      <c r="CP100" s="20">
        <v>0</v>
      </c>
      <c r="CQ100" s="20">
        <v>0</v>
      </c>
      <c r="CR100" s="20">
        <v>0</v>
      </c>
      <c r="CS100" s="20">
        <v>0</v>
      </c>
      <c r="CT100" s="20">
        <v>0</v>
      </c>
      <c r="CU100" s="20">
        <v>0</v>
      </c>
      <c r="CV100" s="20">
        <v>0</v>
      </c>
      <c r="CW100" s="20">
        <v>0</v>
      </c>
      <c r="CX100" s="20">
        <v>0</v>
      </c>
      <c r="CY100" s="20">
        <v>0</v>
      </c>
      <c r="CZ100" s="20">
        <v>0</v>
      </c>
      <c r="DA100" s="20">
        <v>0</v>
      </c>
      <c r="DB100" s="20">
        <f t="shared" ref="DB100:DB105" si="152">DA100</f>
        <v>0</v>
      </c>
      <c r="DC100" s="20">
        <v>0</v>
      </c>
      <c r="DD100" s="20">
        <v>0</v>
      </c>
      <c r="DE100" s="20">
        <v>0</v>
      </c>
      <c r="DF100" s="20">
        <v>0</v>
      </c>
      <c r="DG100" s="20">
        <v>0</v>
      </c>
      <c r="DH100" s="20">
        <v>0</v>
      </c>
      <c r="DI100" s="20">
        <v>0</v>
      </c>
      <c r="DJ100" s="20">
        <v>0</v>
      </c>
      <c r="DK100" s="20">
        <v>0</v>
      </c>
      <c r="DL100" s="20">
        <v>0</v>
      </c>
      <c r="DM100" s="20">
        <v>0</v>
      </c>
      <c r="DN100" s="20">
        <v>0</v>
      </c>
      <c r="DO100" s="20">
        <f t="shared" ref="DO100:DO105" si="153">DN100</f>
        <v>0</v>
      </c>
      <c r="DP100" s="20">
        <v>0</v>
      </c>
      <c r="DQ100" s="20">
        <v>0</v>
      </c>
      <c r="DR100" s="20">
        <v>0</v>
      </c>
      <c r="DS100" s="20">
        <v>0</v>
      </c>
      <c r="DT100" s="20">
        <v>0</v>
      </c>
      <c r="DU100" s="20">
        <v>0</v>
      </c>
      <c r="DV100" s="20">
        <v>0</v>
      </c>
      <c r="DW100" s="20">
        <v>0</v>
      </c>
      <c r="DX100" s="20">
        <v>0</v>
      </c>
      <c r="DY100" s="20">
        <v>0</v>
      </c>
      <c r="DZ100" s="20">
        <v>0</v>
      </c>
      <c r="EA100" s="20">
        <v>0</v>
      </c>
      <c r="EB100" s="20">
        <f t="shared" ref="EB100:EB105" si="154">EA100</f>
        <v>0</v>
      </c>
      <c r="EC100" s="20">
        <v>0</v>
      </c>
      <c r="ED100" s="20">
        <v>0</v>
      </c>
      <c r="EE100" s="20">
        <v>0</v>
      </c>
      <c r="EF100" s="20">
        <v>0</v>
      </c>
      <c r="EG100" s="20">
        <v>0</v>
      </c>
      <c r="EH100" s="20">
        <v>0</v>
      </c>
      <c r="EI100" s="20">
        <v>0</v>
      </c>
      <c r="EJ100" s="20">
        <v>0</v>
      </c>
      <c r="EK100" s="20">
        <v>0</v>
      </c>
      <c r="EL100" s="20">
        <v>0</v>
      </c>
      <c r="EM100" s="20">
        <v>0</v>
      </c>
      <c r="EN100" s="20">
        <v>0</v>
      </c>
      <c r="EO100" s="20">
        <f t="shared" ref="EO100:EO105" si="155">EN100</f>
        <v>0</v>
      </c>
      <c r="EP100" s="20">
        <v>0</v>
      </c>
      <c r="EQ100" s="20">
        <v>0</v>
      </c>
      <c r="ER100" s="20">
        <v>0</v>
      </c>
      <c r="ES100" s="20">
        <v>0</v>
      </c>
      <c r="ET100" s="20">
        <v>0</v>
      </c>
      <c r="EU100" s="20">
        <v>0</v>
      </c>
      <c r="EV100" s="20">
        <v>0</v>
      </c>
      <c r="EW100" s="20">
        <v>0</v>
      </c>
      <c r="EX100" s="20">
        <v>0</v>
      </c>
      <c r="EY100" s="20">
        <v>0</v>
      </c>
      <c r="EZ100" s="20">
        <v>0</v>
      </c>
      <c r="FA100" s="20">
        <v>0</v>
      </c>
      <c r="FB100" s="20">
        <f t="shared" ref="FB100:FB105" si="156">FA100</f>
        <v>0</v>
      </c>
      <c r="FC100" s="20">
        <v>0</v>
      </c>
      <c r="FD100" s="20">
        <v>0</v>
      </c>
      <c r="FE100" s="20">
        <v>0</v>
      </c>
      <c r="FF100" s="20">
        <v>0</v>
      </c>
      <c r="FG100" s="20">
        <v>0</v>
      </c>
      <c r="FH100" s="20">
        <v>0</v>
      </c>
      <c r="FI100" s="20">
        <v>0</v>
      </c>
      <c r="FJ100" s="10"/>
      <c r="FK100" s="10"/>
      <c r="FL100" s="10"/>
      <c r="FM100" s="10"/>
      <c r="FN100" s="10"/>
      <c r="FO100" s="20">
        <f t="shared" ref="FO100:FO105" si="157">FI100</f>
        <v>0</v>
      </c>
    </row>
    <row r="101" spans="1:171" ht="27.75" customHeight="1">
      <c r="A101" s="10"/>
      <c r="B101" s="19" t="s">
        <v>44</v>
      </c>
      <c r="C101" s="20">
        <v>0</v>
      </c>
      <c r="D101" s="20">
        <v>0</v>
      </c>
      <c r="E101" s="20">
        <v>0</v>
      </c>
      <c r="F101" s="20">
        <v>0</v>
      </c>
      <c r="G101" s="20">
        <v>0</v>
      </c>
      <c r="H101" s="20">
        <v>0</v>
      </c>
      <c r="I101" s="20">
        <v>0</v>
      </c>
      <c r="J101" s="20">
        <v>0</v>
      </c>
      <c r="K101" s="20">
        <v>0</v>
      </c>
      <c r="L101" s="20">
        <v>0</v>
      </c>
      <c r="M101" s="20">
        <v>0</v>
      </c>
      <c r="N101" s="20">
        <v>0</v>
      </c>
      <c r="O101" s="20">
        <f t="shared" si="145"/>
        <v>0</v>
      </c>
      <c r="P101" s="20">
        <v>0</v>
      </c>
      <c r="Q101" s="20">
        <v>0</v>
      </c>
      <c r="R101" s="20">
        <v>0</v>
      </c>
      <c r="S101" s="20">
        <v>0</v>
      </c>
      <c r="T101" s="20">
        <v>0</v>
      </c>
      <c r="U101" s="20">
        <v>0</v>
      </c>
      <c r="V101" s="20">
        <v>0</v>
      </c>
      <c r="W101" s="20">
        <v>0</v>
      </c>
      <c r="X101" s="20">
        <v>0</v>
      </c>
      <c r="Y101" s="20">
        <v>0</v>
      </c>
      <c r="Z101" s="20">
        <v>0</v>
      </c>
      <c r="AA101" s="20">
        <v>0</v>
      </c>
      <c r="AB101" s="20">
        <f t="shared" si="146"/>
        <v>0</v>
      </c>
      <c r="AC101" s="20">
        <v>0</v>
      </c>
      <c r="AD101" s="20">
        <v>0</v>
      </c>
      <c r="AE101" s="20">
        <v>0</v>
      </c>
      <c r="AF101" s="20">
        <v>0</v>
      </c>
      <c r="AG101" s="20">
        <v>0</v>
      </c>
      <c r="AH101" s="20">
        <v>0</v>
      </c>
      <c r="AI101" s="20">
        <v>0</v>
      </c>
      <c r="AJ101" s="20">
        <v>0</v>
      </c>
      <c r="AK101" s="20">
        <v>0</v>
      </c>
      <c r="AL101" s="20">
        <v>0</v>
      </c>
      <c r="AM101" s="20">
        <v>0</v>
      </c>
      <c r="AN101" s="20">
        <v>0</v>
      </c>
      <c r="AO101" s="20">
        <f t="shared" si="147"/>
        <v>0</v>
      </c>
      <c r="AP101" s="20">
        <v>0</v>
      </c>
      <c r="AQ101" s="20">
        <v>0</v>
      </c>
      <c r="AR101" s="20">
        <v>0</v>
      </c>
      <c r="AS101" s="20">
        <v>0</v>
      </c>
      <c r="AT101" s="20">
        <v>0</v>
      </c>
      <c r="AU101" s="20">
        <v>0</v>
      </c>
      <c r="AV101" s="20">
        <v>0</v>
      </c>
      <c r="AW101" s="20">
        <v>0</v>
      </c>
      <c r="AX101" s="20">
        <v>0</v>
      </c>
      <c r="AY101" s="20">
        <v>0</v>
      </c>
      <c r="AZ101" s="20">
        <v>0</v>
      </c>
      <c r="BA101" s="20">
        <v>0</v>
      </c>
      <c r="BB101" s="20">
        <f t="shared" si="148"/>
        <v>0</v>
      </c>
      <c r="BC101" s="20">
        <v>0</v>
      </c>
      <c r="BD101" s="20">
        <v>0</v>
      </c>
      <c r="BE101" s="20">
        <v>0</v>
      </c>
      <c r="BF101" s="20">
        <v>0</v>
      </c>
      <c r="BG101" s="20">
        <v>0</v>
      </c>
      <c r="BH101" s="20">
        <v>0</v>
      </c>
      <c r="BI101" s="20">
        <v>0</v>
      </c>
      <c r="BJ101" s="20">
        <v>0</v>
      </c>
      <c r="BK101" s="20">
        <v>0</v>
      </c>
      <c r="BL101" s="20">
        <v>0</v>
      </c>
      <c r="BM101" s="20">
        <v>0</v>
      </c>
      <c r="BN101" s="20">
        <v>0</v>
      </c>
      <c r="BO101" s="20">
        <f t="shared" si="149"/>
        <v>0</v>
      </c>
      <c r="BP101" s="20">
        <v>0</v>
      </c>
      <c r="BQ101" s="20">
        <v>0</v>
      </c>
      <c r="BR101" s="20">
        <v>0</v>
      </c>
      <c r="BS101" s="20">
        <v>0</v>
      </c>
      <c r="BT101" s="20">
        <v>0</v>
      </c>
      <c r="BU101" s="20">
        <v>0</v>
      </c>
      <c r="BV101" s="20">
        <v>0</v>
      </c>
      <c r="BW101" s="20">
        <v>0</v>
      </c>
      <c r="BX101" s="20">
        <v>0</v>
      </c>
      <c r="BY101" s="20">
        <v>0</v>
      </c>
      <c r="BZ101" s="20">
        <v>0</v>
      </c>
      <c r="CA101" s="20">
        <v>0</v>
      </c>
      <c r="CB101" s="20">
        <f t="shared" si="150"/>
        <v>0</v>
      </c>
      <c r="CC101" s="20">
        <v>0</v>
      </c>
      <c r="CD101" s="20">
        <v>0</v>
      </c>
      <c r="CE101" s="20">
        <v>0</v>
      </c>
      <c r="CF101" s="20">
        <v>0</v>
      </c>
      <c r="CG101" s="20">
        <v>0</v>
      </c>
      <c r="CH101" s="20">
        <v>0</v>
      </c>
      <c r="CI101" s="20">
        <v>0</v>
      </c>
      <c r="CJ101" s="20">
        <v>0</v>
      </c>
      <c r="CK101" s="20">
        <v>0</v>
      </c>
      <c r="CL101" s="20">
        <v>0</v>
      </c>
      <c r="CM101" s="20">
        <v>0</v>
      </c>
      <c r="CN101" s="20">
        <v>0</v>
      </c>
      <c r="CO101" s="20">
        <f t="shared" si="151"/>
        <v>0</v>
      </c>
      <c r="CP101" s="20">
        <v>0</v>
      </c>
      <c r="CQ101" s="20">
        <v>0</v>
      </c>
      <c r="CR101" s="20">
        <v>0</v>
      </c>
      <c r="CS101" s="20">
        <v>0</v>
      </c>
      <c r="CT101" s="20">
        <v>0</v>
      </c>
      <c r="CU101" s="20">
        <v>0</v>
      </c>
      <c r="CV101" s="20">
        <v>0</v>
      </c>
      <c r="CW101" s="20">
        <v>0</v>
      </c>
      <c r="CX101" s="20">
        <v>0</v>
      </c>
      <c r="CY101" s="20">
        <v>0</v>
      </c>
      <c r="CZ101" s="20">
        <v>0</v>
      </c>
      <c r="DA101" s="20">
        <v>0</v>
      </c>
      <c r="DB101" s="20">
        <f t="shared" si="152"/>
        <v>0</v>
      </c>
      <c r="DC101" s="20">
        <v>0</v>
      </c>
      <c r="DD101" s="20">
        <v>0</v>
      </c>
      <c r="DE101" s="20">
        <v>0</v>
      </c>
      <c r="DF101" s="20">
        <v>0</v>
      </c>
      <c r="DG101" s="20">
        <v>0</v>
      </c>
      <c r="DH101" s="20">
        <v>0</v>
      </c>
      <c r="DI101" s="20">
        <v>0</v>
      </c>
      <c r="DJ101" s="20">
        <v>0</v>
      </c>
      <c r="DK101" s="20">
        <v>0</v>
      </c>
      <c r="DL101" s="20">
        <v>0</v>
      </c>
      <c r="DM101" s="20">
        <v>0</v>
      </c>
      <c r="DN101" s="20">
        <v>0</v>
      </c>
      <c r="DO101" s="20">
        <f t="shared" si="153"/>
        <v>0</v>
      </c>
      <c r="DP101" s="20">
        <v>0</v>
      </c>
      <c r="DQ101" s="20">
        <v>0</v>
      </c>
      <c r="DR101" s="20">
        <v>0</v>
      </c>
      <c r="DS101" s="20">
        <v>0</v>
      </c>
      <c r="DT101" s="20">
        <v>0</v>
      </c>
      <c r="DU101" s="20">
        <v>0</v>
      </c>
      <c r="DV101" s="20">
        <v>0</v>
      </c>
      <c r="DW101" s="20">
        <v>0</v>
      </c>
      <c r="DX101" s="20">
        <v>0</v>
      </c>
      <c r="DY101" s="20">
        <v>0</v>
      </c>
      <c r="DZ101" s="20">
        <v>0</v>
      </c>
      <c r="EA101" s="20">
        <v>0</v>
      </c>
      <c r="EB101" s="20">
        <f t="shared" si="154"/>
        <v>0</v>
      </c>
      <c r="EC101" s="20">
        <v>0</v>
      </c>
      <c r="ED101" s="20">
        <v>0</v>
      </c>
      <c r="EE101" s="20">
        <v>0</v>
      </c>
      <c r="EF101" s="20">
        <v>0</v>
      </c>
      <c r="EG101" s="20">
        <v>0</v>
      </c>
      <c r="EH101" s="20">
        <v>0</v>
      </c>
      <c r="EI101" s="20">
        <v>0</v>
      </c>
      <c r="EJ101" s="20">
        <v>0</v>
      </c>
      <c r="EK101" s="20">
        <v>0</v>
      </c>
      <c r="EL101" s="20">
        <v>0</v>
      </c>
      <c r="EM101" s="20">
        <v>0</v>
      </c>
      <c r="EN101" s="20">
        <v>0</v>
      </c>
      <c r="EO101" s="20">
        <f t="shared" si="155"/>
        <v>0</v>
      </c>
      <c r="EP101" s="20">
        <v>0</v>
      </c>
      <c r="EQ101" s="20">
        <v>0</v>
      </c>
      <c r="ER101" s="20">
        <v>0</v>
      </c>
      <c r="ES101" s="20">
        <v>0</v>
      </c>
      <c r="ET101" s="20">
        <v>0</v>
      </c>
      <c r="EU101" s="20">
        <v>0</v>
      </c>
      <c r="EV101" s="20">
        <v>0</v>
      </c>
      <c r="EW101" s="20">
        <v>0</v>
      </c>
      <c r="EX101" s="20">
        <v>0</v>
      </c>
      <c r="EY101" s="20">
        <v>0</v>
      </c>
      <c r="EZ101" s="20">
        <v>0</v>
      </c>
      <c r="FA101" s="20">
        <v>0</v>
      </c>
      <c r="FB101" s="20">
        <f t="shared" si="156"/>
        <v>0</v>
      </c>
      <c r="FC101" s="20">
        <v>0</v>
      </c>
      <c r="FD101" s="20">
        <v>0</v>
      </c>
      <c r="FE101" s="20">
        <v>0</v>
      </c>
      <c r="FF101" s="20">
        <v>0</v>
      </c>
      <c r="FG101" s="20">
        <v>0</v>
      </c>
      <c r="FH101" s="20">
        <v>0</v>
      </c>
      <c r="FI101" s="20">
        <v>0</v>
      </c>
      <c r="FJ101" s="10"/>
      <c r="FK101" s="10"/>
      <c r="FL101" s="10"/>
      <c r="FM101" s="10"/>
      <c r="FN101" s="10"/>
      <c r="FO101" s="20">
        <f t="shared" si="157"/>
        <v>0</v>
      </c>
    </row>
    <row r="102" spans="1:171" ht="27.75" customHeight="1">
      <c r="A102" s="10"/>
      <c r="B102" s="19" t="s">
        <v>45</v>
      </c>
      <c r="C102" s="20">
        <v>0</v>
      </c>
      <c r="D102" s="20">
        <v>0</v>
      </c>
      <c r="E102" s="20">
        <v>0</v>
      </c>
      <c r="F102" s="20">
        <v>0</v>
      </c>
      <c r="G102" s="20">
        <v>0</v>
      </c>
      <c r="H102" s="20">
        <v>0</v>
      </c>
      <c r="I102" s="20">
        <v>0</v>
      </c>
      <c r="J102" s="20">
        <v>0</v>
      </c>
      <c r="K102" s="20">
        <v>0</v>
      </c>
      <c r="L102" s="20">
        <v>0</v>
      </c>
      <c r="M102" s="20">
        <v>0</v>
      </c>
      <c r="N102" s="20">
        <v>0</v>
      </c>
      <c r="O102" s="20">
        <f t="shared" si="145"/>
        <v>0</v>
      </c>
      <c r="P102" s="20">
        <v>0</v>
      </c>
      <c r="Q102" s="20">
        <v>0</v>
      </c>
      <c r="R102" s="20">
        <v>0</v>
      </c>
      <c r="S102" s="20">
        <v>0</v>
      </c>
      <c r="T102" s="20">
        <v>0</v>
      </c>
      <c r="U102" s="20">
        <v>0</v>
      </c>
      <c r="V102" s="20">
        <v>0</v>
      </c>
      <c r="W102" s="20">
        <v>0</v>
      </c>
      <c r="X102" s="20">
        <v>0</v>
      </c>
      <c r="Y102" s="20">
        <v>0</v>
      </c>
      <c r="Z102" s="20">
        <v>0</v>
      </c>
      <c r="AA102" s="20">
        <v>0</v>
      </c>
      <c r="AB102" s="20">
        <f t="shared" si="146"/>
        <v>0</v>
      </c>
      <c r="AC102" s="20">
        <v>0</v>
      </c>
      <c r="AD102" s="20">
        <v>0</v>
      </c>
      <c r="AE102" s="20">
        <v>0</v>
      </c>
      <c r="AF102" s="20">
        <v>0</v>
      </c>
      <c r="AG102" s="20">
        <v>0</v>
      </c>
      <c r="AH102" s="20">
        <v>0</v>
      </c>
      <c r="AI102" s="20">
        <v>0</v>
      </c>
      <c r="AJ102" s="20">
        <v>0</v>
      </c>
      <c r="AK102" s="20">
        <v>0</v>
      </c>
      <c r="AL102" s="20">
        <v>0</v>
      </c>
      <c r="AM102" s="20">
        <v>0</v>
      </c>
      <c r="AN102" s="20">
        <v>0</v>
      </c>
      <c r="AO102" s="20">
        <f t="shared" si="147"/>
        <v>0</v>
      </c>
      <c r="AP102" s="20">
        <v>0</v>
      </c>
      <c r="AQ102" s="20">
        <v>0</v>
      </c>
      <c r="AR102" s="20">
        <v>0</v>
      </c>
      <c r="AS102" s="20">
        <v>0</v>
      </c>
      <c r="AT102" s="20">
        <v>0</v>
      </c>
      <c r="AU102" s="20">
        <v>0</v>
      </c>
      <c r="AV102" s="20">
        <v>0</v>
      </c>
      <c r="AW102" s="20">
        <v>0</v>
      </c>
      <c r="AX102" s="20">
        <v>0</v>
      </c>
      <c r="AY102" s="20">
        <v>0</v>
      </c>
      <c r="AZ102" s="20">
        <v>0</v>
      </c>
      <c r="BA102" s="20">
        <v>0</v>
      </c>
      <c r="BB102" s="20">
        <f t="shared" si="148"/>
        <v>0</v>
      </c>
      <c r="BC102" s="20">
        <v>0</v>
      </c>
      <c r="BD102" s="20">
        <v>0</v>
      </c>
      <c r="BE102" s="20">
        <v>0</v>
      </c>
      <c r="BF102" s="20">
        <v>0</v>
      </c>
      <c r="BG102" s="20">
        <v>0</v>
      </c>
      <c r="BH102" s="20">
        <v>0</v>
      </c>
      <c r="BI102" s="20">
        <v>0</v>
      </c>
      <c r="BJ102" s="20">
        <v>0</v>
      </c>
      <c r="BK102" s="20">
        <v>0</v>
      </c>
      <c r="BL102" s="20">
        <v>0</v>
      </c>
      <c r="BM102" s="20">
        <v>0</v>
      </c>
      <c r="BN102" s="20">
        <v>0</v>
      </c>
      <c r="BO102" s="20">
        <f t="shared" si="149"/>
        <v>0</v>
      </c>
      <c r="BP102" s="20">
        <v>0</v>
      </c>
      <c r="BQ102" s="20">
        <v>0</v>
      </c>
      <c r="BR102" s="20">
        <v>0</v>
      </c>
      <c r="BS102" s="20">
        <v>0</v>
      </c>
      <c r="BT102" s="20">
        <v>0</v>
      </c>
      <c r="BU102" s="20">
        <v>0</v>
      </c>
      <c r="BV102" s="20">
        <v>0</v>
      </c>
      <c r="BW102" s="20">
        <v>0</v>
      </c>
      <c r="BX102" s="20">
        <v>0</v>
      </c>
      <c r="BY102" s="20">
        <v>0</v>
      </c>
      <c r="BZ102" s="20">
        <v>0</v>
      </c>
      <c r="CA102" s="20">
        <v>0</v>
      </c>
      <c r="CB102" s="20">
        <f t="shared" si="150"/>
        <v>0</v>
      </c>
      <c r="CC102" s="20">
        <v>0</v>
      </c>
      <c r="CD102" s="20">
        <v>0</v>
      </c>
      <c r="CE102" s="20">
        <v>0</v>
      </c>
      <c r="CF102" s="20">
        <v>0</v>
      </c>
      <c r="CG102" s="20">
        <v>0</v>
      </c>
      <c r="CH102" s="20">
        <v>0</v>
      </c>
      <c r="CI102" s="20">
        <v>0</v>
      </c>
      <c r="CJ102" s="20">
        <v>0</v>
      </c>
      <c r="CK102" s="20">
        <v>0</v>
      </c>
      <c r="CL102" s="20">
        <v>0</v>
      </c>
      <c r="CM102" s="20">
        <v>0</v>
      </c>
      <c r="CN102" s="20">
        <v>0</v>
      </c>
      <c r="CO102" s="20">
        <f t="shared" si="151"/>
        <v>0</v>
      </c>
      <c r="CP102" s="20">
        <v>0</v>
      </c>
      <c r="CQ102" s="20">
        <v>0</v>
      </c>
      <c r="CR102" s="20">
        <v>0</v>
      </c>
      <c r="CS102" s="20">
        <v>0</v>
      </c>
      <c r="CT102" s="20">
        <v>0</v>
      </c>
      <c r="CU102" s="20">
        <v>0</v>
      </c>
      <c r="CV102" s="20">
        <v>0</v>
      </c>
      <c r="CW102" s="20">
        <v>0</v>
      </c>
      <c r="CX102" s="20">
        <v>0</v>
      </c>
      <c r="CY102" s="20">
        <v>0</v>
      </c>
      <c r="CZ102" s="20">
        <v>0</v>
      </c>
      <c r="DA102" s="20">
        <v>0</v>
      </c>
      <c r="DB102" s="20">
        <f t="shared" si="152"/>
        <v>0</v>
      </c>
      <c r="DC102" s="20">
        <v>0</v>
      </c>
      <c r="DD102" s="20">
        <v>0</v>
      </c>
      <c r="DE102" s="20">
        <v>0</v>
      </c>
      <c r="DF102" s="20">
        <v>0</v>
      </c>
      <c r="DG102" s="20">
        <v>0</v>
      </c>
      <c r="DH102" s="20">
        <v>0</v>
      </c>
      <c r="DI102" s="20">
        <v>0</v>
      </c>
      <c r="DJ102" s="20">
        <v>0</v>
      </c>
      <c r="DK102" s="20">
        <v>0</v>
      </c>
      <c r="DL102" s="20">
        <v>0</v>
      </c>
      <c r="DM102" s="20">
        <v>0</v>
      </c>
      <c r="DN102" s="20">
        <v>0</v>
      </c>
      <c r="DO102" s="20">
        <f t="shared" si="153"/>
        <v>0</v>
      </c>
      <c r="DP102" s="20">
        <v>17877772</v>
      </c>
      <c r="DQ102" s="20">
        <v>17877772</v>
      </c>
      <c r="DR102" s="20">
        <v>17877772</v>
      </c>
      <c r="DS102" s="20">
        <v>17877772</v>
      </c>
      <c r="DT102" s="20">
        <v>17877772</v>
      </c>
      <c r="DU102" s="20">
        <v>17877772</v>
      </c>
      <c r="DV102" s="20">
        <v>17877772</v>
      </c>
      <c r="DW102" s="20">
        <v>17772523</v>
      </c>
      <c r="DX102" s="20">
        <v>17772523</v>
      </c>
      <c r="DY102" s="20">
        <v>17772523</v>
      </c>
      <c r="DZ102" s="20">
        <v>10123523</v>
      </c>
      <c r="EA102" s="20">
        <v>10123523</v>
      </c>
      <c r="EB102" s="20">
        <f t="shared" si="154"/>
        <v>10123523</v>
      </c>
      <c r="EC102" s="20">
        <v>0</v>
      </c>
      <c r="ED102" s="20">
        <v>0</v>
      </c>
      <c r="EE102" s="20">
        <v>0</v>
      </c>
      <c r="EF102" s="20">
        <v>0</v>
      </c>
      <c r="EG102" s="20">
        <v>0</v>
      </c>
      <c r="EH102" s="20">
        <v>0</v>
      </c>
      <c r="EI102" s="20">
        <v>0</v>
      </c>
      <c r="EJ102" s="20">
        <v>0</v>
      </c>
      <c r="EK102" s="20">
        <v>0</v>
      </c>
      <c r="EL102" s="20">
        <v>0</v>
      </c>
      <c r="EM102" s="20">
        <v>0</v>
      </c>
      <c r="EN102" s="20">
        <v>0</v>
      </c>
      <c r="EO102" s="20">
        <f t="shared" si="155"/>
        <v>0</v>
      </c>
      <c r="EP102" s="20">
        <v>0</v>
      </c>
      <c r="EQ102" s="20">
        <v>0</v>
      </c>
      <c r="ER102" s="20">
        <v>0</v>
      </c>
      <c r="ES102" s="20">
        <v>0</v>
      </c>
      <c r="ET102" s="20">
        <v>0</v>
      </c>
      <c r="EU102" s="20">
        <v>0</v>
      </c>
      <c r="EV102" s="20">
        <v>0</v>
      </c>
      <c r="EW102" s="20">
        <v>0</v>
      </c>
      <c r="EX102" s="20">
        <v>0</v>
      </c>
      <c r="EY102" s="20">
        <v>0</v>
      </c>
      <c r="EZ102" s="20">
        <v>0</v>
      </c>
      <c r="FA102" s="20">
        <v>0</v>
      </c>
      <c r="FB102" s="20">
        <f t="shared" si="156"/>
        <v>0</v>
      </c>
      <c r="FC102" s="20">
        <v>0</v>
      </c>
      <c r="FD102" s="20">
        <v>0</v>
      </c>
      <c r="FE102" s="20">
        <v>0</v>
      </c>
      <c r="FF102" s="20">
        <v>0</v>
      </c>
      <c r="FG102" s="20">
        <v>0</v>
      </c>
      <c r="FH102" s="20">
        <v>0</v>
      </c>
      <c r="FI102" s="20">
        <v>0</v>
      </c>
      <c r="FJ102" s="10"/>
      <c r="FK102" s="10"/>
      <c r="FL102" s="10"/>
      <c r="FM102" s="10"/>
      <c r="FN102" s="10"/>
      <c r="FO102" s="20">
        <f t="shared" si="157"/>
        <v>0</v>
      </c>
    </row>
    <row r="103" spans="1:171" ht="27.75" customHeight="1">
      <c r="A103" s="10"/>
      <c r="B103" s="19" t="s">
        <v>46</v>
      </c>
      <c r="C103" s="20">
        <v>0</v>
      </c>
      <c r="D103" s="20">
        <v>0</v>
      </c>
      <c r="E103" s="20">
        <v>0</v>
      </c>
      <c r="F103" s="20">
        <v>0</v>
      </c>
      <c r="G103" s="20">
        <v>0</v>
      </c>
      <c r="H103" s="20">
        <v>0</v>
      </c>
      <c r="I103" s="20">
        <v>0</v>
      </c>
      <c r="J103" s="20">
        <v>0</v>
      </c>
      <c r="K103" s="20">
        <v>0</v>
      </c>
      <c r="L103" s="20">
        <v>0</v>
      </c>
      <c r="M103" s="20">
        <v>0</v>
      </c>
      <c r="N103" s="20">
        <v>0</v>
      </c>
      <c r="O103" s="20">
        <f t="shared" si="145"/>
        <v>0</v>
      </c>
      <c r="P103" s="20">
        <v>0</v>
      </c>
      <c r="Q103" s="20">
        <v>0</v>
      </c>
      <c r="R103" s="20">
        <v>0</v>
      </c>
      <c r="S103" s="20">
        <v>0</v>
      </c>
      <c r="T103" s="20">
        <v>0</v>
      </c>
      <c r="U103" s="20">
        <v>0</v>
      </c>
      <c r="V103" s="20">
        <v>0</v>
      </c>
      <c r="W103" s="20">
        <v>0</v>
      </c>
      <c r="X103" s="20">
        <v>0</v>
      </c>
      <c r="Y103" s="20">
        <v>0</v>
      </c>
      <c r="Z103" s="20">
        <v>0</v>
      </c>
      <c r="AA103" s="20">
        <v>0</v>
      </c>
      <c r="AB103" s="20">
        <f t="shared" si="146"/>
        <v>0</v>
      </c>
      <c r="AC103" s="20">
        <v>0</v>
      </c>
      <c r="AD103" s="20">
        <v>0</v>
      </c>
      <c r="AE103" s="20">
        <v>0</v>
      </c>
      <c r="AF103" s="20">
        <v>0</v>
      </c>
      <c r="AG103" s="20">
        <v>0</v>
      </c>
      <c r="AH103" s="20">
        <v>0</v>
      </c>
      <c r="AI103" s="20">
        <v>0</v>
      </c>
      <c r="AJ103" s="20">
        <v>0</v>
      </c>
      <c r="AK103" s="20">
        <v>0</v>
      </c>
      <c r="AL103" s="20">
        <v>0</v>
      </c>
      <c r="AM103" s="20">
        <v>0</v>
      </c>
      <c r="AN103" s="20">
        <v>0</v>
      </c>
      <c r="AO103" s="20">
        <f t="shared" si="147"/>
        <v>0</v>
      </c>
      <c r="AP103" s="20">
        <v>0</v>
      </c>
      <c r="AQ103" s="20">
        <v>0</v>
      </c>
      <c r="AR103" s="20">
        <v>0</v>
      </c>
      <c r="AS103" s="20">
        <v>0</v>
      </c>
      <c r="AT103" s="20">
        <v>0</v>
      </c>
      <c r="AU103" s="20">
        <v>0</v>
      </c>
      <c r="AV103" s="20">
        <v>0</v>
      </c>
      <c r="AW103" s="20">
        <v>0</v>
      </c>
      <c r="AX103" s="20">
        <v>0</v>
      </c>
      <c r="AY103" s="20">
        <v>0</v>
      </c>
      <c r="AZ103" s="20">
        <v>0</v>
      </c>
      <c r="BA103" s="20">
        <v>0</v>
      </c>
      <c r="BB103" s="20">
        <f t="shared" si="148"/>
        <v>0</v>
      </c>
      <c r="BC103" s="20">
        <v>0</v>
      </c>
      <c r="BD103" s="20">
        <v>0</v>
      </c>
      <c r="BE103" s="20">
        <v>0</v>
      </c>
      <c r="BF103" s="20">
        <v>0</v>
      </c>
      <c r="BG103" s="20">
        <v>0</v>
      </c>
      <c r="BH103" s="20">
        <v>0</v>
      </c>
      <c r="BI103" s="20">
        <v>0</v>
      </c>
      <c r="BJ103" s="20">
        <v>0</v>
      </c>
      <c r="BK103" s="20">
        <v>0</v>
      </c>
      <c r="BL103" s="20">
        <v>0</v>
      </c>
      <c r="BM103" s="20">
        <v>0</v>
      </c>
      <c r="BN103" s="20">
        <v>0</v>
      </c>
      <c r="BO103" s="20">
        <f t="shared" si="149"/>
        <v>0</v>
      </c>
      <c r="BP103" s="20">
        <v>0</v>
      </c>
      <c r="BQ103" s="20">
        <v>0</v>
      </c>
      <c r="BR103" s="20">
        <v>0</v>
      </c>
      <c r="BS103" s="20">
        <v>0</v>
      </c>
      <c r="BT103" s="20">
        <v>0</v>
      </c>
      <c r="BU103" s="20">
        <v>0</v>
      </c>
      <c r="BV103" s="20">
        <v>0</v>
      </c>
      <c r="BW103" s="20">
        <v>0</v>
      </c>
      <c r="BX103" s="20">
        <v>0</v>
      </c>
      <c r="BY103" s="20">
        <v>0</v>
      </c>
      <c r="BZ103" s="20">
        <v>0</v>
      </c>
      <c r="CA103" s="20">
        <v>0</v>
      </c>
      <c r="CB103" s="20">
        <f t="shared" si="150"/>
        <v>0</v>
      </c>
      <c r="CC103" s="20">
        <v>0</v>
      </c>
      <c r="CD103" s="20">
        <v>0</v>
      </c>
      <c r="CE103" s="20">
        <v>0</v>
      </c>
      <c r="CF103" s="20">
        <v>0</v>
      </c>
      <c r="CG103" s="20">
        <v>0</v>
      </c>
      <c r="CH103" s="20">
        <v>0</v>
      </c>
      <c r="CI103" s="20">
        <v>0</v>
      </c>
      <c r="CJ103" s="20">
        <v>0</v>
      </c>
      <c r="CK103" s="20">
        <v>0</v>
      </c>
      <c r="CL103" s="20">
        <v>0</v>
      </c>
      <c r="CM103" s="20">
        <v>0</v>
      </c>
      <c r="CN103" s="20">
        <v>0</v>
      </c>
      <c r="CO103" s="20">
        <f t="shared" si="151"/>
        <v>0</v>
      </c>
      <c r="CP103" s="20">
        <v>0</v>
      </c>
      <c r="CQ103" s="20">
        <v>0</v>
      </c>
      <c r="CR103" s="20">
        <v>0</v>
      </c>
      <c r="CS103" s="20">
        <v>0</v>
      </c>
      <c r="CT103" s="20">
        <v>0</v>
      </c>
      <c r="CU103" s="20">
        <v>0</v>
      </c>
      <c r="CV103" s="20">
        <v>0</v>
      </c>
      <c r="CW103" s="20">
        <v>0</v>
      </c>
      <c r="CX103" s="20">
        <v>0</v>
      </c>
      <c r="CY103" s="20">
        <v>0</v>
      </c>
      <c r="CZ103" s="20">
        <v>0</v>
      </c>
      <c r="DA103" s="20">
        <v>0</v>
      </c>
      <c r="DB103" s="20">
        <f t="shared" si="152"/>
        <v>0</v>
      </c>
      <c r="DC103" s="20">
        <v>0</v>
      </c>
      <c r="DD103" s="20">
        <v>0</v>
      </c>
      <c r="DE103" s="20">
        <v>0</v>
      </c>
      <c r="DF103" s="20">
        <v>0</v>
      </c>
      <c r="DG103" s="20">
        <v>0</v>
      </c>
      <c r="DH103" s="20">
        <v>0</v>
      </c>
      <c r="DI103" s="20">
        <v>0</v>
      </c>
      <c r="DJ103" s="20">
        <v>0</v>
      </c>
      <c r="DK103" s="20">
        <v>0</v>
      </c>
      <c r="DL103" s="20">
        <v>0</v>
      </c>
      <c r="DM103" s="20">
        <v>0</v>
      </c>
      <c r="DN103" s="20">
        <v>0</v>
      </c>
      <c r="DO103" s="20">
        <f t="shared" si="153"/>
        <v>0</v>
      </c>
      <c r="DP103" s="20">
        <v>0</v>
      </c>
      <c r="DQ103" s="20">
        <v>0</v>
      </c>
      <c r="DR103" s="20">
        <v>0</v>
      </c>
      <c r="DS103" s="20">
        <v>0</v>
      </c>
      <c r="DT103" s="20">
        <v>0</v>
      </c>
      <c r="DU103" s="20">
        <v>0</v>
      </c>
      <c r="DV103" s="20">
        <v>0</v>
      </c>
      <c r="DW103" s="20">
        <v>0</v>
      </c>
      <c r="DX103" s="20">
        <v>0</v>
      </c>
      <c r="DY103" s="20">
        <v>0</v>
      </c>
      <c r="DZ103" s="20">
        <v>0</v>
      </c>
      <c r="EA103" s="20">
        <v>0</v>
      </c>
      <c r="EB103" s="20">
        <f t="shared" si="154"/>
        <v>0</v>
      </c>
      <c r="EC103" s="20">
        <v>0</v>
      </c>
      <c r="ED103" s="20">
        <v>0</v>
      </c>
      <c r="EE103" s="20">
        <v>0</v>
      </c>
      <c r="EF103" s="20">
        <v>0</v>
      </c>
      <c r="EG103" s="20">
        <v>0</v>
      </c>
      <c r="EH103" s="20">
        <v>0</v>
      </c>
      <c r="EI103" s="20">
        <v>0</v>
      </c>
      <c r="EJ103" s="20">
        <v>0</v>
      </c>
      <c r="EK103" s="20">
        <v>0</v>
      </c>
      <c r="EL103" s="20">
        <v>0</v>
      </c>
      <c r="EM103" s="20">
        <v>0</v>
      </c>
      <c r="EN103" s="20">
        <v>0</v>
      </c>
      <c r="EO103" s="20">
        <f t="shared" si="155"/>
        <v>0</v>
      </c>
      <c r="EP103" s="20">
        <v>0</v>
      </c>
      <c r="EQ103" s="20">
        <v>0</v>
      </c>
      <c r="ER103" s="20">
        <v>0</v>
      </c>
      <c r="ES103" s="20">
        <v>0</v>
      </c>
      <c r="ET103" s="20">
        <v>0</v>
      </c>
      <c r="EU103" s="20">
        <v>0</v>
      </c>
      <c r="EV103" s="20">
        <v>0</v>
      </c>
      <c r="EW103" s="20">
        <v>0</v>
      </c>
      <c r="EX103" s="20">
        <v>0</v>
      </c>
      <c r="EY103" s="20">
        <v>0</v>
      </c>
      <c r="EZ103" s="20">
        <v>0</v>
      </c>
      <c r="FA103" s="20">
        <v>0</v>
      </c>
      <c r="FB103" s="20">
        <f t="shared" si="156"/>
        <v>0</v>
      </c>
      <c r="FC103" s="20">
        <v>0</v>
      </c>
      <c r="FD103" s="20">
        <v>0</v>
      </c>
      <c r="FE103" s="20">
        <v>0</v>
      </c>
      <c r="FF103" s="20">
        <v>0</v>
      </c>
      <c r="FG103" s="20">
        <v>0</v>
      </c>
      <c r="FH103" s="20">
        <v>0</v>
      </c>
      <c r="FI103" s="20">
        <v>0</v>
      </c>
      <c r="FJ103" s="10"/>
      <c r="FK103" s="10"/>
      <c r="FL103" s="10"/>
      <c r="FM103" s="10"/>
      <c r="FN103" s="10"/>
      <c r="FO103" s="20">
        <f t="shared" si="157"/>
        <v>0</v>
      </c>
    </row>
    <row r="104" spans="1:171" ht="27.75" customHeight="1">
      <c r="A104" s="10"/>
      <c r="B104" s="19" t="s">
        <v>47</v>
      </c>
      <c r="C104" s="20">
        <v>0</v>
      </c>
      <c r="D104" s="20">
        <v>0</v>
      </c>
      <c r="E104" s="20">
        <v>0</v>
      </c>
      <c r="F104" s="20">
        <v>0</v>
      </c>
      <c r="G104" s="20">
        <v>0</v>
      </c>
      <c r="H104" s="20">
        <v>0</v>
      </c>
      <c r="I104" s="20">
        <v>0</v>
      </c>
      <c r="J104" s="20">
        <v>0</v>
      </c>
      <c r="K104" s="20">
        <v>0</v>
      </c>
      <c r="L104" s="20">
        <v>0</v>
      </c>
      <c r="M104" s="20">
        <v>0</v>
      </c>
      <c r="N104" s="20">
        <v>0</v>
      </c>
      <c r="O104" s="20">
        <f t="shared" si="145"/>
        <v>0</v>
      </c>
      <c r="P104" s="20">
        <v>0</v>
      </c>
      <c r="Q104" s="20">
        <v>0</v>
      </c>
      <c r="R104" s="20">
        <v>0</v>
      </c>
      <c r="S104" s="20">
        <v>0</v>
      </c>
      <c r="T104" s="20">
        <v>0</v>
      </c>
      <c r="U104" s="20">
        <v>0</v>
      </c>
      <c r="V104" s="20">
        <v>0</v>
      </c>
      <c r="W104" s="20">
        <v>0</v>
      </c>
      <c r="X104" s="20">
        <v>0</v>
      </c>
      <c r="Y104" s="20">
        <v>0</v>
      </c>
      <c r="Z104" s="20">
        <v>0</v>
      </c>
      <c r="AA104" s="20">
        <v>0</v>
      </c>
      <c r="AB104" s="20">
        <f t="shared" si="146"/>
        <v>0</v>
      </c>
      <c r="AC104" s="20">
        <v>0</v>
      </c>
      <c r="AD104" s="20">
        <v>0</v>
      </c>
      <c r="AE104" s="20">
        <v>0</v>
      </c>
      <c r="AF104" s="20">
        <v>0</v>
      </c>
      <c r="AG104" s="20">
        <v>0</v>
      </c>
      <c r="AH104" s="20">
        <v>0</v>
      </c>
      <c r="AI104" s="20">
        <v>0</v>
      </c>
      <c r="AJ104" s="20">
        <v>0</v>
      </c>
      <c r="AK104" s="20">
        <v>0</v>
      </c>
      <c r="AL104" s="20">
        <v>0</v>
      </c>
      <c r="AM104" s="20">
        <v>0</v>
      </c>
      <c r="AN104" s="20">
        <v>0</v>
      </c>
      <c r="AO104" s="20">
        <f t="shared" si="147"/>
        <v>0</v>
      </c>
      <c r="AP104" s="20">
        <v>0</v>
      </c>
      <c r="AQ104" s="20">
        <v>0</v>
      </c>
      <c r="AR104" s="20">
        <v>0</v>
      </c>
      <c r="AS104" s="20">
        <v>0</v>
      </c>
      <c r="AT104" s="20">
        <v>0</v>
      </c>
      <c r="AU104" s="20">
        <v>0</v>
      </c>
      <c r="AV104" s="20">
        <v>0</v>
      </c>
      <c r="AW104" s="20">
        <v>0</v>
      </c>
      <c r="AX104" s="20">
        <v>0</v>
      </c>
      <c r="AY104" s="20">
        <v>0</v>
      </c>
      <c r="AZ104" s="20">
        <v>0</v>
      </c>
      <c r="BA104" s="20">
        <v>0</v>
      </c>
      <c r="BB104" s="20">
        <f t="shared" si="148"/>
        <v>0</v>
      </c>
      <c r="BC104" s="20">
        <v>0</v>
      </c>
      <c r="BD104" s="20">
        <v>0</v>
      </c>
      <c r="BE104" s="20">
        <v>0</v>
      </c>
      <c r="BF104" s="20">
        <v>0</v>
      </c>
      <c r="BG104" s="20">
        <v>0</v>
      </c>
      <c r="BH104" s="20">
        <v>0</v>
      </c>
      <c r="BI104" s="20">
        <v>0</v>
      </c>
      <c r="BJ104" s="20">
        <v>0</v>
      </c>
      <c r="BK104" s="20">
        <v>0</v>
      </c>
      <c r="BL104" s="20">
        <v>0</v>
      </c>
      <c r="BM104" s="20">
        <v>0</v>
      </c>
      <c r="BN104" s="20">
        <v>0</v>
      </c>
      <c r="BO104" s="20">
        <f t="shared" si="149"/>
        <v>0</v>
      </c>
      <c r="BP104" s="20">
        <v>0</v>
      </c>
      <c r="BQ104" s="20">
        <v>0</v>
      </c>
      <c r="BR104" s="20">
        <v>0</v>
      </c>
      <c r="BS104" s="20">
        <v>0</v>
      </c>
      <c r="BT104" s="20">
        <v>0</v>
      </c>
      <c r="BU104" s="20">
        <v>0</v>
      </c>
      <c r="BV104" s="20">
        <v>0</v>
      </c>
      <c r="BW104" s="20">
        <v>0</v>
      </c>
      <c r="BX104" s="20">
        <v>0</v>
      </c>
      <c r="BY104" s="20">
        <v>0</v>
      </c>
      <c r="BZ104" s="20">
        <v>0</v>
      </c>
      <c r="CA104" s="20">
        <v>0</v>
      </c>
      <c r="CB104" s="20">
        <f t="shared" si="150"/>
        <v>0</v>
      </c>
      <c r="CC104" s="20">
        <v>0</v>
      </c>
      <c r="CD104" s="20">
        <v>0</v>
      </c>
      <c r="CE104" s="20">
        <v>0</v>
      </c>
      <c r="CF104" s="20">
        <v>0</v>
      </c>
      <c r="CG104" s="20">
        <v>0</v>
      </c>
      <c r="CH104" s="20">
        <v>0</v>
      </c>
      <c r="CI104" s="20">
        <v>0</v>
      </c>
      <c r="CJ104" s="20">
        <v>0</v>
      </c>
      <c r="CK104" s="20">
        <v>0</v>
      </c>
      <c r="CL104" s="20">
        <v>0</v>
      </c>
      <c r="CM104" s="20">
        <v>0</v>
      </c>
      <c r="CN104" s="20">
        <v>0</v>
      </c>
      <c r="CO104" s="20">
        <f t="shared" si="151"/>
        <v>0</v>
      </c>
      <c r="CP104" s="20">
        <v>0</v>
      </c>
      <c r="CQ104" s="20">
        <v>0</v>
      </c>
      <c r="CR104" s="20">
        <v>0</v>
      </c>
      <c r="CS104" s="20">
        <v>0</v>
      </c>
      <c r="CT104" s="20">
        <v>0</v>
      </c>
      <c r="CU104" s="20">
        <v>0</v>
      </c>
      <c r="CV104" s="20">
        <v>0</v>
      </c>
      <c r="CW104" s="20">
        <v>0</v>
      </c>
      <c r="CX104" s="20">
        <v>0</v>
      </c>
      <c r="CY104" s="20">
        <v>0</v>
      </c>
      <c r="CZ104" s="20">
        <v>0</v>
      </c>
      <c r="DA104" s="20">
        <v>0</v>
      </c>
      <c r="DB104" s="20">
        <f t="shared" si="152"/>
        <v>0</v>
      </c>
      <c r="DC104" s="20">
        <v>0</v>
      </c>
      <c r="DD104" s="20">
        <v>0</v>
      </c>
      <c r="DE104" s="20">
        <v>0</v>
      </c>
      <c r="DF104" s="20">
        <v>0</v>
      </c>
      <c r="DG104" s="20">
        <v>0</v>
      </c>
      <c r="DH104" s="20">
        <v>0</v>
      </c>
      <c r="DI104" s="20">
        <v>0</v>
      </c>
      <c r="DJ104" s="20">
        <v>0</v>
      </c>
      <c r="DK104" s="20">
        <v>0</v>
      </c>
      <c r="DL104" s="20">
        <v>0</v>
      </c>
      <c r="DM104" s="20">
        <v>0</v>
      </c>
      <c r="DN104" s="20">
        <v>0</v>
      </c>
      <c r="DO104" s="20">
        <f t="shared" si="153"/>
        <v>0</v>
      </c>
      <c r="DP104" s="20">
        <v>0</v>
      </c>
      <c r="DQ104" s="20">
        <v>0</v>
      </c>
      <c r="DR104" s="20">
        <v>0</v>
      </c>
      <c r="DS104" s="20">
        <v>0</v>
      </c>
      <c r="DT104" s="20">
        <v>0</v>
      </c>
      <c r="DU104" s="20">
        <v>0</v>
      </c>
      <c r="DV104" s="20">
        <v>0</v>
      </c>
      <c r="DW104" s="20">
        <v>0</v>
      </c>
      <c r="DX104" s="20">
        <v>0</v>
      </c>
      <c r="DY104" s="20">
        <v>0</v>
      </c>
      <c r="DZ104" s="20">
        <v>0</v>
      </c>
      <c r="EA104" s="20">
        <v>0</v>
      </c>
      <c r="EB104" s="20">
        <f t="shared" si="154"/>
        <v>0</v>
      </c>
      <c r="EC104" s="20">
        <v>0</v>
      </c>
      <c r="ED104" s="20">
        <v>0</v>
      </c>
      <c r="EE104" s="20">
        <v>0</v>
      </c>
      <c r="EF104" s="20">
        <v>0</v>
      </c>
      <c r="EG104" s="20">
        <v>0</v>
      </c>
      <c r="EH104" s="20">
        <v>0</v>
      </c>
      <c r="EI104" s="20">
        <v>0</v>
      </c>
      <c r="EJ104" s="20">
        <v>0</v>
      </c>
      <c r="EK104" s="20">
        <v>0</v>
      </c>
      <c r="EL104" s="20">
        <v>0</v>
      </c>
      <c r="EM104" s="20">
        <v>0</v>
      </c>
      <c r="EN104" s="20">
        <v>0</v>
      </c>
      <c r="EO104" s="20">
        <f t="shared" si="155"/>
        <v>0</v>
      </c>
      <c r="EP104" s="20">
        <v>0</v>
      </c>
      <c r="EQ104" s="20">
        <v>0</v>
      </c>
      <c r="ER104" s="20">
        <v>0</v>
      </c>
      <c r="ES104" s="20">
        <v>0</v>
      </c>
      <c r="ET104" s="20">
        <v>0</v>
      </c>
      <c r="EU104" s="20">
        <v>0</v>
      </c>
      <c r="EV104" s="20">
        <v>0</v>
      </c>
      <c r="EW104" s="20">
        <v>0</v>
      </c>
      <c r="EX104" s="20">
        <v>0</v>
      </c>
      <c r="EY104" s="20">
        <v>0</v>
      </c>
      <c r="EZ104" s="20">
        <v>0</v>
      </c>
      <c r="FA104" s="20">
        <v>0</v>
      </c>
      <c r="FB104" s="20">
        <f t="shared" si="156"/>
        <v>0</v>
      </c>
      <c r="FC104" s="20">
        <v>0</v>
      </c>
      <c r="FD104" s="20">
        <v>0</v>
      </c>
      <c r="FE104" s="20">
        <v>0</v>
      </c>
      <c r="FF104" s="20">
        <v>0</v>
      </c>
      <c r="FG104" s="20">
        <v>0</v>
      </c>
      <c r="FH104" s="20">
        <v>0</v>
      </c>
      <c r="FI104" s="20">
        <v>0</v>
      </c>
      <c r="FJ104" s="10"/>
      <c r="FK104" s="10"/>
      <c r="FL104" s="10"/>
      <c r="FM104" s="10"/>
      <c r="FN104" s="10"/>
      <c r="FO104" s="20">
        <f t="shared" si="157"/>
        <v>0</v>
      </c>
    </row>
    <row r="105" spans="1:171" ht="27.75" customHeight="1">
      <c r="A105" s="10"/>
      <c r="B105" s="19" t="s">
        <v>48</v>
      </c>
      <c r="C105" s="20">
        <v>0</v>
      </c>
      <c r="D105" s="20">
        <v>0</v>
      </c>
      <c r="E105" s="20">
        <v>0</v>
      </c>
      <c r="F105" s="20">
        <v>0</v>
      </c>
      <c r="G105" s="20">
        <v>0</v>
      </c>
      <c r="H105" s="20">
        <v>0</v>
      </c>
      <c r="I105" s="20">
        <v>0</v>
      </c>
      <c r="J105" s="20">
        <v>0</v>
      </c>
      <c r="K105" s="20">
        <v>0</v>
      </c>
      <c r="L105" s="20">
        <v>0</v>
      </c>
      <c r="M105" s="20">
        <v>0</v>
      </c>
      <c r="N105" s="20">
        <v>0</v>
      </c>
      <c r="O105" s="20">
        <f t="shared" si="145"/>
        <v>0</v>
      </c>
      <c r="P105" s="20">
        <v>0</v>
      </c>
      <c r="Q105" s="20">
        <v>0</v>
      </c>
      <c r="R105" s="20">
        <v>0</v>
      </c>
      <c r="S105" s="20">
        <v>0</v>
      </c>
      <c r="T105" s="20">
        <v>0</v>
      </c>
      <c r="U105" s="20">
        <v>0</v>
      </c>
      <c r="V105" s="20">
        <v>0</v>
      </c>
      <c r="W105" s="20">
        <v>0</v>
      </c>
      <c r="X105" s="20">
        <v>0</v>
      </c>
      <c r="Y105" s="20">
        <v>0</v>
      </c>
      <c r="Z105" s="20">
        <v>0</v>
      </c>
      <c r="AA105" s="20">
        <v>0</v>
      </c>
      <c r="AB105" s="20">
        <f t="shared" si="146"/>
        <v>0</v>
      </c>
      <c r="AC105" s="20">
        <v>0</v>
      </c>
      <c r="AD105" s="20">
        <v>0</v>
      </c>
      <c r="AE105" s="20">
        <v>0</v>
      </c>
      <c r="AF105" s="20">
        <v>0</v>
      </c>
      <c r="AG105" s="20">
        <v>0</v>
      </c>
      <c r="AH105" s="20">
        <v>0</v>
      </c>
      <c r="AI105" s="20">
        <v>0</v>
      </c>
      <c r="AJ105" s="20">
        <v>0</v>
      </c>
      <c r="AK105" s="20">
        <v>0</v>
      </c>
      <c r="AL105" s="20">
        <v>0</v>
      </c>
      <c r="AM105" s="20">
        <v>0</v>
      </c>
      <c r="AN105" s="20">
        <v>0</v>
      </c>
      <c r="AO105" s="20">
        <f t="shared" si="147"/>
        <v>0</v>
      </c>
      <c r="AP105" s="20">
        <v>0</v>
      </c>
      <c r="AQ105" s="20">
        <v>0</v>
      </c>
      <c r="AR105" s="20">
        <v>0</v>
      </c>
      <c r="AS105" s="20">
        <v>0</v>
      </c>
      <c r="AT105" s="20">
        <v>0</v>
      </c>
      <c r="AU105" s="20">
        <v>0</v>
      </c>
      <c r="AV105" s="20">
        <v>0</v>
      </c>
      <c r="AW105" s="20">
        <v>0</v>
      </c>
      <c r="AX105" s="20">
        <v>0</v>
      </c>
      <c r="AY105" s="20">
        <v>0</v>
      </c>
      <c r="AZ105" s="20">
        <v>0</v>
      </c>
      <c r="BA105" s="20">
        <v>0</v>
      </c>
      <c r="BB105" s="20">
        <f t="shared" si="148"/>
        <v>0</v>
      </c>
      <c r="BC105" s="20">
        <v>0</v>
      </c>
      <c r="BD105" s="20">
        <v>0</v>
      </c>
      <c r="BE105" s="20">
        <v>0</v>
      </c>
      <c r="BF105" s="20">
        <v>0</v>
      </c>
      <c r="BG105" s="20">
        <v>0</v>
      </c>
      <c r="BH105" s="20">
        <v>0</v>
      </c>
      <c r="BI105" s="20">
        <v>0</v>
      </c>
      <c r="BJ105" s="20">
        <v>0</v>
      </c>
      <c r="BK105" s="20">
        <v>0</v>
      </c>
      <c r="BL105" s="20">
        <v>0</v>
      </c>
      <c r="BM105" s="20">
        <v>0</v>
      </c>
      <c r="BN105" s="20">
        <v>0</v>
      </c>
      <c r="BO105" s="20">
        <f t="shared" si="149"/>
        <v>0</v>
      </c>
      <c r="BP105" s="20">
        <v>0</v>
      </c>
      <c r="BQ105" s="20">
        <v>0</v>
      </c>
      <c r="BR105" s="20">
        <v>0</v>
      </c>
      <c r="BS105" s="20">
        <v>0</v>
      </c>
      <c r="BT105" s="20">
        <v>0</v>
      </c>
      <c r="BU105" s="20">
        <v>0</v>
      </c>
      <c r="BV105" s="20">
        <v>0</v>
      </c>
      <c r="BW105" s="20">
        <v>0</v>
      </c>
      <c r="BX105" s="20">
        <v>0</v>
      </c>
      <c r="BY105" s="20">
        <v>0</v>
      </c>
      <c r="BZ105" s="20">
        <v>0</v>
      </c>
      <c r="CA105" s="20">
        <v>0</v>
      </c>
      <c r="CB105" s="20">
        <f t="shared" si="150"/>
        <v>0</v>
      </c>
      <c r="CC105" s="20">
        <v>0</v>
      </c>
      <c r="CD105" s="20">
        <v>0</v>
      </c>
      <c r="CE105" s="20">
        <v>0</v>
      </c>
      <c r="CF105" s="20">
        <v>0</v>
      </c>
      <c r="CG105" s="20">
        <v>0</v>
      </c>
      <c r="CH105" s="20">
        <v>0</v>
      </c>
      <c r="CI105" s="20">
        <v>0</v>
      </c>
      <c r="CJ105" s="20">
        <v>0</v>
      </c>
      <c r="CK105" s="20">
        <v>0</v>
      </c>
      <c r="CL105" s="20">
        <v>0</v>
      </c>
      <c r="CM105" s="20">
        <v>0</v>
      </c>
      <c r="CN105" s="20">
        <v>0</v>
      </c>
      <c r="CO105" s="20">
        <f t="shared" si="151"/>
        <v>0</v>
      </c>
      <c r="CP105" s="20">
        <v>0</v>
      </c>
      <c r="CQ105" s="20">
        <v>0</v>
      </c>
      <c r="CR105" s="20">
        <v>0</v>
      </c>
      <c r="CS105" s="20">
        <v>0</v>
      </c>
      <c r="CT105" s="20">
        <v>0</v>
      </c>
      <c r="CU105" s="20">
        <v>0</v>
      </c>
      <c r="CV105" s="20">
        <v>0</v>
      </c>
      <c r="CW105" s="20">
        <v>0</v>
      </c>
      <c r="CX105" s="20">
        <v>0</v>
      </c>
      <c r="CY105" s="20">
        <v>0</v>
      </c>
      <c r="CZ105" s="20">
        <v>0</v>
      </c>
      <c r="DA105" s="20">
        <v>0</v>
      </c>
      <c r="DB105" s="20">
        <f t="shared" si="152"/>
        <v>0</v>
      </c>
      <c r="DC105" s="20">
        <v>0</v>
      </c>
      <c r="DD105" s="20">
        <v>0</v>
      </c>
      <c r="DE105" s="20">
        <v>0</v>
      </c>
      <c r="DF105" s="20">
        <v>0</v>
      </c>
      <c r="DG105" s="20">
        <v>0</v>
      </c>
      <c r="DH105" s="20">
        <v>0</v>
      </c>
      <c r="DI105" s="20">
        <v>0</v>
      </c>
      <c r="DJ105" s="20">
        <v>0</v>
      </c>
      <c r="DK105" s="20">
        <v>0</v>
      </c>
      <c r="DL105" s="20">
        <v>0</v>
      </c>
      <c r="DM105" s="20">
        <v>0</v>
      </c>
      <c r="DN105" s="20">
        <v>0</v>
      </c>
      <c r="DO105" s="20">
        <f t="shared" si="153"/>
        <v>0</v>
      </c>
      <c r="DP105" s="20">
        <v>0</v>
      </c>
      <c r="DQ105" s="20">
        <v>0</v>
      </c>
      <c r="DR105" s="20">
        <v>0</v>
      </c>
      <c r="DS105" s="20">
        <v>0</v>
      </c>
      <c r="DT105" s="20">
        <v>0</v>
      </c>
      <c r="DU105" s="20">
        <v>0</v>
      </c>
      <c r="DV105" s="20">
        <v>0</v>
      </c>
      <c r="DW105" s="20">
        <v>0</v>
      </c>
      <c r="DX105" s="20">
        <v>0</v>
      </c>
      <c r="DY105" s="20">
        <v>0</v>
      </c>
      <c r="DZ105" s="20">
        <v>0</v>
      </c>
      <c r="EA105" s="20">
        <v>0</v>
      </c>
      <c r="EB105" s="20">
        <f t="shared" si="154"/>
        <v>0</v>
      </c>
      <c r="EC105" s="20">
        <v>0</v>
      </c>
      <c r="ED105" s="20">
        <v>0</v>
      </c>
      <c r="EE105" s="20">
        <v>0</v>
      </c>
      <c r="EF105" s="20">
        <v>0</v>
      </c>
      <c r="EG105" s="20">
        <v>0</v>
      </c>
      <c r="EH105" s="20">
        <v>0</v>
      </c>
      <c r="EI105" s="20">
        <v>0</v>
      </c>
      <c r="EJ105" s="20">
        <v>0</v>
      </c>
      <c r="EK105" s="20">
        <v>0</v>
      </c>
      <c r="EL105" s="20">
        <v>0</v>
      </c>
      <c r="EM105" s="20">
        <v>0</v>
      </c>
      <c r="EN105" s="20">
        <v>0</v>
      </c>
      <c r="EO105" s="20">
        <f t="shared" si="155"/>
        <v>0</v>
      </c>
      <c r="EP105" s="20">
        <v>0</v>
      </c>
      <c r="EQ105" s="20">
        <v>0</v>
      </c>
      <c r="ER105" s="20">
        <v>0</v>
      </c>
      <c r="ES105" s="20">
        <v>0</v>
      </c>
      <c r="ET105" s="20">
        <v>0</v>
      </c>
      <c r="EU105" s="20">
        <v>0</v>
      </c>
      <c r="EV105" s="20">
        <v>0</v>
      </c>
      <c r="EW105" s="20">
        <v>0</v>
      </c>
      <c r="EX105" s="20">
        <v>0</v>
      </c>
      <c r="EY105" s="20">
        <v>0</v>
      </c>
      <c r="EZ105" s="20">
        <v>0</v>
      </c>
      <c r="FA105" s="20">
        <v>0</v>
      </c>
      <c r="FB105" s="20">
        <f t="shared" si="156"/>
        <v>0</v>
      </c>
      <c r="FC105" s="20">
        <v>0</v>
      </c>
      <c r="FD105" s="20">
        <v>0</v>
      </c>
      <c r="FE105" s="20">
        <v>0</v>
      </c>
      <c r="FF105" s="20">
        <v>0</v>
      </c>
      <c r="FG105" s="20">
        <v>0</v>
      </c>
      <c r="FH105" s="20">
        <v>0</v>
      </c>
      <c r="FI105" s="20">
        <v>0</v>
      </c>
      <c r="FJ105" s="10"/>
      <c r="FK105" s="10"/>
      <c r="FL105" s="10"/>
      <c r="FM105" s="10"/>
      <c r="FN105" s="10"/>
      <c r="FO105" s="20">
        <f t="shared" si="157"/>
        <v>0</v>
      </c>
    </row>
    <row r="106" spans="1:171" ht="21.75" customHeight="1">
      <c r="A106" s="10"/>
      <c r="B106" s="15" t="s">
        <v>49</v>
      </c>
      <c r="C106" s="38">
        <f t="shared" ref="C106:AH106" si="158">SUM(C100:C105)</f>
        <v>0</v>
      </c>
      <c r="D106" s="38">
        <f t="shared" si="158"/>
        <v>0</v>
      </c>
      <c r="E106" s="38">
        <f t="shared" si="158"/>
        <v>0</v>
      </c>
      <c r="F106" s="38">
        <f t="shared" si="158"/>
        <v>0</v>
      </c>
      <c r="G106" s="38">
        <f t="shared" si="158"/>
        <v>0</v>
      </c>
      <c r="H106" s="38">
        <f t="shared" si="158"/>
        <v>0</v>
      </c>
      <c r="I106" s="38">
        <f t="shared" si="158"/>
        <v>0</v>
      </c>
      <c r="J106" s="38">
        <f t="shared" si="158"/>
        <v>0</v>
      </c>
      <c r="K106" s="38">
        <f t="shared" si="158"/>
        <v>0</v>
      </c>
      <c r="L106" s="38">
        <f t="shared" si="158"/>
        <v>0</v>
      </c>
      <c r="M106" s="38">
        <f t="shared" si="158"/>
        <v>0</v>
      </c>
      <c r="N106" s="38">
        <f t="shared" si="158"/>
        <v>0</v>
      </c>
      <c r="O106" s="38">
        <f t="shared" si="158"/>
        <v>0</v>
      </c>
      <c r="P106" s="38">
        <f t="shared" si="158"/>
        <v>0</v>
      </c>
      <c r="Q106" s="38">
        <f t="shared" si="158"/>
        <v>0</v>
      </c>
      <c r="R106" s="38">
        <f t="shared" si="158"/>
        <v>0</v>
      </c>
      <c r="S106" s="38">
        <f t="shared" si="158"/>
        <v>0</v>
      </c>
      <c r="T106" s="38">
        <f t="shared" si="158"/>
        <v>0</v>
      </c>
      <c r="U106" s="38">
        <f t="shared" si="158"/>
        <v>0</v>
      </c>
      <c r="V106" s="38">
        <f t="shared" si="158"/>
        <v>0</v>
      </c>
      <c r="W106" s="38">
        <f t="shared" si="158"/>
        <v>0</v>
      </c>
      <c r="X106" s="38">
        <f t="shared" si="158"/>
        <v>0</v>
      </c>
      <c r="Y106" s="38">
        <f t="shared" si="158"/>
        <v>0</v>
      </c>
      <c r="Z106" s="38">
        <f t="shared" si="158"/>
        <v>0</v>
      </c>
      <c r="AA106" s="38">
        <f t="shared" si="158"/>
        <v>0</v>
      </c>
      <c r="AB106" s="38">
        <f t="shared" si="158"/>
        <v>0</v>
      </c>
      <c r="AC106" s="38">
        <f t="shared" si="158"/>
        <v>0</v>
      </c>
      <c r="AD106" s="38">
        <f t="shared" si="158"/>
        <v>0</v>
      </c>
      <c r="AE106" s="38">
        <f t="shared" si="158"/>
        <v>0</v>
      </c>
      <c r="AF106" s="38">
        <f t="shared" si="158"/>
        <v>0</v>
      </c>
      <c r="AG106" s="38">
        <f t="shared" si="158"/>
        <v>0</v>
      </c>
      <c r="AH106" s="38">
        <f t="shared" si="158"/>
        <v>0</v>
      </c>
      <c r="AI106" s="38">
        <f t="shared" ref="AI106:BN106" si="159">SUM(AI100:AI105)</f>
        <v>0</v>
      </c>
      <c r="AJ106" s="38">
        <f t="shared" si="159"/>
        <v>0</v>
      </c>
      <c r="AK106" s="38">
        <f t="shared" si="159"/>
        <v>0</v>
      </c>
      <c r="AL106" s="38">
        <f t="shared" si="159"/>
        <v>0</v>
      </c>
      <c r="AM106" s="38">
        <f t="shared" si="159"/>
        <v>0</v>
      </c>
      <c r="AN106" s="38">
        <f t="shared" si="159"/>
        <v>0</v>
      </c>
      <c r="AO106" s="38">
        <f t="shared" si="159"/>
        <v>0</v>
      </c>
      <c r="AP106" s="38">
        <f t="shared" si="159"/>
        <v>0</v>
      </c>
      <c r="AQ106" s="38">
        <f t="shared" si="159"/>
        <v>0</v>
      </c>
      <c r="AR106" s="38">
        <f t="shared" si="159"/>
        <v>0</v>
      </c>
      <c r="AS106" s="38">
        <f t="shared" si="159"/>
        <v>0</v>
      </c>
      <c r="AT106" s="38">
        <f t="shared" si="159"/>
        <v>0</v>
      </c>
      <c r="AU106" s="38">
        <f t="shared" si="159"/>
        <v>0</v>
      </c>
      <c r="AV106" s="38">
        <f t="shared" si="159"/>
        <v>0</v>
      </c>
      <c r="AW106" s="38">
        <f t="shared" si="159"/>
        <v>0</v>
      </c>
      <c r="AX106" s="38">
        <f t="shared" si="159"/>
        <v>0</v>
      </c>
      <c r="AY106" s="38">
        <f t="shared" si="159"/>
        <v>0</v>
      </c>
      <c r="AZ106" s="38">
        <f t="shared" si="159"/>
        <v>0</v>
      </c>
      <c r="BA106" s="38">
        <f t="shared" si="159"/>
        <v>0</v>
      </c>
      <c r="BB106" s="38">
        <f t="shared" si="159"/>
        <v>0</v>
      </c>
      <c r="BC106" s="38">
        <f t="shared" si="159"/>
        <v>0</v>
      </c>
      <c r="BD106" s="38">
        <f t="shared" si="159"/>
        <v>0</v>
      </c>
      <c r="BE106" s="38">
        <f t="shared" si="159"/>
        <v>0</v>
      </c>
      <c r="BF106" s="38">
        <f t="shared" si="159"/>
        <v>0</v>
      </c>
      <c r="BG106" s="38">
        <f t="shared" si="159"/>
        <v>0</v>
      </c>
      <c r="BH106" s="38">
        <f t="shared" si="159"/>
        <v>0</v>
      </c>
      <c r="BI106" s="38">
        <f t="shared" si="159"/>
        <v>0</v>
      </c>
      <c r="BJ106" s="38">
        <f t="shared" si="159"/>
        <v>0</v>
      </c>
      <c r="BK106" s="38">
        <f t="shared" si="159"/>
        <v>0</v>
      </c>
      <c r="BL106" s="38">
        <f t="shared" si="159"/>
        <v>0</v>
      </c>
      <c r="BM106" s="38">
        <f t="shared" si="159"/>
        <v>0</v>
      </c>
      <c r="BN106" s="38">
        <f t="shared" si="159"/>
        <v>0</v>
      </c>
      <c r="BO106" s="38">
        <f t="shared" ref="BO106:CT106" si="160">SUM(BO100:BO105)</f>
        <v>0</v>
      </c>
      <c r="BP106" s="38">
        <f t="shared" si="160"/>
        <v>0</v>
      </c>
      <c r="BQ106" s="38">
        <f t="shared" si="160"/>
        <v>0</v>
      </c>
      <c r="BR106" s="38">
        <f t="shared" si="160"/>
        <v>0</v>
      </c>
      <c r="BS106" s="38">
        <f t="shared" si="160"/>
        <v>0</v>
      </c>
      <c r="BT106" s="38">
        <f t="shared" si="160"/>
        <v>0</v>
      </c>
      <c r="BU106" s="38">
        <f t="shared" si="160"/>
        <v>0</v>
      </c>
      <c r="BV106" s="38">
        <f t="shared" si="160"/>
        <v>0</v>
      </c>
      <c r="BW106" s="38">
        <f t="shared" si="160"/>
        <v>0</v>
      </c>
      <c r="BX106" s="38">
        <f t="shared" si="160"/>
        <v>0</v>
      </c>
      <c r="BY106" s="38">
        <f t="shared" si="160"/>
        <v>0</v>
      </c>
      <c r="BZ106" s="38">
        <f t="shared" si="160"/>
        <v>0</v>
      </c>
      <c r="CA106" s="38">
        <f t="shared" si="160"/>
        <v>0</v>
      </c>
      <c r="CB106" s="38">
        <f t="shared" si="160"/>
        <v>0</v>
      </c>
      <c r="CC106" s="38">
        <f t="shared" si="160"/>
        <v>0</v>
      </c>
      <c r="CD106" s="38">
        <f t="shared" si="160"/>
        <v>0</v>
      </c>
      <c r="CE106" s="38">
        <f t="shared" si="160"/>
        <v>0</v>
      </c>
      <c r="CF106" s="38">
        <f t="shared" si="160"/>
        <v>0</v>
      </c>
      <c r="CG106" s="38">
        <f t="shared" si="160"/>
        <v>0</v>
      </c>
      <c r="CH106" s="38">
        <f t="shared" si="160"/>
        <v>0</v>
      </c>
      <c r="CI106" s="38">
        <f t="shared" si="160"/>
        <v>0</v>
      </c>
      <c r="CJ106" s="38">
        <f t="shared" si="160"/>
        <v>0</v>
      </c>
      <c r="CK106" s="38">
        <f t="shared" si="160"/>
        <v>0</v>
      </c>
      <c r="CL106" s="38">
        <f t="shared" si="160"/>
        <v>0</v>
      </c>
      <c r="CM106" s="38">
        <f t="shared" si="160"/>
        <v>0</v>
      </c>
      <c r="CN106" s="38">
        <f t="shared" si="160"/>
        <v>0</v>
      </c>
      <c r="CO106" s="38">
        <f t="shared" si="160"/>
        <v>0</v>
      </c>
      <c r="CP106" s="38">
        <f t="shared" si="160"/>
        <v>0</v>
      </c>
      <c r="CQ106" s="38">
        <f t="shared" si="160"/>
        <v>0</v>
      </c>
      <c r="CR106" s="38">
        <f t="shared" si="160"/>
        <v>0</v>
      </c>
      <c r="CS106" s="38">
        <f t="shared" si="160"/>
        <v>0</v>
      </c>
      <c r="CT106" s="38">
        <f t="shared" si="160"/>
        <v>0</v>
      </c>
      <c r="CU106" s="38">
        <f t="shared" ref="CU106:DZ106" si="161">SUM(CU100:CU105)</f>
        <v>0</v>
      </c>
      <c r="CV106" s="38">
        <f t="shared" si="161"/>
        <v>0</v>
      </c>
      <c r="CW106" s="38">
        <f t="shared" si="161"/>
        <v>0</v>
      </c>
      <c r="CX106" s="38">
        <f t="shared" si="161"/>
        <v>0</v>
      </c>
      <c r="CY106" s="38">
        <f t="shared" si="161"/>
        <v>0</v>
      </c>
      <c r="CZ106" s="38">
        <f t="shared" si="161"/>
        <v>0</v>
      </c>
      <c r="DA106" s="38">
        <f t="shared" si="161"/>
        <v>0</v>
      </c>
      <c r="DB106" s="38">
        <f t="shared" si="161"/>
        <v>0</v>
      </c>
      <c r="DC106" s="38">
        <f t="shared" si="161"/>
        <v>0</v>
      </c>
      <c r="DD106" s="38">
        <f t="shared" si="161"/>
        <v>0</v>
      </c>
      <c r="DE106" s="38">
        <f t="shared" si="161"/>
        <v>0</v>
      </c>
      <c r="DF106" s="38">
        <f t="shared" si="161"/>
        <v>0</v>
      </c>
      <c r="DG106" s="38">
        <f t="shared" si="161"/>
        <v>0</v>
      </c>
      <c r="DH106" s="38">
        <f t="shared" si="161"/>
        <v>0</v>
      </c>
      <c r="DI106" s="38">
        <f t="shared" si="161"/>
        <v>0</v>
      </c>
      <c r="DJ106" s="38">
        <f t="shared" si="161"/>
        <v>0</v>
      </c>
      <c r="DK106" s="38">
        <f t="shared" si="161"/>
        <v>0</v>
      </c>
      <c r="DL106" s="38">
        <f t="shared" si="161"/>
        <v>0</v>
      </c>
      <c r="DM106" s="38">
        <f t="shared" si="161"/>
        <v>0</v>
      </c>
      <c r="DN106" s="38">
        <f t="shared" si="161"/>
        <v>0</v>
      </c>
      <c r="DO106" s="38">
        <f t="shared" si="161"/>
        <v>0</v>
      </c>
      <c r="DP106" s="38">
        <f t="shared" si="161"/>
        <v>17877772</v>
      </c>
      <c r="DQ106" s="38">
        <f t="shared" si="161"/>
        <v>17877772</v>
      </c>
      <c r="DR106" s="38">
        <f t="shared" si="161"/>
        <v>17877772</v>
      </c>
      <c r="DS106" s="38">
        <f t="shared" si="161"/>
        <v>17877772</v>
      </c>
      <c r="DT106" s="38">
        <f t="shared" si="161"/>
        <v>17877772</v>
      </c>
      <c r="DU106" s="38">
        <f t="shared" si="161"/>
        <v>17877772</v>
      </c>
      <c r="DV106" s="38">
        <f t="shared" si="161"/>
        <v>17877772</v>
      </c>
      <c r="DW106" s="38">
        <f t="shared" si="161"/>
        <v>17772523</v>
      </c>
      <c r="DX106" s="38">
        <f t="shared" si="161"/>
        <v>17772523</v>
      </c>
      <c r="DY106" s="38">
        <f t="shared" si="161"/>
        <v>17772523</v>
      </c>
      <c r="DZ106" s="38">
        <f t="shared" si="161"/>
        <v>10123523</v>
      </c>
      <c r="EA106" s="38">
        <f t="shared" ref="EA106:FF106" si="162">SUM(EA100:EA105)</f>
        <v>10123523</v>
      </c>
      <c r="EB106" s="38">
        <f t="shared" si="162"/>
        <v>10123523</v>
      </c>
      <c r="EC106" s="38">
        <f t="shared" si="162"/>
        <v>0</v>
      </c>
      <c r="ED106" s="38">
        <f t="shared" si="162"/>
        <v>0</v>
      </c>
      <c r="EE106" s="38">
        <f t="shared" si="162"/>
        <v>0</v>
      </c>
      <c r="EF106" s="38">
        <f t="shared" si="162"/>
        <v>0</v>
      </c>
      <c r="EG106" s="38">
        <f t="shared" si="162"/>
        <v>0</v>
      </c>
      <c r="EH106" s="38">
        <f t="shared" si="162"/>
        <v>0</v>
      </c>
      <c r="EI106" s="38">
        <f t="shared" si="162"/>
        <v>0</v>
      </c>
      <c r="EJ106" s="38">
        <f t="shared" si="162"/>
        <v>0</v>
      </c>
      <c r="EK106" s="38">
        <f t="shared" si="162"/>
        <v>0</v>
      </c>
      <c r="EL106" s="38">
        <f t="shared" si="162"/>
        <v>0</v>
      </c>
      <c r="EM106" s="38">
        <f t="shared" si="162"/>
        <v>0</v>
      </c>
      <c r="EN106" s="38">
        <f t="shared" si="162"/>
        <v>0</v>
      </c>
      <c r="EO106" s="38">
        <f t="shared" si="162"/>
        <v>0</v>
      </c>
      <c r="EP106" s="38">
        <f t="shared" si="162"/>
        <v>0</v>
      </c>
      <c r="EQ106" s="38">
        <f t="shared" si="162"/>
        <v>0</v>
      </c>
      <c r="ER106" s="38">
        <f t="shared" si="162"/>
        <v>0</v>
      </c>
      <c r="ES106" s="38">
        <f t="shared" si="162"/>
        <v>0</v>
      </c>
      <c r="ET106" s="38">
        <f t="shared" si="162"/>
        <v>0</v>
      </c>
      <c r="EU106" s="38">
        <f t="shared" si="162"/>
        <v>0</v>
      </c>
      <c r="EV106" s="38">
        <f t="shared" si="162"/>
        <v>0</v>
      </c>
      <c r="EW106" s="38">
        <f t="shared" si="162"/>
        <v>0</v>
      </c>
      <c r="EX106" s="38">
        <f t="shared" si="162"/>
        <v>0</v>
      </c>
      <c r="EY106" s="38">
        <f t="shared" si="162"/>
        <v>0</v>
      </c>
      <c r="EZ106" s="38">
        <f t="shared" si="162"/>
        <v>0</v>
      </c>
      <c r="FA106" s="38">
        <f t="shared" si="162"/>
        <v>0</v>
      </c>
      <c r="FB106" s="38">
        <f t="shared" si="162"/>
        <v>0</v>
      </c>
      <c r="FC106" s="38">
        <f t="shared" si="162"/>
        <v>0</v>
      </c>
      <c r="FD106" s="38">
        <f t="shared" si="162"/>
        <v>0</v>
      </c>
      <c r="FE106" s="38">
        <f t="shared" si="162"/>
        <v>0</v>
      </c>
      <c r="FF106" s="38">
        <f t="shared" si="162"/>
        <v>0</v>
      </c>
      <c r="FG106" s="38">
        <f t="shared" ref="FG106:GL106" si="163">SUM(FG100:FG105)</f>
        <v>0</v>
      </c>
      <c r="FH106" s="38">
        <f t="shared" si="163"/>
        <v>0</v>
      </c>
      <c r="FI106" s="38">
        <f t="shared" si="163"/>
        <v>0</v>
      </c>
      <c r="FJ106" s="38">
        <f t="shared" si="163"/>
        <v>0</v>
      </c>
      <c r="FK106" s="38">
        <f t="shared" si="163"/>
        <v>0</v>
      </c>
      <c r="FL106" s="38">
        <f t="shared" si="163"/>
        <v>0</v>
      </c>
      <c r="FM106" s="38">
        <f t="shared" si="163"/>
        <v>0</v>
      </c>
      <c r="FN106" s="38">
        <f t="shared" si="163"/>
        <v>0</v>
      </c>
      <c r="FO106" s="38">
        <f t="shared" si="163"/>
        <v>0</v>
      </c>
    </row>
    <row r="107" spans="1:171" ht="14.25" customHeight="1">
      <c r="A107" s="10"/>
      <c r="B107" s="18" t="s">
        <v>63</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row>
    <row r="108" spans="1:171"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row>
    <row r="109" spans="1:171" ht="15.75" customHeight="1">
      <c r="A109" s="10"/>
      <c r="B109" s="104" t="s">
        <v>65</v>
      </c>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c r="BI109" s="105"/>
      <c r="BJ109" s="105"/>
      <c r="BK109" s="105"/>
      <c r="BL109" s="105"/>
      <c r="BM109" s="105"/>
      <c r="BN109" s="105"/>
      <c r="BO109" s="105"/>
      <c r="BP109" s="105"/>
      <c r="BQ109" s="105"/>
      <c r="BR109" s="105"/>
      <c r="BS109" s="105"/>
      <c r="BT109" s="105"/>
      <c r="BU109" s="105"/>
      <c r="BV109" s="105"/>
      <c r="BW109" s="105"/>
      <c r="BX109" s="105"/>
      <c r="BY109" s="105"/>
      <c r="BZ109" s="105"/>
      <c r="CA109" s="105"/>
      <c r="CB109" s="105"/>
      <c r="CC109" s="105"/>
      <c r="CD109" s="105"/>
      <c r="CE109" s="105"/>
      <c r="CF109" s="105"/>
      <c r="CG109" s="105"/>
      <c r="CH109" s="105"/>
      <c r="CI109" s="105"/>
      <c r="CJ109" s="105"/>
      <c r="CK109" s="105"/>
      <c r="CL109" s="105"/>
      <c r="CM109" s="105"/>
      <c r="CN109" s="105"/>
      <c r="CO109" s="105"/>
      <c r="CP109" s="105"/>
      <c r="CQ109" s="105"/>
      <c r="CR109" s="105"/>
      <c r="CS109" s="105"/>
      <c r="CT109" s="105"/>
      <c r="CU109" s="105"/>
      <c r="CV109" s="105"/>
      <c r="CW109" s="105"/>
      <c r="CX109" s="105"/>
      <c r="CY109" s="105"/>
      <c r="CZ109" s="105"/>
      <c r="DA109" s="105"/>
      <c r="DB109" s="105"/>
      <c r="DC109" s="105"/>
      <c r="DD109" s="105"/>
      <c r="DE109" s="105"/>
      <c r="DF109" s="105"/>
      <c r="DG109" s="105"/>
      <c r="DH109" s="105"/>
      <c r="DI109" s="105"/>
      <c r="DJ109" s="105"/>
      <c r="DK109" s="105"/>
      <c r="DL109" s="105"/>
      <c r="DM109" s="105"/>
      <c r="DN109" s="105"/>
      <c r="DO109" s="105"/>
      <c r="DP109" s="105"/>
      <c r="DQ109" s="105"/>
      <c r="DR109" s="105"/>
      <c r="DS109" s="105"/>
      <c r="DT109" s="105"/>
      <c r="DU109" s="105"/>
      <c r="DV109" s="105"/>
      <c r="DW109" s="105"/>
      <c r="DX109" s="105"/>
      <c r="DY109" s="105"/>
      <c r="DZ109" s="105"/>
      <c r="EA109" s="105"/>
      <c r="EB109" s="105"/>
      <c r="EC109" s="105"/>
      <c r="ED109" s="105"/>
      <c r="EE109" s="105"/>
      <c r="EF109" s="105"/>
      <c r="EG109" s="105"/>
      <c r="EH109" s="105"/>
      <c r="EI109" s="105"/>
      <c r="EJ109" s="105"/>
      <c r="EK109" s="105"/>
      <c r="EL109" s="105"/>
      <c r="EM109" s="105"/>
      <c r="EN109" s="105"/>
      <c r="EO109" s="105"/>
      <c r="EP109" s="105"/>
      <c r="EQ109" s="105"/>
      <c r="ER109" s="105"/>
      <c r="ES109" s="105"/>
      <c r="ET109" s="105"/>
      <c r="EU109" s="105"/>
      <c r="EV109" s="105"/>
      <c r="EW109" s="105"/>
      <c r="EX109" s="105"/>
      <c r="EY109" s="105"/>
      <c r="EZ109" s="105"/>
      <c r="FA109" s="105"/>
      <c r="FB109" s="105"/>
      <c r="FC109" s="105"/>
      <c r="FD109" s="105"/>
      <c r="FE109" s="105"/>
      <c r="FF109" s="105"/>
      <c r="FG109" s="105"/>
      <c r="FH109" s="105"/>
      <c r="FI109" s="105"/>
      <c r="FJ109" s="105"/>
      <c r="FK109" s="105"/>
      <c r="FL109" s="105"/>
      <c r="FM109" s="105"/>
      <c r="FN109" s="105"/>
      <c r="FO109" s="105"/>
    </row>
    <row r="110" spans="1:171" ht="21.75" customHeight="1">
      <c r="A110" s="10"/>
      <c r="B110" s="14"/>
      <c r="C110" s="102" t="s">
        <v>4</v>
      </c>
      <c r="D110" s="103"/>
      <c r="E110" s="103"/>
      <c r="F110" s="103"/>
      <c r="G110" s="103"/>
      <c r="H110" s="103"/>
      <c r="I110" s="103"/>
      <c r="J110" s="103"/>
      <c r="K110" s="103"/>
      <c r="L110" s="103"/>
      <c r="M110" s="103"/>
      <c r="N110" s="103"/>
      <c r="O110" s="103"/>
      <c r="P110" s="102" t="s">
        <v>5</v>
      </c>
      <c r="Q110" s="103"/>
      <c r="R110" s="103"/>
      <c r="S110" s="103"/>
      <c r="T110" s="103"/>
      <c r="U110" s="103"/>
      <c r="V110" s="103"/>
      <c r="W110" s="103"/>
      <c r="X110" s="103"/>
      <c r="Y110" s="103"/>
      <c r="Z110" s="103"/>
      <c r="AA110" s="103"/>
      <c r="AB110" s="103"/>
      <c r="AC110" s="102" t="s">
        <v>6</v>
      </c>
      <c r="AD110" s="103"/>
      <c r="AE110" s="103"/>
      <c r="AF110" s="103"/>
      <c r="AG110" s="103"/>
      <c r="AH110" s="103"/>
      <c r="AI110" s="103"/>
      <c r="AJ110" s="103"/>
      <c r="AK110" s="103"/>
      <c r="AL110" s="103"/>
      <c r="AM110" s="103"/>
      <c r="AN110" s="103"/>
      <c r="AO110" s="103"/>
      <c r="AP110" s="102" t="s">
        <v>7</v>
      </c>
      <c r="AQ110" s="103"/>
      <c r="AR110" s="103"/>
      <c r="AS110" s="103"/>
      <c r="AT110" s="103"/>
      <c r="AU110" s="103"/>
      <c r="AV110" s="103"/>
      <c r="AW110" s="103"/>
      <c r="AX110" s="103"/>
      <c r="AY110" s="103"/>
      <c r="AZ110" s="103"/>
      <c r="BA110" s="103"/>
      <c r="BB110" s="103"/>
      <c r="BC110" s="102" t="s">
        <v>8</v>
      </c>
      <c r="BD110" s="103"/>
      <c r="BE110" s="103"/>
      <c r="BF110" s="103"/>
      <c r="BG110" s="103"/>
      <c r="BH110" s="103"/>
      <c r="BI110" s="103"/>
      <c r="BJ110" s="103"/>
      <c r="BK110" s="103"/>
      <c r="BL110" s="103"/>
      <c r="BM110" s="103"/>
      <c r="BN110" s="103"/>
      <c r="BO110" s="103"/>
      <c r="BP110" s="102" t="s">
        <v>9</v>
      </c>
      <c r="BQ110" s="103"/>
      <c r="BR110" s="103"/>
      <c r="BS110" s="103"/>
      <c r="BT110" s="103"/>
      <c r="BU110" s="103"/>
      <c r="BV110" s="103"/>
      <c r="BW110" s="103"/>
      <c r="BX110" s="103"/>
      <c r="BY110" s="103"/>
      <c r="BZ110" s="103"/>
      <c r="CA110" s="103"/>
      <c r="CB110" s="103"/>
      <c r="CC110" s="102" t="s">
        <v>10</v>
      </c>
      <c r="CD110" s="103"/>
      <c r="CE110" s="103"/>
      <c r="CF110" s="103"/>
      <c r="CG110" s="103"/>
      <c r="CH110" s="103"/>
      <c r="CI110" s="103"/>
      <c r="CJ110" s="103"/>
      <c r="CK110" s="103"/>
      <c r="CL110" s="103"/>
      <c r="CM110" s="103"/>
      <c r="CN110" s="103"/>
      <c r="CO110" s="103"/>
      <c r="CP110" s="102" t="s">
        <v>57</v>
      </c>
      <c r="CQ110" s="103"/>
      <c r="CR110" s="103"/>
      <c r="CS110" s="103"/>
      <c r="CT110" s="103"/>
      <c r="CU110" s="103"/>
      <c r="CV110" s="103"/>
      <c r="CW110" s="103"/>
      <c r="CX110" s="103"/>
      <c r="CY110" s="103"/>
      <c r="CZ110" s="103"/>
      <c r="DA110" s="103"/>
      <c r="DB110" s="103"/>
      <c r="DC110" s="102" t="s">
        <v>58</v>
      </c>
      <c r="DD110" s="103"/>
      <c r="DE110" s="103"/>
      <c r="DF110" s="103"/>
      <c r="DG110" s="103"/>
      <c r="DH110" s="103"/>
      <c r="DI110" s="103"/>
      <c r="DJ110" s="103"/>
      <c r="DK110" s="103"/>
      <c r="DL110" s="103"/>
      <c r="DM110" s="103"/>
      <c r="DN110" s="103"/>
      <c r="DO110" s="103"/>
      <c r="DP110" s="102" t="s">
        <v>13</v>
      </c>
      <c r="DQ110" s="103"/>
      <c r="DR110" s="103"/>
      <c r="DS110" s="103"/>
      <c r="DT110" s="103"/>
      <c r="DU110" s="103"/>
      <c r="DV110" s="103"/>
      <c r="DW110" s="103"/>
      <c r="DX110" s="103"/>
      <c r="DY110" s="103"/>
      <c r="DZ110" s="103"/>
      <c r="EA110" s="103"/>
      <c r="EB110" s="103"/>
      <c r="EC110" s="102" t="s">
        <v>14</v>
      </c>
      <c r="ED110" s="103"/>
      <c r="EE110" s="103"/>
      <c r="EF110" s="103"/>
      <c r="EG110" s="103"/>
      <c r="EH110" s="103"/>
      <c r="EI110" s="103"/>
      <c r="EJ110" s="103"/>
      <c r="EK110" s="103"/>
      <c r="EL110" s="103"/>
      <c r="EM110" s="103"/>
      <c r="EN110" s="103"/>
      <c r="EO110" s="103"/>
      <c r="EP110" s="102" t="s">
        <v>15</v>
      </c>
      <c r="EQ110" s="103"/>
      <c r="ER110" s="103"/>
      <c r="ES110" s="103"/>
      <c r="ET110" s="103"/>
      <c r="EU110" s="103"/>
      <c r="EV110" s="103"/>
      <c r="EW110" s="103"/>
      <c r="EX110" s="103"/>
      <c r="EY110" s="103"/>
      <c r="EZ110" s="103"/>
      <c r="FA110" s="103"/>
      <c r="FB110" s="103"/>
      <c r="FC110" s="102" t="s">
        <v>16</v>
      </c>
      <c r="FD110" s="103"/>
      <c r="FE110" s="103"/>
      <c r="FF110" s="103"/>
      <c r="FG110" s="103"/>
      <c r="FH110" s="103"/>
      <c r="FI110" s="103"/>
      <c r="FJ110" s="103"/>
      <c r="FK110" s="103"/>
      <c r="FL110" s="103"/>
      <c r="FM110" s="103"/>
      <c r="FN110" s="103"/>
      <c r="FO110" s="103"/>
    </row>
    <row r="111" spans="1:171" ht="27.75" customHeight="1">
      <c r="A111" s="10"/>
      <c r="B111" s="15" t="s">
        <v>17</v>
      </c>
      <c r="C111" s="16" t="s">
        <v>18</v>
      </c>
      <c r="D111" s="16" t="s">
        <v>19</v>
      </c>
      <c r="E111" s="16" t="s">
        <v>20</v>
      </c>
      <c r="F111" s="16" t="s">
        <v>21</v>
      </c>
      <c r="G111" s="16" t="s">
        <v>22</v>
      </c>
      <c r="H111" s="16" t="s">
        <v>23</v>
      </c>
      <c r="I111" s="16" t="s">
        <v>24</v>
      </c>
      <c r="J111" s="16" t="s">
        <v>25</v>
      </c>
      <c r="K111" s="16" t="s">
        <v>26</v>
      </c>
      <c r="L111" s="16" t="s">
        <v>27</v>
      </c>
      <c r="M111" s="16" t="s">
        <v>28</v>
      </c>
      <c r="N111" s="16" t="s">
        <v>29</v>
      </c>
      <c r="O111" s="16" t="s">
        <v>30</v>
      </c>
      <c r="P111" s="16" t="s">
        <v>18</v>
      </c>
      <c r="Q111" s="16" t="s">
        <v>19</v>
      </c>
      <c r="R111" s="16" t="s">
        <v>20</v>
      </c>
      <c r="S111" s="16" t="s">
        <v>21</v>
      </c>
      <c r="T111" s="16" t="s">
        <v>22</v>
      </c>
      <c r="U111" s="16" t="s">
        <v>23</v>
      </c>
      <c r="V111" s="16" t="s">
        <v>24</v>
      </c>
      <c r="W111" s="16" t="s">
        <v>25</v>
      </c>
      <c r="X111" s="16" t="s">
        <v>26</v>
      </c>
      <c r="Y111" s="16" t="s">
        <v>27</v>
      </c>
      <c r="Z111" s="16" t="s">
        <v>28</v>
      </c>
      <c r="AA111" s="16" t="s">
        <v>29</v>
      </c>
      <c r="AB111" s="16" t="s">
        <v>31</v>
      </c>
      <c r="AC111" s="16" t="s">
        <v>18</v>
      </c>
      <c r="AD111" s="16" t="s">
        <v>19</v>
      </c>
      <c r="AE111" s="16" t="s">
        <v>20</v>
      </c>
      <c r="AF111" s="16" t="s">
        <v>21</v>
      </c>
      <c r="AG111" s="16" t="s">
        <v>22</v>
      </c>
      <c r="AH111" s="16" t="s">
        <v>23</v>
      </c>
      <c r="AI111" s="16" t="s">
        <v>24</v>
      </c>
      <c r="AJ111" s="16" t="s">
        <v>25</v>
      </c>
      <c r="AK111" s="16" t="s">
        <v>26</v>
      </c>
      <c r="AL111" s="16" t="s">
        <v>27</v>
      </c>
      <c r="AM111" s="16" t="s">
        <v>28</v>
      </c>
      <c r="AN111" s="16" t="s">
        <v>29</v>
      </c>
      <c r="AO111" s="16" t="s">
        <v>32</v>
      </c>
      <c r="AP111" s="16" t="s">
        <v>18</v>
      </c>
      <c r="AQ111" s="16" t="s">
        <v>19</v>
      </c>
      <c r="AR111" s="16" t="s">
        <v>20</v>
      </c>
      <c r="AS111" s="16" t="s">
        <v>21</v>
      </c>
      <c r="AT111" s="16" t="s">
        <v>22</v>
      </c>
      <c r="AU111" s="16" t="s">
        <v>23</v>
      </c>
      <c r="AV111" s="16" t="s">
        <v>24</v>
      </c>
      <c r="AW111" s="16" t="s">
        <v>25</v>
      </c>
      <c r="AX111" s="16" t="s">
        <v>26</v>
      </c>
      <c r="AY111" s="16" t="s">
        <v>27</v>
      </c>
      <c r="AZ111" s="16" t="s">
        <v>28</v>
      </c>
      <c r="BA111" s="16" t="s">
        <v>29</v>
      </c>
      <c r="BB111" s="16" t="s">
        <v>33</v>
      </c>
      <c r="BC111" s="16" t="s">
        <v>18</v>
      </c>
      <c r="BD111" s="16" t="s">
        <v>19</v>
      </c>
      <c r="BE111" s="16" t="s">
        <v>20</v>
      </c>
      <c r="BF111" s="16" t="s">
        <v>21</v>
      </c>
      <c r="BG111" s="16" t="s">
        <v>22</v>
      </c>
      <c r="BH111" s="16" t="s">
        <v>23</v>
      </c>
      <c r="BI111" s="16" t="s">
        <v>24</v>
      </c>
      <c r="BJ111" s="16" t="s">
        <v>25</v>
      </c>
      <c r="BK111" s="16" t="s">
        <v>26</v>
      </c>
      <c r="BL111" s="16" t="s">
        <v>27</v>
      </c>
      <c r="BM111" s="16" t="s">
        <v>28</v>
      </c>
      <c r="BN111" s="16" t="s">
        <v>29</v>
      </c>
      <c r="BO111" s="16" t="s">
        <v>34</v>
      </c>
      <c r="BP111" s="16" t="s">
        <v>18</v>
      </c>
      <c r="BQ111" s="16" t="s">
        <v>19</v>
      </c>
      <c r="BR111" s="16" t="s">
        <v>20</v>
      </c>
      <c r="BS111" s="16" t="s">
        <v>21</v>
      </c>
      <c r="BT111" s="16" t="s">
        <v>22</v>
      </c>
      <c r="BU111" s="16" t="s">
        <v>23</v>
      </c>
      <c r="BV111" s="16" t="s">
        <v>24</v>
      </c>
      <c r="BW111" s="16" t="s">
        <v>25</v>
      </c>
      <c r="BX111" s="16" t="s">
        <v>26</v>
      </c>
      <c r="BY111" s="16" t="s">
        <v>27</v>
      </c>
      <c r="BZ111" s="16" t="s">
        <v>28</v>
      </c>
      <c r="CA111" s="16" t="s">
        <v>29</v>
      </c>
      <c r="CB111" s="16" t="s">
        <v>35</v>
      </c>
      <c r="CC111" s="16" t="s">
        <v>18</v>
      </c>
      <c r="CD111" s="16" t="s">
        <v>19</v>
      </c>
      <c r="CE111" s="16" t="s">
        <v>20</v>
      </c>
      <c r="CF111" s="16" t="s">
        <v>21</v>
      </c>
      <c r="CG111" s="16" t="s">
        <v>22</v>
      </c>
      <c r="CH111" s="16" t="s">
        <v>23</v>
      </c>
      <c r="CI111" s="16" t="s">
        <v>24</v>
      </c>
      <c r="CJ111" s="16" t="s">
        <v>25</v>
      </c>
      <c r="CK111" s="16" t="s">
        <v>26</v>
      </c>
      <c r="CL111" s="16" t="s">
        <v>27</v>
      </c>
      <c r="CM111" s="16" t="s">
        <v>28</v>
      </c>
      <c r="CN111" s="16" t="s">
        <v>29</v>
      </c>
      <c r="CO111" s="16" t="s">
        <v>36</v>
      </c>
      <c r="CP111" s="16" t="s">
        <v>18</v>
      </c>
      <c r="CQ111" s="16" t="s">
        <v>19</v>
      </c>
      <c r="CR111" s="16" t="s">
        <v>20</v>
      </c>
      <c r="CS111" s="16" t="s">
        <v>21</v>
      </c>
      <c r="CT111" s="16" t="s">
        <v>22</v>
      </c>
      <c r="CU111" s="16" t="s">
        <v>23</v>
      </c>
      <c r="CV111" s="16" t="s">
        <v>24</v>
      </c>
      <c r="CW111" s="16" t="s">
        <v>25</v>
      </c>
      <c r="CX111" s="16" t="s">
        <v>26</v>
      </c>
      <c r="CY111" s="16" t="s">
        <v>27</v>
      </c>
      <c r="CZ111" s="16" t="s">
        <v>28</v>
      </c>
      <c r="DA111" s="16" t="s">
        <v>29</v>
      </c>
      <c r="DB111" s="16" t="s">
        <v>37</v>
      </c>
      <c r="DC111" s="16" t="s">
        <v>18</v>
      </c>
      <c r="DD111" s="16" t="s">
        <v>19</v>
      </c>
      <c r="DE111" s="16" t="s">
        <v>20</v>
      </c>
      <c r="DF111" s="16" t="s">
        <v>21</v>
      </c>
      <c r="DG111" s="16" t="s">
        <v>22</v>
      </c>
      <c r="DH111" s="16" t="s">
        <v>23</v>
      </c>
      <c r="DI111" s="16" t="s">
        <v>24</v>
      </c>
      <c r="DJ111" s="16" t="s">
        <v>25</v>
      </c>
      <c r="DK111" s="16" t="s">
        <v>26</v>
      </c>
      <c r="DL111" s="16" t="s">
        <v>27</v>
      </c>
      <c r="DM111" s="16" t="s">
        <v>28</v>
      </c>
      <c r="DN111" s="16" t="s">
        <v>29</v>
      </c>
      <c r="DO111" s="16" t="s">
        <v>38</v>
      </c>
      <c r="DP111" s="16" t="s">
        <v>18</v>
      </c>
      <c r="DQ111" s="16" t="s">
        <v>19</v>
      </c>
      <c r="DR111" s="16" t="s">
        <v>20</v>
      </c>
      <c r="DS111" s="16" t="s">
        <v>21</v>
      </c>
      <c r="DT111" s="16" t="s">
        <v>22</v>
      </c>
      <c r="DU111" s="16" t="s">
        <v>23</v>
      </c>
      <c r="DV111" s="16" t="s">
        <v>24</v>
      </c>
      <c r="DW111" s="16" t="s">
        <v>25</v>
      </c>
      <c r="DX111" s="16" t="s">
        <v>26</v>
      </c>
      <c r="DY111" s="16" t="s">
        <v>27</v>
      </c>
      <c r="DZ111" s="16" t="s">
        <v>28</v>
      </c>
      <c r="EA111" s="16" t="s">
        <v>29</v>
      </c>
      <c r="EB111" s="16" t="s">
        <v>39</v>
      </c>
      <c r="EC111" s="16" t="s">
        <v>18</v>
      </c>
      <c r="ED111" s="16" t="s">
        <v>19</v>
      </c>
      <c r="EE111" s="16" t="s">
        <v>20</v>
      </c>
      <c r="EF111" s="16" t="s">
        <v>21</v>
      </c>
      <c r="EG111" s="16" t="s">
        <v>22</v>
      </c>
      <c r="EH111" s="16" t="s">
        <v>23</v>
      </c>
      <c r="EI111" s="16" t="s">
        <v>24</v>
      </c>
      <c r="EJ111" s="16" t="s">
        <v>25</v>
      </c>
      <c r="EK111" s="16" t="s">
        <v>26</v>
      </c>
      <c r="EL111" s="16" t="s">
        <v>27</v>
      </c>
      <c r="EM111" s="16" t="s">
        <v>28</v>
      </c>
      <c r="EN111" s="16" t="s">
        <v>29</v>
      </c>
      <c r="EO111" s="16" t="s">
        <v>40</v>
      </c>
      <c r="EP111" s="16" t="s">
        <v>18</v>
      </c>
      <c r="EQ111" s="16" t="s">
        <v>19</v>
      </c>
      <c r="ER111" s="16" t="s">
        <v>20</v>
      </c>
      <c r="ES111" s="16" t="s">
        <v>21</v>
      </c>
      <c r="ET111" s="16" t="s">
        <v>22</v>
      </c>
      <c r="EU111" s="16" t="s">
        <v>23</v>
      </c>
      <c r="EV111" s="16" t="s">
        <v>24</v>
      </c>
      <c r="EW111" s="16" t="s">
        <v>25</v>
      </c>
      <c r="EX111" s="16" t="s">
        <v>26</v>
      </c>
      <c r="EY111" s="16" t="s">
        <v>27</v>
      </c>
      <c r="EZ111" s="16" t="s">
        <v>28</v>
      </c>
      <c r="FA111" s="16" t="s">
        <v>29</v>
      </c>
      <c r="FB111" s="16" t="s">
        <v>41</v>
      </c>
      <c r="FC111" s="16" t="s">
        <v>18</v>
      </c>
      <c r="FD111" s="16" t="s">
        <v>19</v>
      </c>
      <c r="FE111" s="16" t="s">
        <v>20</v>
      </c>
      <c r="FF111" s="16" t="s">
        <v>21</v>
      </c>
      <c r="FG111" s="16" t="s">
        <v>22</v>
      </c>
      <c r="FH111" s="16" t="s">
        <v>23</v>
      </c>
      <c r="FI111" s="16" t="s">
        <v>24</v>
      </c>
      <c r="FJ111" s="16" t="s">
        <v>25</v>
      </c>
      <c r="FK111" s="16" t="s">
        <v>26</v>
      </c>
      <c r="FL111" s="16" t="s">
        <v>27</v>
      </c>
      <c r="FM111" s="16" t="s">
        <v>28</v>
      </c>
      <c r="FN111" s="16" t="s">
        <v>29</v>
      </c>
      <c r="FO111" s="16" t="s">
        <v>42</v>
      </c>
    </row>
    <row r="112" spans="1:171" ht="27.75" customHeight="1">
      <c r="A112" s="10"/>
      <c r="B112" s="19" t="s">
        <v>43</v>
      </c>
      <c r="C112" s="20">
        <v>0</v>
      </c>
      <c r="D112" s="20">
        <v>0</v>
      </c>
      <c r="E112" s="20">
        <v>0</v>
      </c>
      <c r="F112" s="20">
        <v>0</v>
      </c>
      <c r="G112" s="20">
        <v>0</v>
      </c>
      <c r="H112" s="20">
        <v>0</v>
      </c>
      <c r="I112" s="20">
        <v>0</v>
      </c>
      <c r="J112" s="20">
        <v>0</v>
      </c>
      <c r="K112" s="20">
        <v>0</v>
      </c>
      <c r="L112" s="20">
        <v>0</v>
      </c>
      <c r="M112" s="20">
        <v>0</v>
      </c>
      <c r="N112" s="20">
        <v>0</v>
      </c>
      <c r="O112" s="20">
        <f t="shared" ref="O112:O117" si="164">N112</f>
        <v>0</v>
      </c>
      <c r="P112" s="20">
        <v>0</v>
      </c>
      <c r="Q112" s="20">
        <v>0</v>
      </c>
      <c r="R112" s="20">
        <v>0</v>
      </c>
      <c r="S112" s="20">
        <v>0</v>
      </c>
      <c r="T112" s="20">
        <v>0</v>
      </c>
      <c r="U112" s="20">
        <v>0</v>
      </c>
      <c r="V112" s="20">
        <v>0</v>
      </c>
      <c r="W112" s="20">
        <v>0</v>
      </c>
      <c r="X112" s="20">
        <v>0</v>
      </c>
      <c r="Y112" s="20">
        <v>0</v>
      </c>
      <c r="Z112" s="20">
        <v>0</v>
      </c>
      <c r="AA112" s="20">
        <v>0</v>
      </c>
      <c r="AB112" s="20">
        <f t="shared" ref="AB112:AB117" si="165">AA112</f>
        <v>0</v>
      </c>
      <c r="AC112" s="20">
        <v>0</v>
      </c>
      <c r="AD112" s="20">
        <v>0</v>
      </c>
      <c r="AE112" s="20">
        <v>0</v>
      </c>
      <c r="AF112" s="20">
        <v>0</v>
      </c>
      <c r="AG112" s="20">
        <v>0</v>
      </c>
      <c r="AH112" s="20">
        <v>0</v>
      </c>
      <c r="AI112" s="20">
        <v>0</v>
      </c>
      <c r="AJ112" s="20">
        <v>0</v>
      </c>
      <c r="AK112" s="20">
        <v>0</v>
      </c>
      <c r="AL112" s="20">
        <v>0</v>
      </c>
      <c r="AM112" s="20">
        <v>0</v>
      </c>
      <c r="AN112" s="20">
        <v>0</v>
      </c>
      <c r="AO112" s="20">
        <f t="shared" ref="AO112:AO117" si="166">AN112</f>
        <v>0</v>
      </c>
      <c r="AP112" s="20">
        <v>0</v>
      </c>
      <c r="AQ112" s="20">
        <v>0</v>
      </c>
      <c r="AR112" s="20">
        <v>0</v>
      </c>
      <c r="AS112" s="20">
        <v>0</v>
      </c>
      <c r="AT112" s="20">
        <v>0</v>
      </c>
      <c r="AU112" s="20">
        <v>0</v>
      </c>
      <c r="AV112" s="20">
        <v>0</v>
      </c>
      <c r="AW112" s="20">
        <v>0</v>
      </c>
      <c r="AX112" s="20">
        <v>0</v>
      </c>
      <c r="AY112" s="20">
        <v>0</v>
      </c>
      <c r="AZ112" s="20">
        <v>0</v>
      </c>
      <c r="BA112" s="20">
        <v>0</v>
      </c>
      <c r="BB112" s="20">
        <f t="shared" ref="BB112:BB117" si="167">BA112</f>
        <v>0</v>
      </c>
      <c r="BC112" s="20">
        <v>0</v>
      </c>
      <c r="BD112" s="20">
        <v>0</v>
      </c>
      <c r="BE112" s="20">
        <v>0</v>
      </c>
      <c r="BF112" s="20">
        <v>0</v>
      </c>
      <c r="BG112" s="20">
        <v>0</v>
      </c>
      <c r="BH112" s="20">
        <v>0</v>
      </c>
      <c r="BI112" s="20">
        <v>0</v>
      </c>
      <c r="BJ112" s="20">
        <v>0</v>
      </c>
      <c r="BK112" s="20">
        <v>0</v>
      </c>
      <c r="BL112" s="20">
        <v>0</v>
      </c>
      <c r="BM112" s="20">
        <v>0</v>
      </c>
      <c r="BN112" s="20">
        <v>0</v>
      </c>
      <c r="BO112" s="20">
        <f t="shared" ref="BO112:BO117" si="168">BN112</f>
        <v>0</v>
      </c>
      <c r="BP112" s="20">
        <v>0</v>
      </c>
      <c r="BQ112" s="20">
        <v>0</v>
      </c>
      <c r="BR112" s="20">
        <v>0</v>
      </c>
      <c r="BS112" s="20">
        <v>0</v>
      </c>
      <c r="BT112" s="20">
        <v>0</v>
      </c>
      <c r="BU112" s="20">
        <v>0</v>
      </c>
      <c r="BV112" s="20">
        <v>0</v>
      </c>
      <c r="BW112" s="20">
        <v>0</v>
      </c>
      <c r="BX112" s="20">
        <v>0</v>
      </c>
      <c r="BY112" s="20">
        <v>0</v>
      </c>
      <c r="BZ112" s="20">
        <v>0</v>
      </c>
      <c r="CA112" s="20">
        <v>0</v>
      </c>
      <c r="CB112" s="20">
        <f t="shared" ref="CB112:CB117" si="169">CA112</f>
        <v>0</v>
      </c>
      <c r="CC112" s="20">
        <v>0</v>
      </c>
      <c r="CD112" s="20">
        <v>0</v>
      </c>
      <c r="CE112" s="20">
        <v>0</v>
      </c>
      <c r="CF112" s="20">
        <v>0</v>
      </c>
      <c r="CG112" s="20">
        <v>0</v>
      </c>
      <c r="CH112" s="20">
        <v>0</v>
      </c>
      <c r="CI112" s="20">
        <v>0</v>
      </c>
      <c r="CJ112" s="20">
        <v>0</v>
      </c>
      <c r="CK112" s="20">
        <v>0</v>
      </c>
      <c r="CL112" s="20">
        <v>0</v>
      </c>
      <c r="CM112" s="20">
        <v>0</v>
      </c>
      <c r="CN112" s="20">
        <v>0</v>
      </c>
      <c r="CO112" s="20">
        <f t="shared" ref="CO112:CO117" si="170">CN112</f>
        <v>0</v>
      </c>
      <c r="CP112" s="20">
        <v>0</v>
      </c>
      <c r="CQ112" s="20">
        <v>0</v>
      </c>
      <c r="CR112" s="20">
        <v>0</v>
      </c>
      <c r="CS112" s="20">
        <v>0</v>
      </c>
      <c r="CT112" s="20">
        <v>0</v>
      </c>
      <c r="CU112" s="20">
        <v>0</v>
      </c>
      <c r="CV112" s="20">
        <v>0</v>
      </c>
      <c r="CW112" s="20">
        <v>0</v>
      </c>
      <c r="CX112" s="20">
        <v>0</v>
      </c>
      <c r="CY112" s="20">
        <v>0</v>
      </c>
      <c r="CZ112" s="20">
        <v>0</v>
      </c>
      <c r="DA112" s="20">
        <v>0</v>
      </c>
      <c r="DB112" s="20">
        <f t="shared" ref="DB112:DB117" si="171">DA112</f>
        <v>0</v>
      </c>
      <c r="DC112" s="20">
        <v>0</v>
      </c>
      <c r="DD112" s="20">
        <v>0</v>
      </c>
      <c r="DE112" s="20">
        <v>0</v>
      </c>
      <c r="DF112" s="20">
        <v>0</v>
      </c>
      <c r="DG112" s="20">
        <v>0</v>
      </c>
      <c r="DH112" s="20">
        <v>0</v>
      </c>
      <c r="DI112" s="20">
        <v>0</v>
      </c>
      <c r="DJ112" s="20">
        <v>0</v>
      </c>
      <c r="DK112" s="20">
        <v>0</v>
      </c>
      <c r="DL112" s="20">
        <v>0</v>
      </c>
      <c r="DM112" s="20">
        <v>0</v>
      </c>
      <c r="DN112" s="20">
        <v>0</v>
      </c>
      <c r="DO112" s="20">
        <f t="shared" ref="DO112:DO117" si="172">DN112</f>
        <v>0</v>
      </c>
      <c r="DP112" s="20">
        <v>0</v>
      </c>
      <c r="DQ112" s="20">
        <v>0</v>
      </c>
      <c r="DR112" s="20">
        <v>0</v>
      </c>
      <c r="DS112" s="20">
        <v>0</v>
      </c>
      <c r="DT112" s="20">
        <v>0</v>
      </c>
      <c r="DU112" s="20">
        <v>0</v>
      </c>
      <c r="DV112" s="20">
        <v>0</v>
      </c>
      <c r="DW112" s="20">
        <v>0</v>
      </c>
      <c r="DX112" s="20">
        <v>0</v>
      </c>
      <c r="DY112" s="20">
        <v>0</v>
      </c>
      <c r="DZ112" s="20">
        <v>0</v>
      </c>
      <c r="EA112" s="20">
        <v>0</v>
      </c>
      <c r="EB112" s="20">
        <f t="shared" ref="EB112:EB117" si="173">EA112</f>
        <v>0</v>
      </c>
      <c r="EC112" s="20">
        <v>0</v>
      </c>
      <c r="ED112" s="20">
        <v>0</v>
      </c>
      <c r="EE112" s="20">
        <v>0</v>
      </c>
      <c r="EF112" s="20">
        <v>0</v>
      </c>
      <c r="EG112" s="20">
        <v>0</v>
      </c>
      <c r="EH112" s="20">
        <v>0</v>
      </c>
      <c r="EI112" s="20">
        <v>0</v>
      </c>
      <c r="EJ112" s="20">
        <v>0</v>
      </c>
      <c r="EK112" s="20">
        <v>0</v>
      </c>
      <c r="EL112" s="20">
        <v>0</v>
      </c>
      <c r="EM112" s="20">
        <v>0</v>
      </c>
      <c r="EN112" s="20">
        <v>0</v>
      </c>
      <c r="EO112" s="20">
        <f t="shared" ref="EO112:EO117" si="174">EN112</f>
        <v>0</v>
      </c>
      <c r="EP112" s="20">
        <v>0</v>
      </c>
      <c r="EQ112" s="20">
        <v>0</v>
      </c>
      <c r="ER112" s="20">
        <v>0</v>
      </c>
      <c r="ES112" s="20">
        <v>0</v>
      </c>
      <c r="ET112" s="20">
        <v>0</v>
      </c>
      <c r="EU112" s="20">
        <v>0</v>
      </c>
      <c r="EV112" s="20">
        <v>0</v>
      </c>
      <c r="EW112" s="20">
        <v>0</v>
      </c>
      <c r="EX112" s="20">
        <v>0</v>
      </c>
      <c r="EY112" s="20">
        <v>0</v>
      </c>
      <c r="EZ112" s="20">
        <v>0</v>
      </c>
      <c r="FA112" s="20">
        <v>0</v>
      </c>
      <c r="FB112" s="20">
        <f t="shared" ref="FB112:FB117" si="175">FA112</f>
        <v>0</v>
      </c>
      <c r="FC112" s="20">
        <v>0</v>
      </c>
      <c r="FD112" s="20">
        <v>0</v>
      </c>
      <c r="FE112" s="20">
        <v>0</v>
      </c>
      <c r="FF112" s="20">
        <v>0</v>
      </c>
      <c r="FG112" s="20">
        <v>0</v>
      </c>
      <c r="FH112" s="20">
        <v>0</v>
      </c>
      <c r="FI112" s="20">
        <v>0</v>
      </c>
      <c r="FJ112" s="10"/>
      <c r="FK112" s="10"/>
      <c r="FL112" s="10"/>
      <c r="FM112" s="10"/>
      <c r="FN112" s="10"/>
      <c r="FO112" s="20">
        <f t="shared" ref="FO112:FO117" si="176">FI112</f>
        <v>0</v>
      </c>
    </row>
    <row r="113" spans="1:171" ht="27.75" customHeight="1">
      <c r="A113" s="10"/>
      <c r="B113" s="19" t="s">
        <v>44</v>
      </c>
      <c r="C113" s="20">
        <v>0</v>
      </c>
      <c r="D113" s="20">
        <v>0</v>
      </c>
      <c r="E113" s="20">
        <v>0</v>
      </c>
      <c r="F113" s="20">
        <v>0</v>
      </c>
      <c r="G113" s="20">
        <v>0</v>
      </c>
      <c r="H113" s="20">
        <v>0</v>
      </c>
      <c r="I113" s="20">
        <v>0</v>
      </c>
      <c r="J113" s="20">
        <v>0</v>
      </c>
      <c r="K113" s="20">
        <v>0</v>
      </c>
      <c r="L113" s="20">
        <v>0</v>
      </c>
      <c r="M113" s="20">
        <v>0</v>
      </c>
      <c r="N113" s="20">
        <v>0</v>
      </c>
      <c r="O113" s="20">
        <f t="shared" si="164"/>
        <v>0</v>
      </c>
      <c r="P113" s="20">
        <v>0</v>
      </c>
      <c r="Q113" s="20">
        <v>0</v>
      </c>
      <c r="R113" s="20">
        <v>0</v>
      </c>
      <c r="S113" s="20">
        <v>0</v>
      </c>
      <c r="T113" s="20">
        <v>0</v>
      </c>
      <c r="U113" s="20">
        <v>0</v>
      </c>
      <c r="V113" s="20">
        <v>0</v>
      </c>
      <c r="W113" s="20">
        <v>0</v>
      </c>
      <c r="X113" s="20">
        <v>0</v>
      </c>
      <c r="Y113" s="20">
        <v>0</v>
      </c>
      <c r="Z113" s="20">
        <v>0</v>
      </c>
      <c r="AA113" s="20">
        <v>0</v>
      </c>
      <c r="AB113" s="20">
        <f t="shared" si="165"/>
        <v>0</v>
      </c>
      <c r="AC113" s="20">
        <v>0</v>
      </c>
      <c r="AD113" s="20">
        <v>0</v>
      </c>
      <c r="AE113" s="20">
        <v>0</v>
      </c>
      <c r="AF113" s="20">
        <v>0</v>
      </c>
      <c r="AG113" s="20">
        <v>0</v>
      </c>
      <c r="AH113" s="20">
        <v>0</v>
      </c>
      <c r="AI113" s="20">
        <v>0</v>
      </c>
      <c r="AJ113" s="20">
        <v>0</v>
      </c>
      <c r="AK113" s="20">
        <v>0</v>
      </c>
      <c r="AL113" s="20">
        <v>0</v>
      </c>
      <c r="AM113" s="20">
        <v>0</v>
      </c>
      <c r="AN113" s="20">
        <v>0</v>
      </c>
      <c r="AO113" s="20">
        <f t="shared" si="166"/>
        <v>0</v>
      </c>
      <c r="AP113" s="20">
        <v>0</v>
      </c>
      <c r="AQ113" s="20">
        <v>0</v>
      </c>
      <c r="AR113" s="20">
        <v>0</v>
      </c>
      <c r="AS113" s="20">
        <v>0</v>
      </c>
      <c r="AT113" s="20">
        <v>0</v>
      </c>
      <c r="AU113" s="20">
        <v>0</v>
      </c>
      <c r="AV113" s="20">
        <v>0</v>
      </c>
      <c r="AW113" s="20">
        <v>0</v>
      </c>
      <c r="AX113" s="20">
        <v>0</v>
      </c>
      <c r="AY113" s="20">
        <v>0</v>
      </c>
      <c r="AZ113" s="20">
        <v>0</v>
      </c>
      <c r="BA113" s="20">
        <v>0</v>
      </c>
      <c r="BB113" s="20">
        <f t="shared" si="167"/>
        <v>0</v>
      </c>
      <c r="BC113" s="20">
        <v>0</v>
      </c>
      <c r="BD113" s="20">
        <v>0</v>
      </c>
      <c r="BE113" s="20">
        <v>0</v>
      </c>
      <c r="BF113" s="20">
        <v>0</v>
      </c>
      <c r="BG113" s="20">
        <v>0</v>
      </c>
      <c r="BH113" s="20">
        <v>0</v>
      </c>
      <c r="BI113" s="20">
        <v>0</v>
      </c>
      <c r="BJ113" s="20">
        <v>0</v>
      </c>
      <c r="BK113" s="20">
        <v>0</v>
      </c>
      <c r="BL113" s="20">
        <v>0</v>
      </c>
      <c r="BM113" s="20">
        <v>0</v>
      </c>
      <c r="BN113" s="20">
        <v>0</v>
      </c>
      <c r="BO113" s="20">
        <f t="shared" si="168"/>
        <v>0</v>
      </c>
      <c r="BP113" s="20">
        <v>0</v>
      </c>
      <c r="BQ113" s="20">
        <v>0</v>
      </c>
      <c r="BR113" s="20">
        <v>0</v>
      </c>
      <c r="BS113" s="20">
        <v>0</v>
      </c>
      <c r="BT113" s="20">
        <v>0</v>
      </c>
      <c r="BU113" s="20">
        <v>0</v>
      </c>
      <c r="BV113" s="20">
        <v>0</v>
      </c>
      <c r="BW113" s="20">
        <v>0</v>
      </c>
      <c r="BX113" s="20">
        <v>0</v>
      </c>
      <c r="BY113" s="20">
        <v>0</v>
      </c>
      <c r="BZ113" s="20">
        <v>0</v>
      </c>
      <c r="CA113" s="20">
        <v>0</v>
      </c>
      <c r="CB113" s="20">
        <f t="shared" si="169"/>
        <v>0</v>
      </c>
      <c r="CC113" s="20">
        <v>0</v>
      </c>
      <c r="CD113" s="20">
        <v>0</v>
      </c>
      <c r="CE113" s="20">
        <v>0</v>
      </c>
      <c r="CF113" s="20">
        <v>0</v>
      </c>
      <c r="CG113" s="20">
        <v>0</v>
      </c>
      <c r="CH113" s="20">
        <v>0</v>
      </c>
      <c r="CI113" s="20">
        <v>0</v>
      </c>
      <c r="CJ113" s="20">
        <v>0</v>
      </c>
      <c r="CK113" s="20">
        <v>0</v>
      </c>
      <c r="CL113" s="20">
        <v>0</v>
      </c>
      <c r="CM113" s="20">
        <v>0</v>
      </c>
      <c r="CN113" s="20">
        <v>0</v>
      </c>
      <c r="CO113" s="20">
        <f t="shared" si="170"/>
        <v>0</v>
      </c>
      <c r="CP113" s="20">
        <v>0</v>
      </c>
      <c r="CQ113" s="20">
        <v>0</v>
      </c>
      <c r="CR113" s="20">
        <v>0</v>
      </c>
      <c r="CS113" s="20">
        <v>0</v>
      </c>
      <c r="CT113" s="20">
        <v>0</v>
      </c>
      <c r="CU113" s="20">
        <v>0</v>
      </c>
      <c r="CV113" s="20">
        <v>0</v>
      </c>
      <c r="CW113" s="20">
        <v>0</v>
      </c>
      <c r="CX113" s="20">
        <v>0</v>
      </c>
      <c r="CY113" s="20">
        <v>0</v>
      </c>
      <c r="CZ113" s="20">
        <v>0</v>
      </c>
      <c r="DA113" s="20">
        <v>0</v>
      </c>
      <c r="DB113" s="20">
        <f t="shared" si="171"/>
        <v>0</v>
      </c>
      <c r="DC113" s="20">
        <v>0</v>
      </c>
      <c r="DD113" s="20">
        <v>0</v>
      </c>
      <c r="DE113" s="20">
        <v>0</v>
      </c>
      <c r="DF113" s="20">
        <v>0</v>
      </c>
      <c r="DG113" s="20">
        <v>0</v>
      </c>
      <c r="DH113" s="20">
        <v>0</v>
      </c>
      <c r="DI113" s="20">
        <v>0</v>
      </c>
      <c r="DJ113" s="20">
        <v>0</v>
      </c>
      <c r="DK113" s="20">
        <v>0</v>
      </c>
      <c r="DL113" s="20">
        <v>0</v>
      </c>
      <c r="DM113" s="20">
        <v>0</v>
      </c>
      <c r="DN113" s="20">
        <v>0</v>
      </c>
      <c r="DO113" s="20">
        <f t="shared" si="172"/>
        <v>0</v>
      </c>
      <c r="DP113" s="20">
        <v>0</v>
      </c>
      <c r="DQ113" s="20">
        <v>0</v>
      </c>
      <c r="DR113" s="20">
        <v>0</v>
      </c>
      <c r="DS113" s="20">
        <v>0</v>
      </c>
      <c r="DT113" s="20">
        <v>0</v>
      </c>
      <c r="DU113" s="20">
        <v>0</v>
      </c>
      <c r="DV113" s="20">
        <v>0</v>
      </c>
      <c r="DW113" s="20">
        <v>0</v>
      </c>
      <c r="DX113" s="20">
        <v>0</v>
      </c>
      <c r="DY113" s="20">
        <v>0</v>
      </c>
      <c r="DZ113" s="20">
        <v>0</v>
      </c>
      <c r="EA113" s="20">
        <v>0</v>
      </c>
      <c r="EB113" s="20">
        <f t="shared" si="173"/>
        <v>0</v>
      </c>
      <c r="EC113" s="20">
        <v>0</v>
      </c>
      <c r="ED113" s="20">
        <v>0</v>
      </c>
      <c r="EE113" s="20">
        <v>0</v>
      </c>
      <c r="EF113" s="20">
        <v>0</v>
      </c>
      <c r="EG113" s="20">
        <v>0</v>
      </c>
      <c r="EH113" s="20">
        <v>0</v>
      </c>
      <c r="EI113" s="20">
        <v>0</v>
      </c>
      <c r="EJ113" s="20">
        <v>0</v>
      </c>
      <c r="EK113" s="20">
        <v>0</v>
      </c>
      <c r="EL113" s="20">
        <v>0</v>
      </c>
      <c r="EM113" s="20">
        <v>0</v>
      </c>
      <c r="EN113" s="20">
        <v>0</v>
      </c>
      <c r="EO113" s="20">
        <f t="shared" si="174"/>
        <v>0</v>
      </c>
      <c r="EP113" s="20">
        <v>0</v>
      </c>
      <c r="EQ113" s="20">
        <v>0</v>
      </c>
      <c r="ER113" s="20">
        <v>0</v>
      </c>
      <c r="ES113" s="20">
        <v>0</v>
      </c>
      <c r="ET113" s="20">
        <v>0</v>
      </c>
      <c r="EU113" s="20">
        <v>0</v>
      </c>
      <c r="EV113" s="20">
        <v>0</v>
      </c>
      <c r="EW113" s="20">
        <v>0</v>
      </c>
      <c r="EX113" s="20">
        <v>0</v>
      </c>
      <c r="EY113" s="20">
        <v>0</v>
      </c>
      <c r="EZ113" s="20">
        <v>0</v>
      </c>
      <c r="FA113" s="20">
        <v>0</v>
      </c>
      <c r="FB113" s="20">
        <f t="shared" si="175"/>
        <v>0</v>
      </c>
      <c r="FC113" s="20">
        <v>0</v>
      </c>
      <c r="FD113" s="20">
        <v>0</v>
      </c>
      <c r="FE113" s="20">
        <v>0</v>
      </c>
      <c r="FF113" s="20">
        <v>0</v>
      </c>
      <c r="FG113" s="20">
        <v>0</v>
      </c>
      <c r="FH113" s="20">
        <v>0</v>
      </c>
      <c r="FI113" s="20">
        <v>0</v>
      </c>
      <c r="FJ113" s="10"/>
      <c r="FK113" s="10"/>
      <c r="FL113" s="10"/>
      <c r="FM113" s="10"/>
      <c r="FN113" s="10"/>
      <c r="FO113" s="20">
        <f t="shared" si="176"/>
        <v>0</v>
      </c>
    </row>
    <row r="114" spans="1:171" ht="27.75" customHeight="1">
      <c r="A114" s="10"/>
      <c r="B114" s="19" t="s">
        <v>45</v>
      </c>
      <c r="C114" s="20">
        <v>0</v>
      </c>
      <c r="D114" s="20">
        <v>0</v>
      </c>
      <c r="E114" s="20">
        <v>0</v>
      </c>
      <c r="F114" s="20">
        <v>0</v>
      </c>
      <c r="G114" s="20">
        <v>0</v>
      </c>
      <c r="H114" s="20">
        <v>0</v>
      </c>
      <c r="I114" s="20">
        <v>0</v>
      </c>
      <c r="J114" s="20">
        <v>0</v>
      </c>
      <c r="K114" s="20">
        <v>0</v>
      </c>
      <c r="L114" s="20">
        <v>0</v>
      </c>
      <c r="M114" s="20">
        <v>0</v>
      </c>
      <c r="N114" s="20">
        <v>0</v>
      </c>
      <c r="O114" s="20">
        <f t="shared" si="164"/>
        <v>0</v>
      </c>
      <c r="P114" s="20">
        <v>0</v>
      </c>
      <c r="Q114" s="20">
        <v>0</v>
      </c>
      <c r="R114" s="20">
        <v>0</v>
      </c>
      <c r="S114" s="20">
        <v>0</v>
      </c>
      <c r="T114" s="20">
        <v>0</v>
      </c>
      <c r="U114" s="20">
        <v>0</v>
      </c>
      <c r="V114" s="20">
        <v>0</v>
      </c>
      <c r="W114" s="20">
        <v>0</v>
      </c>
      <c r="X114" s="20">
        <v>0</v>
      </c>
      <c r="Y114" s="20">
        <v>0</v>
      </c>
      <c r="Z114" s="20">
        <v>0</v>
      </c>
      <c r="AA114" s="20">
        <v>0</v>
      </c>
      <c r="AB114" s="20">
        <f t="shared" si="165"/>
        <v>0</v>
      </c>
      <c r="AC114" s="20">
        <v>0</v>
      </c>
      <c r="AD114" s="20">
        <v>0</v>
      </c>
      <c r="AE114" s="20">
        <v>0</v>
      </c>
      <c r="AF114" s="20">
        <v>0</v>
      </c>
      <c r="AG114" s="20">
        <v>0</v>
      </c>
      <c r="AH114" s="20">
        <v>0</v>
      </c>
      <c r="AI114" s="20">
        <v>0</v>
      </c>
      <c r="AJ114" s="20">
        <v>0</v>
      </c>
      <c r="AK114" s="20">
        <v>0</v>
      </c>
      <c r="AL114" s="20">
        <v>0</v>
      </c>
      <c r="AM114" s="20">
        <v>0</v>
      </c>
      <c r="AN114" s="20">
        <v>0</v>
      </c>
      <c r="AO114" s="20">
        <f t="shared" si="166"/>
        <v>0</v>
      </c>
      <c r="AP114" s="20">
        <v>0</v>
      </c>
      <c r="AQ114" s="20">
        <v>0</v>
      </c>
      <c r="AR114" s="20">
        <v>0</v>
      </c>
      <c r="AS114" s="20">
        <v>0</v>
      </c>
      <c r="AT114" s="20">
        <v>0</v>
      </c>
      <c r="AU114" s="20">
        <v>0</v>
      </c>
      <c r="AV114" s="20">
        <v>0</v>
      </c>
      <c r="AW114" s="20">
        <v>0</v>
      </c>
      <c r="AX114" s="20">
        <v>0</v>
      </c>
      <c r="AY114" s="20">
        <v>0</v>
      </c>
      <c r="AZ114" s="20">
        <v>0</v>
      </c>
      <c r="BA114" s="20">
        <v>0</v>
      </c>
      <c r="BB114" s="20">
        <f t="shared" si="167"/>
        <v>0</v>
      </c>
      <c r="BC114" s="20">
        <v>0</v>
      </c>
      <c r="BD114" s="20">
        <v>0</v>
      </c>
      <c r="BE114" s="20">
        <v>0</v>
      </c>
      <c r="BF114" s="20">
        <v>0</v>
      </c>
      <c r="BG114" s="20">
        <v>0</v>
      </c>
      <c r="BH114" s="20">
        <v>0</v>
      </c>
      <c r="BI114" s="20">
        <v>0</v>
      </c>
      <c r="BJ114" s="20">
        <v>0</v>
      </c>
      <c r="BK114" s="20">
        <v>0</v>
      </c>
      <c r="BL114" s="20">
        <v>0</v>
      </c>
      <c r="BM114" s="20">
        <v>0</v>
      </c>
      <c r="BN114" s="20">
        <v>0</v>
      </c>
      <c r="BO114" s="20">
        <f t="shared" si="168"/>
        <v>0</v>
      </c>
      <c r="BP114" s="20">
        <v>0</v>
      </c>
      <c r="BQ114" s="20">
        <v>0</v>
      </c>
      <c r="BR114" s="20">
        <v>0</v>
      </c>
      <c r="BS114" s="20">
        <v>0</v>
      </c>
      <c r="BT114" s="20">
        <v>0</v>
      </c>
      <c r="BU114" s="20">
        <v>0</v>
      </c>
      <c r="BV114" s="20">
        <v>0</v>
      </c>
      <c r="BW114" s="20">
        <v>0</v>
      </c>
      <c r="BX114" s="20">
        <v>0</v>
      </c>
      <c r="BY114" s="20">
        <v>0</v>
      </c>
      <c r="BZ114" s="20">
        <v>0</v>
      </c>
      <c r="CA114" s="20">
        <v>0</v>
      </c>
      <c r="CB114" s="20">
        <f t="shared" si="169"/>
        <v>0</v>
      </c>
      <c r="CC114" s="20">
        <v>0</v>
      </c>
      <c r="CD114" s="20">
        <v>0</v>
      </c>
      <c r="CE114" s="20">
        <v>0</v>
      </c>
      <c r="CF114" s="20">
        <v>0</v>
      </c>
      <c r="CG114" s="20">
        <v>0</v>
      </c>
      <c r="CH114" s="20">
        <v>0</v>
      </c>
      <c r="CI114" s="20">
        <v>0</v>
      </c>
      <c r="CJ114" s="20">
        <v>0</v>
      </c>
      <c r="CK114" s="20">
        <v>0</v>
      </c>
      <c r="CL114" s="20">
        <v>0</v>
      </c>
      <c r="CM114" s="20">
        <v>0</v>
      </c>
      <c r="CN114" s="20">
        <v>0</v>
      </c>
      <c r="CO114" s="20">
        <f t="shared" si="170"/>
        <v>0</v>
      </c>
      <c r="CP114" s="20">
        <v>0</v>
      </c>
      <c r="CQ114" s="20">
        <v>0</v>
      </c>
      <c r="CR114" s="20">
        <v>0</v>
      </c>
      <c r="CS114" s="20">
        <v>0</v>
      </c>
      <c r="CT114" s="20">
        <v>0</v>
      </c>
      <c r="CU114" s="20">
        <v>0</v>
      </c>
      <c r="CV114" s="20">
        <v>0</v>
      </c>
      <c r="CW114" s="20">
        <v>0</v>
      </c>
      <c r="CX114" s="20">
        <v>0</v>
      </c>
      <c r="CY114" s="20">
        <v>0</v>
      </c>
      <c r="CZ114" s="20">
        <v>0</v>
      </c>
      <c r="DA114" s="20">
        <v>0</v>
      </c>
      <c r="DB114" s="20">
        <f t="shared" si="171"/>
        <v>0</v>
      </c>
      <c r="DC114" s="20">
        <v>0</v>
      </c>
      <c r="DD114" s="20">
        <v>0</v>
      </c>
      <c r="DE114" s="20">
        <v>0</v>
      </c>
      <c r="DF114" s="20">
        <v>0</v>
      </c>
      <c r="DG114" s="20">
        <v>0</v>
      </c>
      <c r="DH114" s="20">
        <v>0</v>
      </c>
      <c r="DI114" s="20">
        <v>0</v>
      </c>
      <c r="DJ114" s="20">
        <v>0</v>
      </c>
      <c r="DK114" s="20">
        <v>0</v>
      </c>
      <c r="DL114" s="20">
        <v>0</v>
      </c>
      <c r="DM114" s="20">
        <v>0</v>
      </c>
      <c r="DN114" s="20">
        <v>0</v>
      </c>
      <c r="DO114" s="20">
        <f t="shared" si="172"/>
        <v>0</v>
      </c>
      <c r="DP114" s="20">
        <v>0</v>
      </c>
      <c r="DQ114" s="20">
        <v>0</v>
      </c>
      <c r="DR114" s="20">
        <v>0</v>
      </c>
      <c r="DS114" s="20">
        <v>0</v>
      </c>
      <c r="DT114" s="20">
        <v>0</v>
      </c>
      <c r="DU114" s="20">
        <v>0</v>
      </c>
      <c r="DV114" s="20">
        <v>1050</v>
      </c>
      <c r="DW114" s="20">
        <v>1050</v>
      </c>
      <c r="DX114" s="20">
        <v>37795</v>
      </c>
      <c r="DY114" s="20">
        <v>169483</v>
      </c>
      <c r="DZ114" s="20">
        <v>843033</v>
      </c>
      <c r="EA114" s="20">
        <v>3861859</v>
      </c>
      <c r="EB114" s="20">
        <f t="shared" si="173"/>
        <v>3861859</v>
      </c>
      <c r="EC114" s="20">
        <v>0</v>
      </c>
      <c r="ED114" s="20">
        <v>0</v>
      </c>
      <c r="EE114" s="20">
        <v>0</v>
      </c>
      <c r="EF114" s="20">
        <v>0</v>
      </c>
      <c r="EG114" s="20">
        <v>0</v>
      </c>
      <c r="EH114" s="20">
        <v>0</v>
      </c>
      <c r="EI114" s="20">
        <v>0</v>
      </c>
      <c r="EJ114" s="20">
        <v>0</v>
      </c>
      <c r="EK114" s="20">
        <v>0</v>
      </c>
      <c r="EL114" s="20">
        <v>0</v>
      </c>
      <c r="EM114" s="20">
        <v>0</v>
      </c>
      <c r="EN114" s="20">
        <v>0</v>
      </c>
      <c r="EO114" s="20">
        <f t="shared" si="174"/>
        <v>0</v>
      </c>
      <c r="EP114" s="20">
        <v>0</v>
      </c>
      <c r="EQ114" s="20">
        <v>0</v>
      </c>
      <c r="ER114" s="20">
        <v>0</v>
      </c>
      <c r="ES114" s="20">
        <v>0</v>
      </c>
      <c r="ET114" s="20">
        <v>0</v>
      </c>
      <c r="EU114" s="20">
        <v>0</v>
      </c>
      <c r="EV114" s="20">
        <v>0</v>
      </c>
      <c r="EW114" s="20">
        <v>0</v>
      </c>
      <c r="EX114" s="20">
        <v>0</v>
      </c>
      <c r="EY114" s="20">
        <v>0</v>
      </c>
      <c r="EZ114" s="20">
        <v>0</v>
      </c>
      <c r="FA114" s="20">
        <v>0</v>
      </c>
      <c r="FB114" s="20">
        <f t="shared" si="175"/>
        <v>0</v>
      </c>
      <c r="FC114" s="20">
        <v>0</v>
      </c>
      <c r="FD114" s="20">
        <v>0</v>
      </c>
      <c r="FE114" s="20">
        <v>0</v>
      </c>
      <c r="FF114" s="20">
        <v>0</v>
      </c>
      <c r="FG114" s="20">
        <v>0</v>
      </c>
      <c r="FH114" s="20">
        <v>0</v>
      </c>
      <c r="FI114" s="20">
        <v>0</v>
      </c>
      <c r="FJ114" s="10"/>
      <c r="FK114" s="10"/>
      <c r="FL114" s="10"/>
      <c r="FM114" s="10"/>
      <c r="FN114" s="10"/>
      <c r="FO114" s="20">
        <f t="shared" si="176"/>
        <v>0</v>
      </c>
    </row>
    <row r="115" spans="1:171" ht="27.75" customHeight="1">
      <c r="A115" s="10"/>
      <c r="B115" s="19" t="s">
        <v>46</v>
      </c>
      <c r="C115" s="20">
        <v>0</v>
      </c>
      <c r="D115" s="20">
        <v>0</v>
      </c>
      <c r="E115" s="20">
        <v>0</v>
      </c>
      <c r="F115" s="20">
        <v>0</v>
      </c>
      <c r="G115" s="20">
        <v>0</v>
      </c>
      <c r="H115" s="20">
        <v>0</v>
      </c>
      <c r="I115" s="20">
        <v>0</v>
      </c>
      <c r="J115" s="20">
        <v>0</v>
      </c>
      <c r="K115" s="20">
        <v>0</v>
      </c>
      <c r="L115" s="20">
        <v>0</v>
      </c>
      <c r="M115" s="20">
        <v>0</v>
      </c>
      <c r="N115" s="20">
        <v>0</v>
      </c>
      <c r="O115" s="20">
        <f t="shared" si="164"/>
        <v>0</v>
      </c>
      <c r="P115" s="20">
        <v>0</v>
      </c>
      <c r="Q115" s="20">
        <v>0</v>
      </c>
      <c r="R115" s="20">
        <v>0</v>
      </c>
      <c r="S115" s="20">
        <v>0</v>
      </c>
      <c r="T115" s="20">
        <v>0</v>
      </c>
      <c r="U115" s="20">
        <v>0</v>
      </c>
      <c r="V115" s="20">
        <v>0</v>
      </c>
      <c r="W115" s="20">
        <v>0</v>
      </c>
      <c r="X115" s="20">
        <v>0</v>
      </c>
      <c r="Y115" s="20">
        <v>0</v>
      </c>
      <c r="Z115" s="20">
        <v>0</v>
      </c>
      <c r="AA115" s="20">
        <v>0</v>
      </c>
      <c r="AB115" s="20">
        <f t="shared" si="165"/>
        <v>0</v>
      </c>
      <c r="AC115" s="20">
        <v>0</v>
      </c>
      <c r="AD115" s="20">
        <v>0</v>
      </c>
      <c r="AE115" s="20">
        <v>0</v>
      </c>
      <c r="AF115" s="20">
        <v>0</v>
      </c>
      <c r="AG115" s="20">
        <v>0</v>
      </c>
      <c r="AH115" s="20">
        <v>0</v>
      </c>
      <c r="AI115" s="20">
        <v>0</v>
      </c>
      <c r="AJ115" s="20">
        <v>0</v>
      </c>
      <c r="AK115" s="20">
        <v>0</v>
      </c>
      <c r="AL115" s="20">
        <v>0</v>
      </c>
      <c r="AM115" s="20">
        <v>0</v>
      </c>
      <c r="AN115" s="20">
        <v>0</v>
      </c>
      <c r="AO115" s="20">
        <f t="shared" si="166"/>
        <v>0</v>
      </c>
      <c r="AP115" s="20">
        <v>0</v>
      </c>
      <c r="AQ115" s="20">
        <v>0</v>
      </c>
      <c r="AR115" s="20">
        <v>0</v>
      </c>
      <c r="AS115" s="20">
        <v>0</v>
      </c>
      <c r="AT115" s="20">
        <v>0</v>
      </c>
      <c r="AU115" s="20">
        <v>0</v>
      </c>
      <c r="AV115" s="20">
        <v>0</v>
      </c>
      <c r="AW115" s="20">
        <v>0</v>
      </c>
      <c r="AX115" s="20">
        <v>0</v>
      </c>
      <c r="AY115" s="20">
        <v>0</v>
      </c>
      <c r="AZ115" s="20">
        <v>0</v>
      </c>
      <c r="BA115" s="20">
        <v>0</v>
      </c>
      <c r="BB115" s="20">
        <f t="shared" si="167"/>
        <v>0</v>
      </c>
      <c r="BC115" s="20">
        <v>0</v>
      </c>
      <c r="BD115" s="20">
        <v>0</v>
      </c>
      <c r="BE115" s="20">
        <v>0</v>
      </c>
      <c r="BF115" s="20">
        <v>0</v>
      </c>
      <c r="BG115" s="20">
        <v>0</v>
      </c>
      <c r="BH115" s="20">
        <v>0</v>
      </c>
      <c r="BI115" s="20">
        <v>0</v>
      </c>
      <c r="BJ115" s="20">
        <v>0</v>
      </c>
      <c r="BK115" s="20">
        <v>0</v>
      </c>
      <c r="BL115" s="20">
        <v>0</v>
      </c>
      <c r="BM115" s="20">
        <v>0</v>
      </c>
      <c r="BN115" s="20">
        <v>0</v>
      </c>
      <c r="BO115" s="20">
        <f t="shared" si="168"/>
        <v>0</v>
      </c>
      <c r="BP115" s="20">
        <v>0</v>
      </c>
      <c r="BQ115" s="20">
        <v>0</v>
      </c>
      <c r="BR115" s="20">
        <v>0</v>
      </c>
      <c r="BS115" s="20">
        <v>0</v>
      </c>
      <c r="BT115" s="20">
        <v>0</v>
      </c>
      <c r="BU115" s="20">
        <v>0</v>
      </c>
      <c r="BV115" s="20">
        <v>0</v>
      </c>
      <c r="BW115" s="20">
        <v>0</v>
      </c>
      <c r="BX115" s="20">
        <v>0</v>
      </c>
      <c r="BY115" s="20">
        <v>0</v>
      </c>
      <c r="BZ115" s="20">
        <v>0</v>
      </c>
      <c r="CA115" s="20">
        <v>0</v>
      </c>
      <c r="CB115" s="20">
        <f t="shared" si="169"/>
        <v>0</v>
      </c>
      <c r="CC115" s="20">
        <v>0</v>
      </c>
      <c r="CD115" s="20">
        <v>0</v>
      </c>
      <c r="CE115" s="20">
        <v>0</v>
      </c>
      <c r="CF115" s="20">
        <v>0</v>
      </c>
      <c r="CG115" s="20">
        <v>0</v>
      </c>
      <c r="CH115" s="20">
        <v>0</v>
      </c>
      <c r="CI115" s="20">
        <v>0</v>
      </c>
      <c r="CJ115" s="20">
        <v>0</v>
      </c>
      <c r="CK115" s="20">
        <v>0</v>
      </c>
      <c r="CL115" s="20">
        <v>0</v>
      </c>
      <c r="CM115" s="20">
        <v>0</v>
      </c>
      <c r="CN115" s="20">
        <v>0</v>
      </c>
      <c r="CO115" s="20">
        <f t="shared" si="170"/>
        <v>0</v>
      </c>
      <c r="CP115" s="20">
        <v>0</v>
      </c>
      <c r="CQ115" s="20">
        <v>0</v>
      </c>
      <c r="CR115" s="20">
        <v>0</v>
      </c>
      <c r="CS115" s="20">
        <v>0</v>
      </c>
      <c r="CT115" s="20">
        <v>0</v>
      </c>
      <c r="CU115" s="20">
        <v>0</v>
      </c>
      <c r="CV115" s="20">
        <v>0</v>
      </c>
      <c r="CW115" s="20">
        <v>0</v>
      </c>
      <c r="CX115" s="20">
        <v>0</v>
      </c>
      <c r="CY115" s="20">
        <v>0</v>
      </c>
      <c r="CZ115" s="20">
        <v>0</v>
      </c>
      <c r="DA115" s="20">
        <v>0</v>
      </c>
      <c r="DB115" s="20">
        <f t="shared" si="171"/>
        <v>0</v>
      </c>
      <c r="DC115" s="20">
        <v>0</v>
      </c>
      <c r="DD115" s="20">
        <v>0</v>
      </c>
      <c r="DE115" s="20">
        <v>0</v>
      </c>
      <c r="DF115" s="20">
        <v>0</v>
      </c>
      <c r="DG115" s="20">
        <v>0</v>
      </c>
      <c r="DH115" s="20">
        <v>0</v>
      </c>
      <c r="DI115" s="20">
        <v>0</v>
      </c>
      <c r="DJ115" s="20">
        <v>0</v>
      </c>
      <c r="DK115" s="20">
        <v>0</v>
      </c>
      <c r="DL115" s="20">
        <v>0</v>
      </c>
      <c r="DM115" s="20">
        <v>0</v>
      </c>
      <c r="DN115" s="20">
        <v>0</v>
      </c>
      <c r="DO115" s="20">
        <f t="shared" si="172"/>
        <v>0</v>
      </c>
      <c r="DP115" s="20">
        <v>0</v>
      </c>
      <c r="DQ115" s="20">
        <v>0</v>
      </c>
      <c r="DR115" s="20">
        <v>0</v>
      </c>
      <c r="DS115" s="20">
        <v>0</v>
      </c>
      <c r="DT115" s="20">
        <v>0</v>
      </c>
      <c r="DU115" s="20">
        <v>0</v>
      </c>
      <c r="DV115" s="20">
        <v>0</v>
      </c>
      <c r="DW115" s="20">
        <v>0</v>
      </c>
      <c r="DX115" s="20">
        <v>0</v>
      </c>
      <c r="DY115" s="20">
        <v>0</v>
      </c>
      <c r="DZ115" s="20">
        <v>0</v>
      </c>
      <c r="EA115" s="20">
        <v>0</v>
      </c>
      <c r="EB115" s="20">
        <f t="shared" si="173"/>
        <v>0</v>
      </c>
      <c r="EC115" s="20">
        <v>0</v>
      </c>
      <c r="ED115" s="20">
        <v>0</v>
      </c>
      <c r="EE115" s="20">
        <v>0</v>
      </c>
      <c r="EF115" s="20">
        <v>0</v>
      </c>
      <c r="EG115" s="20">
        <v>0</v>
      </c>
      <c r="EH115" s="20">
        <v>0</v>
      </c>
      <c r="EI115" s="20">
        <v>0</v>
      </c>
      <c r="EJ115" s="20">
        <v>0</v>
      </c>
      <c r="EK115" s="20">
        <v>0</v>
      </c>
      <c r="EL115" s="20">
        <v>0</v>
      </c>
      <c r="EM115" s="20">
        <v>0</v>
      </c>
      <c r="EN115" s="20">
        <v>0</v>
      </c>
      <c r="EO115" s="20">
        <f t="shared" si="174"/>
        <v>0</v>
      </c>
      <c r="EP115" s="20">
        <v>0</v>
      </c>
      <c r="EQ115" s="20">
        <v>0</v>
      </c>
      <c r="ER115" s="20">
        <v>0</v>
      </c>
      <c r="ES115" s="20">
        <v>0</v>
      </c>
      <c r="ET115" s="20">
        <v>0</v>
      </c>
      <c r="EU115" s="20">
        <v>0</v>
      </c>
      <c r="EV115" s="20">
        <v>0</v>
      </c>
      <c r="EW115" s="20">
        <v>0</v>
      </c>
      <c r="EX115" s="20">
        <v>0</v>
      </c>
      <c r="EY115" s="20">
        <v>0</v>
      </c>
      <c r="EZ115" s="20">
        <v>0</v>
      </c>
      <c r="FA115" s="20">
        <v>0</v>
      </c>
      <c r="FB115" s="20">
        <f t="shared" si="175"/>
        <v>0</v>
      </c>
      <c r="FC115" s="20">
        <v>0</v>
      </c>
      <c r="FD115" s="20">
        <v>0</v>
      </c>
      <c r="FE115" s="20">
        <v>0</v>
      </c>
      <c r="FF115" s="20">
        <v>0</v>
      </c>
      <c r="FG115" s="20">
        <v>0</v>
      </c>
      <c r="FH115" s="20">
        <v>0</v>
      </c>
      <c r="FI115" s="20">
        <v>0</v>
      </c>
      <c r="FJ115" s="10"/>
      <c r="FK115" s="10"/>
      <c r="FL115" s="10"/>
      <c r="FM115" s="10"/>
      <c r="FN115" s="10"/>
      <c r="FO115" s="20">
        <f t="shared" si="176"/>
        <v>0</v>
      </c>
    </row>
    <row r="116" spans="1:171" ht="27.75" customHeight="1">
      <c r="A116" s="10"/>
      <c r="B116" s="19" t="s">
        <v>47</v>
      </c>
      <c r="C116" s="20">
        <v>0</v>
      </c>
      <c r="D116" s="20">
        <v>0</v>
      </c>
      <c r="E116" s="20">
        <v>0</v>
      </c>
      <c r="F116" s="20">
        <v>0</v>
      </c>
      <c r="G116" s="20">
        <v>0</v>
      </c>
      <c r="H116" s="20">
        <v>0</v>
      </c>
      <c r="I116" s="20">
        <v>0</v>
      </c>
      <c r="J116" s="20">
        <v>0</v>
      </c>
      <c r="K116" s="20">
        <v>0</v>
      </c>
      <c r="L116" s="20">
        <v>0</v>
      </c>
      <c r="M116" s="20">
        <v>0</v>
      </c>
      <c r="N116" s="20">
        <v>0</v>
      </c>
      <c r="O116" s="20">
        <f t="shared" si="164"/>
        <v>0</v>
      </c>
      <c r="P116" s="20">
        <v>0</v>
      </c>
      <c r="Q116" s="20">
        <v>0</v>
      </c>
      <c r="R116" s="20">
        <v>0</v>
      </c>
      <c r="S116" s="20">
        <v>0</v>
      </c>
      <c r="T116" s="20">
        <v>0</v>
      </c>
      <c r="U116" s="20">
        <v>0</v>
      </c>
      <c r="V116" s="20">
        <v>0</v>
      </c>
      <c r="W116" s="20">
        <v>0</v>
      </c>
      <c r="X116" s="20">
        <v>0</v>
      </c>
      <c r="Y116" s="20">
        <v>0</v>
      </c>
      <c r="Z116" s="20">
        <v>0</v>
      </c>
      <c r="AA116" s="20">
        <v>0</v>
      </c>
      <c r="AB116" s="20">
        <f t="shared" si="165"/>
        <v>0</v>
      </c>
      <c r="AC116" s="20">
        <v>0</v>
      </c>
      <c r="AD116" s="20">
        <v>0</v>
      </c>
      <c r="AE116" s="20">
        <v>0</v>
      </c>
      <c r="AF116" s="20">
        <v>0</v>
      </c>
      <c r="AG116" s="20">
        <v>0</v>
      </c>
      <c r="AH116" s="20">
        <v>0</v>
      </c>
      <c r="AI116" s="20">
        <v>0</v>
      </c>
      <c r="AJ116" s="20">
        <v>0</v>
      </c>
      <c r="AK116" s="20">
        <v>0</v>
      </c>
      <c r="AL116" s="20">
        <v>0</v>
      </c>
      <c r="AM116" s="20">
        <v>0</v>
      </c>
      <c r="AN116" s="20">
        <v>0</v>
      </c>
      <c r="AO116" s="20">
        <f t="shared" si="166"/>
        <v>0</v>
      </c>
      <c r="AP116" s="20">
        <v>0</v>
      </c>
      <c r="AQ116" s="20">
        <v>0</v>
      </c>
      <c r="AR116" s="20">
        <v>0</v>
      </c>
      <c r="AS116" s="20">
        <v>0</v>
      </c>
      <c r="AT116" s="20">
        <v>0</v>
      </c>
      <c r="AU116" s="20">
        <v>0</v>
      </c>
      <c r="AV116" s="20">
        <v>0</v>
      </c>
      <c r="AW116" s="20">
        <v>0</v>
      </c>
      <c r="AX116" s="20">
        <v>0</v>
      </c>
      <c r="AY116" s="20">
        <v>0</v>
      </c>
      <c r="AZ116" s="20">
        <v>0</v>
      </c>
      <c r="BA116" s="20">
        <v>0</v>
      </c>
      <c r="BB116" s="20">
        <f t="shared" si="167"/>
        <v>0</v>
      </c>
      <c r="BC116" s="20">
        <v>0</v>
      </c>
      <c r="BD116" s="20">
        <v>0</v>
      </c>
      <c r="BE116" s="20">
        <v>0</v>
      </c>
      <c r="BF116" s="20">
        <v>0</v>
      </c>
      <c r="BG116" s="20">
        <v>0</v>
      </c>
      <c r="BH116" s="20">
        <v>0</v>
      </c>
      <c r="BI116" s="20">
        <v>0</v>
      </c>
      <c r="BJ116" s="20">
        <v>0</v>
      </c>
      <c r="BK116" s="20">
        <v>0</v>
      </c>
      <c r="BL116" s="20">
        <v>0</v>
      </c>
      <c r="BM116" s="20">
        <v>0</v>
      </c>
      <c r="BN116" s="20">
        <v>0</v>
      </c>
      <c r="BO116" s="20">
        <f t="shared" si="168"/>
        <v>0</v>
      </c>
      <c r="BP116" s="20">
        <v>0</v>
      </c>
      <c r="BQ116" s="20">
        <v>0</v>
      </c>
      <c r="BR116" s="20">
        <v>0</v>
      </c>
      <c r="BS116" s="20">
        <v>0</v>
      </c>
      <c r="BT116" s="20">
        <v>0</v>
      </c>
      <c r="BU116" s="20">
        <v>0</v>
      </c>
      <c r="BV116" s="20">
        <v>0</v>
      </c>
      <c r="BW116" s="20">
        <v>0</v>
      </c>
      <c r="BX116" s="20">
        <v>0</v>
      </c>
      <c r="BY116" s="20">
        <v>0</v>
      </c>
      <c r="BZ116" s="20">
        <v>0</v>
      </c>
      <c r="CA116" s="20">
        <v>0</v>
      </c>
      <c r="CB116" s="20">
        <f t="shared" si="169"/>
        <v>0</v>
      </c>
      <c r="CC116" s="20">
        <v>0</v>
      </c>
      <c r="CD116" s="20">
        <v>0</v>
      </c>
      <c r="CE116" s="20">
        <v>0</v>
      </c>
      <c r="CF116" s="20">
        <v>0</v>
      </c>
      <c r="CG116" s="20">
        <v>0</v>
      </c>
      <c r="CH116" s="20">
        <v>0</v>
      </c>
      <c r="CI116" s="20">
        <v>0</v>
      </c>
      <c r="CJ116" s="20">
        <v>0</v>
      </c>
      <c r="CK116" s="20">
        <v>0</v>
      </c>
      <c r="CL116" s="20">
        <v>0</v>
      </c>
      <c r="CM116" s="20">
        <v>0</v>
      </c>
      <c r="CN116" s="20">
        <v>0</v>
      </c>
      <c r="CO116" s="20">
        <f t="shared" si="170"/>
        <v>0</v>
      </c>
      <c r="CP116" s="20">
        <v>0</v>
      </c>
      <c r="CQ116" s="20">
        <v>0</v>
      </c>
      <c r="CR116" s="20">
        <v>0</v>
      </c>
      <c r="CS116" s="20">
        <v>0</v>
      </c>
      <c r="CT116" s="20">
        <v>0</v>
      </c>
      <c r="CU116" s="20">
        <v>0</v>
      </c>
      <c r="CV116" s="20">
        <v>0</v>
      </c>
      <c r="CW116" s="20">
        <v>0</v>
      </c>
      <c r="CX116" s="20">
        <v>0</v>
      </c>
      <c r="CY116" s="20">
        <v>0</v>
      </c>
      <c r="CZ116" s="20">
        <v>0</v>
      </c>
      <c r="DA116" s="20">
        <v>0</v>
      </c>
      <c r="DB116" s="20">
        <f t="shared" si="171"/>
        <v>0</v>
      </c>
      <c r="DC116" s="20">
        <v>0</v>
      </c>
      <c r="DD116" s="20">
        <v>0</v>
      </c>
      <c r="DE116" s="20">
        <v>0</v>
      </c>
      <c r="DF116" s="20">
        <v>0</v>
      </c>
      <c r="DG116" s="20">
        <v>0</v>
      </c>
      <c r="DH116" s="20">
        <v>0</v>
      </c>
      <c r="DI116" s="20">
        <v>0</v>
      </c>
      <c r="DJ116" s="20">
        <v>0</v>
      </c>
      <c r="DK116" s="20">
        <v>0</v>
      </c>
      <c r="DL116" s="20">
        <v>0</v>
      </c>
      <c r="DM116" s="20">
        <v>0</v>
      </c>
      <c r="DN116" s="20">
        <v>0</v>
      </c>
      <c r="DO116" s="20">
        <f t="shared" si="172"/>
        <v>0</v>
      </c>
      <c r="DP116" s="20">
        <v>0</v>
      </c>
      <c r="DQ116" s="20">
        <v>0</v>
      </c>
      <c r="DR116" s="20">
        <v>0</v>
      </c>
      <c r="DS116" s="20">
        <v>0</v>
      </c>
      <c r="DT116" s="20">
        <v>0</v>
      </c>
      <c r="DU116" s="20">
        <v>0</v>
      </c>
      <c r="DV116" s="20">
        <v>0</v>
      </c>
      <c r="DW116" s="20">
        <v>0</v>
      </c>
      <c r="DX116" s="20">
        <v>0</v>
      </c>
      <c r="DY116" s="20">
        <v>0</v>
      </c>
      <c r="DZ116" s="20">
        <v>0</v>
      </c>
      <c r="EA116" s="20">
        <v>0</v>
      </c>
      <c r="EB116" s="20">
        <f t="shared" si="173"/>
        <v>0</v>
      </c>
      <c r="EC116" s="20">
        <v>0</v>
      </c>
      <c r="ED116" s="20">
        <v>0</v>
      </c>
      <c r="EE116" s="20">
        <v>0</v>
      </c>
      <c r="EF116" s="20">
        <v>0</v>
      </c>
      <c r="EG116" s="20">
        <v>0</v>
      </c>
      <c r="EH116" s="20">
        <v>0</v>
      </c>
      <c r="EI116" s="20">
        <v>0</v>
      </c>
      <c r="EJ116" s="20">
        <v>0</v>
      </c>
      <c r="EK116" s="20">
        <v>0</v>
      </c>
      <c r="EL116" s="20">
        <v>0</v>
      </c>
      <c r="EM116" s="20">
        <v>0</v>
      </c>
      <c r="EN116" s="20">
        <v>0</v>
      </c>
      <c r="EO116" s="20">
        <f t="shared" si="174"/>
        <v>0</v>
      </c>
      <c r="EP116" s="20">
        <v>0</v>
      </c>
      <c r="EQ116" s="20">
        <v>0</v>
      </c>
      <c r="ER116" s="20">
        <v>0</v>
      </c>
      <c r="ES116" s="20">
        <v>0</v>
      </c>
      <c r="ET116" s="20">
        <v>0</v>
      </c>
      <c r="EU116" s="20">
        <v>0</v>
      </c>
      <c r="EV116" s="20">
        <v>0</v>
      </c>
      <c r="EW116" s="20">
        <v>0</v>
      </c>
      <c r="EX116" s="20">
        <v>0</v>
      </c>
      <c r="EY116" s="20">
        <v>0</v>
      </c>
      <c r="EZ116" s="20">
        <v>0</v>
      </c>
      <c r="FA116" s="20">
        <v>0</v>
      </c>
      <c r="FB116" s="20">
        <f t="shared" si="175"/>
        <v>0</v>
      </c>
      <c r="FC116" s="20">
        <v>0</v>
      </c>
      <c r="FD116" s="20">
        <v>0</v>
      </c>
      <c r="FE116" s="20">
        <v>0</v>
      </c>
      <c r="FF116" s="20">
        <v>0</v>
      </c>
      <c r="FG116" s="20">
        <v>0</v>
      </c>
      <c r="FH116" s="20">
        <v>0</v>
      </c>
      <c r="FI116" s="20">
        <v>0</v>
      </c>
      <c r="FJ116" s="10"/>
      <c r="FK116" s="10"/>
      <c r="FL116" s="10"/>
      <c r="FM116" s="10"/>
      <c r="FN116" s="10"/>
      <c r="FO116" s="20">
        <f t="shared" si="176"/>
        <v>0</v>
      </c>
    </row>
    <row r="117" spans="1:171" ht="27.75" customHeight="1">
      <c r="A117" s="10"/>
      <c r="B117" s="19" t="s">
        <v>48</v>
      </c>
      <c r="C117" s="20">
        <v>0</v>
      </c>
      <c r="D117" s="20">
        <v>0</v>
      </c>
      <c r="E117" s="20">
        <v>0</v>
      </c>
      <c r="F117" s="20">
        <v>0</v>
      </c>
      <c r="G117" s="20">
        <v>0</v>
      </c>
      <c r="H117" s="20">
        <v>0</v>
      </c>
      <c r="I117" s="20">
        <v>0</v>
      </c>
      <c r="J117" s="20">
        <v>0</v>
      </c>
      <c r="K117" s="20">
        <v>0</v>
      </c>
      <c r="L117" s="20">
        <v>0</v>
      </c>
      <c r="M117" s="20">
        <v>0</v>
      </c>
      <c r="N117" s="20">
        <v>0</v>
      </c>
      <c r="O117" s="20">
        <f t="shared" si="164"/>
        <v>0</v>
      </c>
      <c r="P117" s="20">
        <v>0</v>
      </c>
      <c r="Q117" s="20">
        <v>0</v>
      </c>
      <c r="R117" s="20">
        <v>0</v>
      </c>
      <c r="S117" s="20">
        <v>0</v>
      </c>
      <c r="T117" s="20">
        <v>0</v>
      </c>
      <c r="U117" s="20">
        <v>0</v>
      </c>
      <c r="V117" s="20">
        <v>0</v>
      </c>
      <c r="W117" s="20">
        <v>0</v>
      </c>
      <c r="X117" s="20">
        <v>0</v>
      </c>
      <c r="Y117" s="20">
        <v>0</v>
      </c>
      <c r="Z117" s="20">
        <v>0</v>
      </c>
      <c r="AA117" s="20">
        <v>0</v>
      </c>
      <c r="AB117" s="20">
        <f t="shared" si="165"/>
        <v>0</v>
      </c>
      <c r="AC117" s="20">
        <v>0</v>
      </c>
      <c r="AD117" s="20">
        <v>0</v>
      </c>
      <c r="AE117" s="20">
        <v>0</v>
      </c>
      <c r="AF117" s="20">
        <v>0</v>
      </c>
      <c r="AG117" s="20">
        <v>0</v>
      </c>
      <c r="AH117" s="20">
        <v>0</v>
      </c>
      <c r="AI117" s="20">
        <v>0</v>
      </c>
      <c r="AJ117" s="20">
        <v>0</v>
      </c>
      <c r="AK117" s="20">
        <v>0</v>
      </c>
      <c r="AL117" s="20">
        <v>0</v>
      </c>
      <c r="AM117" s="20">
        <v>0</v>
      </c>
      <c r="AN117" s="20">
        <v>0</v>
      </c>
      <c r="AO117" s="20">
        <f t="shared" si="166"/>
        <v>0</v>
      </c>
      <c r="AP117" s="20">
        <v>0</v>
      </c>
      <c r="AQ117" s="20">
        <v>0</v>
      </c>
      <c r="AR117" s="20">
        <v>0</v>
      </c>
      <c r="AS117" s="20">
        <v>0</v>
      </c>
      <c r="AT117" s="20">
        <v>0</v>
      </c>
      <c r="AU117" s="20">
        <v>0</v>
      </c>
      <c r="AV117" s="20">
        <v>0</v>
      </c>
      <c r="AW117" s="20">
        <v>0</v>
      </c>
      <c r="AX117" s="20">
        <v>0</v>
      </c>
      <c r="AY117" s="20">
        <v>0</v>
      </c>
      <c r="AZ117" s="20">
        <v>0</v>
      </c>
      <c r="BA117" s="20">
        <v>0</v>
      </c>
      <c r="BB117" s="20">
        <f t="shared" si="167"/>
        <v>0</v>
      </c>
      <c r="BC117" s="20">
        <v>0</v>
      </c>
      <c r="BD117" s="20">
        <v>0</v>
      </c>
      <c r="BE117" s="20">
        <v>0</v>
      </c>
      <c r="BF117" s="20">
        <v>0</v>
      </c>
      <c r="BG117" s="20">
        <v>0</v>
      </c>
      <c r="BH117" s="20">
        <v>0</v>
      </c>
      <c r="BI117" s="20">
        <v>0</v>
      </c>
      <c r="BJ117" s="20">
        <v>0</v>
      </c>
      <c r="BK117" s="20">
        <v>0</v>
      </c>
      <c r="BL117" s="20">
        <v>0</v>
      </c>
      <c r="BM117" s="20">
        <v>0</v>
      </c>
      <c r="BN117" s="20">
        <v>0</v>
      </c>
      <c r="BO117" s="20">
        <f t="shared" si="168"/>
        <v>0</v>
      </c>
      <c r="BP117" s="20">
        <v>0</v>
      </c>
      <c r="BQ117" s="20">
        <v>0</v>
      </c>
      <c r="BR117" s="20">
        <v>0</v>
      </c>
      <c r="BS117" s="20">
        <v>0</v>
      </c>
      <c r="BT117" s="20">
        <v>0</v>
      </c>
      <c r="BU117" s="20">
        <v>0</v>
      </c>
      <c r="BV117" s="20">
        <v>0</v>
      </c>
      <c r="BW117" s="20">
        <v>0</v>
      </c>
      <c r="BX117" s="20">
        <v>0</v>
      </c>
      <c r="BY117" s="20">
        <v>0</v>
      </c>
      <c r="BZ117" s="20">
        <v>0</v>
      </c>
      <c r="CA117" s="20">
        <v>0</v>
      </c>
      <c r="CB117" s="20">
        <f t="shared" si="169"/>
        <v>0</v>
      </c>
      <c r="CC117" s="20">
        <v>0</v>
      </c>
      <c r="CD117" s="20">
        <v>0</v>
      </c>
      <c r="CE117" s="20">
        <v>0</v>
      </c>
      <c r="CF117" s="20">
        <v>0</v>
      </c>
      <c r="CG117" s="20">
        <v>0</v>
      </c>
      <c r="CH117" s="20">
        <v>0</v>
      </c>
      <c r="CI117" s="20">
        <v>0</v>
      </c>
      <c r="CJ117" s="20">
        <v>0</v>
      </c>
      <c r="CK117" s="20">
        <v>0</v>
      </c>
      <c r="CL117" s="20">
        <v>0</v>
      </c>
      <c r="CM117" s="20">
        <v>0</v>
      </c>
      <c r="CN117" s="20">
        <v>0</v>
      </c>
      <c r="CO117" s="20">
        <f t="shared" si="170"/>
        <v>0</v>
      </c>
      <c r="CP117" s="20">
        <v>0</v>
      </c>
      <c r="CQ117" s="20">
        <v>0</v>
      </c>
      <c r="CR117" s="20">
        <v>0</v>
      </c>
      <c r="CS117" s="20">
        <v>0</v>
      </c>
      <c r="CT117" s="20">
        <v>0</v>
      </c>
      <c r="CU117" s="20">
        <v>0</v>
      </c>
      <c r="CV117" s="20">
        <v>0</v>
      </c>
      <c r="CW117" s="20">
        <v>0</v>
      </c>
      <c r="CX117" s="20">
        <v>0</v>
      </c>
      <c r="CY117" s="20">
        <v>0</v>
      </c>
      <c r="CZ117" s="20">
        <v>0</v>
      </c>
      <c r="DA117" s="20">
        <v>0</v>
      </c>
      <c r="DB117" s="20">
        <f t="shared" si="171"/>
        <v>0</v>
      </c>
      <c r="DC117" s="20">
        <v>0</v>
      </c>
      <c r="DD117" s="20">
        <v>0</v>
      </c>
      <c r="DE117" s="20">
        <v>0</v>
      </c>
      <c r="DF117" s="20">
        <v>0</v>
      </c>
      <c r="DG117" s="20">
        <v>0</v>
      </c>
      <c r="DH117" s="20">
        <v>0</v>
      </c>
      <c r="DI117" s="20">
        <v>0</v>
      </c>
      <c r="DJ117" s="20">
        <v>0</v>
      </c>
      <c r="DK117" s="20">
        <v>0</v>
      </c>
      <c r="DL117" s="20">
        <v>0</v>
      </c>
      <c r="DM117" s="20">
        <v>0</v>
      </c>
      <c r="DN117" s="20">
        <v>0</v>
      </c>
      <c r="DO117" s="20">
        <f t="shared" si="172"/>
        <v>0</v>
      </c>
      <c r="DP117" s="20">
        <v>0</v>
      </c>
      <c r="DQ117" s="20">
        <v>0</v>
      </c>
      <c r="DR117" s="20">
        <v>0</v>
      </c>
      <c r="DS117" s="20">
        <v>0</v>
      </c>
      <c r="DT117" s="20">
        <v>0</v>
      </c>
      <c r="DU117" s="20">
        <v>0</v>
      </c>
      <c r="DV117" s="20">
        <v>0</v>
      </c>
      <c r="DW117" s="20">
        <v>0</v>
      </c>
      <c r="DX117" s="20">
        <v>0</v>
      </c>
      <c r="DY117" s="20">
        <v>0</v>
      </c>
      <c r="DZ117" s="20">
        <v>0</v>
      </c>
      <c r="EA117" s="20">
        <v>0</v>
      </c>
      <c r="EB117" s="20">
        <f t="shared" si="173"/>
        <v>0</v>
      </c>
      <c r="EC117" s="20">
        <v>0</v>
      </c>
      <c r="ED117" s="20">
        <v>0</v>
      </c>
      <c r="EE117" s="20">
        <v>0</v>
      </c>
      <c r="EF117" s="20">
        <v>0</v>
      </c>
      <c r="EG117" s="20">
        <v>0</v>
      </c>
      <c r="EH117" s="20">
        <v>0</v>
      </c>
      <c r="EI117" s="20">
        <v>0</v>
      </c>
      <c r="EJ117" s="20">
        <v>0</v>
      </c>
      <c r="EK117" s="20">
        <v>0</v>
      </c>
      <c r="EL117" s="20">
        <v>0</v>
      </c>
      <c r="EM117" s="20">
        <v>0</v>
      </c>
      <c r="EN117" s="20">
        <v>0</v>
      </c>
      <c r="EO117" s="20">
        <f t="shared" si="174"/>
        <v>0</v>
      </c>
      <c r="EP117" s="20">
        <v>0</v>
      </c>
      <c r="EQ117" s="20">
        <v>0</v>
      </c>
      <c r="ER117" s="20">
        <v>0</v>
      </c>
      <c r="ES117" s="20">
        <v>0</v>
      </c>
      <c r="ET117" s="20">
        <v>0</v>
      </c>
      <c r="EU117" s="20">
        <v>0</v>
      </c>
      <c r="EV117" s="20">
        <v>0</v>
      </c>
      <c r="EW117" s="20">
        <v>0</v>
      </c>
      <c r="EX117" s="20">
        <v>0</v>
      </c>
      <c r="EY117" s="20">
        <v>0</v>
      </c>
      <c r="EZ117" s="20">
        <v>0</v>
      </c>
      <c r="FA117" s="20">
        <v>0</v>
      </c>
      <c r="FB117" s="20">
        <f t="shared" si="175"/>
        <v>0</v>
      </c>
      <c r="FC117" s="20">
        <v>0</v>
      </c>
      <c r="FD117" s="20">
        <v>0</v>
      </c>
      <c r="FE117" s="20">
        <v>0</v>
      </c>
      <c r="FF117" s="20">
        <v>0</v>
      </c>
      <c r="FG117" s="20">
        <v>0</v>
      </c>
      <c r="FH117" s="20">
        <v>0</v>
      </c>
      <c r="FI117" s="20">
        <v>0</v>
      </c>
      <c r="FJ117" s="10"/>
      <c r="FK117" s="10"/>
      <c r="FL117" s="10"/>
      <c r="FM117" s="10"/>
      <c r="FN117" s="10"/>
      <c r="FO117" s="20">
        <f t="shared" si="176"/>
        <v>0</v>
      </c>
    </row>
    <row r="118" spans="1:171" ht="21.75" customHeight="1">
      <c r="A118" s="10"/>
      <c r="B118" s="15" t="s">
        <v>49</v>
      </c>
      <c r="C118" s="38">
        <f t="shared" ref="C118:AH118" si="177">SUM(C112:C117)</f>
        <v>0</v>
      </c>
      <c r="D118" s="38">
        <f t="shared" si="177"/>
        <v>0</v>
      </c>
      <c r="E118" s="38">
        <f t="shared" si="177"/>
        <v>0</v>
      </c>
      <c r="F118" s="38">
        <f t="shared" si="177"/>
        <v>0</v>
      </c>
      <c r="G118" s="38">
        <f t="shared" si="177"/>
        <v>0</v>
      </c>
      <c r="H118" s="38">
        <f t="shared" si="177"/>
        <v>0</v>
      </c>
      <c r="I118" s="38">
        <f t="shared" si="177"/>
        <v>0</v>
      </c>
      <c r="J118" s="38">
        <f t="shared" si="177"/>
        <v>0</v>
      </c>
      <c r="K118" s="38">
        <f t="shared" si="177"/>
        <v>0</v>
      </c>
      <c r="L118" s="38">
        <f t="shared" si="177"/>
        <v>0</v>
      </c>
      <c r="M118" s="38">
        <f t="shared" si="177"/>
        <v>0</v>
      </c>
      <c r="N118" s="38">
        <f t="shared" si="177"/>
        <v>0</v>
      </c>
      <c r="O118" s="38">
        <f t="shared" si="177"/>
        <v>0</v>
      </c>
      <c r="P118" s="38">
        <f t="shared" si="177"/>
        <v>0</v>
      </c>
      <c r="Q118" s="38">
        <f t="shared" si="177"/>
        <v>0</v>
      </c>
      <c r="R118" s="38">
        <f t="shared" si="177"/>
        <v>0</v>
      </c>
      <c r="S118" s="38">
        <f t="shared" si="177"/>
        <v>0</v>
      </c>
      <c r="T118" s="38">
        <f t="shared" si="177"/>
        <v>0</v>
      </c>
      <c r="U118" s="38">
        <f t="shared" si="177"/>
        <v>0</v>
      </c>
      <c r="V118" s="38">
        <f t="shared" si="177"/>
        <v>0</v>
      </c>
      <c r="W118" s="38">
        <f t="shared" si="177"/>
        <v>0</v>
      </c>
      <c r="X118" s="38">
        <f t="shared" si="177"/>
        <v>0</v>
      </c>
      <c r="Y118" s="38">
        <f t="shared" si="177"/>
        <v>0</v>
      </c>
      <c r="Z118" s="38">
        <f t="shared" si="177"/>
        <v>0</v>
      </c>
      <c r="AA118" s="38">
        <f t="shared" si="177"/>
        <v>0</v>
      </c>
      <c r="AB118" s="38">
        <f t="shared" si="177"/>
        <v>0</v>
      </c>
      <c r="AC118" s="38">
        <f t="shared" si="177"/>
        <v>0</v>
      </c>
      <c r="AD118" s="38">
        <f t="shared" si="177"/>
        <v>0</v>
      </c>
      <c r="AE118" s="38">
        <f t="shared" si="177"/>
        <v>0</v>
      </c>
      <c r="AF118" s="38">
        <f t="shared" si="177"/>
        <v>0</v>
      </c>
      <c r="AG118" s="38">
        <f t="shared" si="177"/>
        <v>0</v>
      </c>
      <c r="AH118" s="38">
        <f t="shared" si="177"/>
        <v>0</v>
      </c>
      <c r="AI118" s="38">
        <f t="shared" ref="AI118:BN118" si="178">SUM(AI112:AI117)</f>
        <v>0</v>
      </c>
      <c r="AJ118" s="38">
        <f t="shared" si="178"/>
        <v>0</v>
      </c>
      <c r="AK118" s="38">
        <f t="shared" si="178"/>
        <v>0</v>
      </c>
      <c r="AL118" s="38">
        <f t="shared" si="178"/>
        <v>0</v>
      </c>
      <c r="AM118" s="38">
        <f t="shared" si="178"/>
        <v>0</v>
      </c>
      <c r="AN118" s="38">
        <f t="shared" si="178"/>
        <v>0</v>
      </c>
      <c r="AO118" s="38">
        <f t="shared" si="178"/>
        <v>0</v>
      </c>
      <c r="AP118" s="38">
        <f t="shared" si="178"/>
        <v>0</v>
      </c>
      <c r="AQ118" s="38">
        <f t="shared" si="178"/>
        <v>0</v>
      </c>
      <c r="AR118" s="38">
        <f t="shared" si="178"/>
        <v>0</v>
      </c>
      <c r="AS118" s="38">
        <f t="shared" si="178"/>
        <v>0</v>
      </c>
      <c r="AT118" s="38">
        <f t="shared" si="178"/>
        <v>0</v>
      </c>
      <c r="AU118" s="38">
        <f t="shared" si="178"/>
        <v>0</v>
      </c>
      <c r="AV118" s="38">
        <f t="shared" si="178"/>
        <v>0</v>
      </c>
      <c r="AW118" s="38">
        <f t="shared" si="178"/>
        <v>0</v>
      </c>
      <c r="AX118" s="38">
        <f t="shared" si="178"/>
        <v>0</v>
      </c>
      <c r="AY118" s="38">
        <f t="shared" si="178"/>
        <v>0</v>
      </c>
      <c r="AZ118" s="38">
        <f t="shared" si="178"/>
        <v>0</v>
      </c>
      <c r="BA118" s="38">
        <f t="shared" si="178"/>
        <v>0</v>
      </c>
      <c r="BB118" s="38">
        <f t="shared" si="178"/>
        <v>0</v>
      </c>
      <c r="BC118" s="38">
        <f t="shared" si="178"/>
        <v>0</v>
      </c>
      <c r="BD118" s="38">
        <f t="shared" si="178"/>
        <v>0</v>
      </c>
      <c r="BE118" s="38">
        <f t="shared" si="178"/>
        <v>0</v>
      </c>
      <c r="BF118" s="38">
        <f t="shared" si="178"/>
        <v>0</v>
      </c>
      <c r="BG118" s="38">
        <f t="shared" si="178"/>
        <v>0</v>
      </c>
      <c r="BH118" s="38">
        <f t="shared" si="178"/>
        <v>0</v>
      </c>
      <c r="BI118" s="38">
        <f t="shared" si="178"/>
        <v>0</v>
      </c>
      <c r="BJ118" s="38">
        <f t="shared" si="178"/>
        <v>0</v>
      </c>
      <c r="BK118" s="38">
        <f t="shared" si="178"/>
        <v>0</v>
      </c>
      <c r="BL118" s="38">
        <f t="shared" si="178"/>
        <v>0</v>
      </c>
      <c r="BM118" s="38">
        <f t="shared" si="178"/>
        <v>0</v>
      </c>
      <c r="BN118" s="38">
        <f t="shared" si="178"/>
        <v>0</v>
      </c>
      <c r="BO118" s="38">
        <f t="shared" ref="BO118:CT118" si="179">SUM(BO112:BO117)</f>
        <v>0</v>
      </c>
      <c r="BP118" s="38">
        <f t="shared" si="179"/>
        <v>0</v>
      </c>
      <c r="BQ118" s="38">
        <f t="shared" si="179"/>
        <v>0</v>
      </c>
      <c r="BR118" s="38">
        <f t="shared" si="179"/>
        <v>0</v>
      </c>
      <c r="BS118" s="38">
        <f t="shared" si="179"/>
        <v>0</v>
      </c>
      <c r="BT118" s="38">
        <f t="shared" si="179"/>
        <v>0</v>
      </c>
      <c r="BU118" s="38">
        <f t="shared" si="179"/>
        <v>0</v>
      </c>
      <c r="BV118" s="38">
        <f t="shared" si="179"/>
        <v>0</v>
      </c>
      <c r="BW118" s="38">
        <f t="shared" si="179"/>
        <v>0</v>
      </c>
      <c r="BX118" s="38">
        <f t="shared" si="179"/>
        <v>0</v>
      </c>
      <c r="BY118" s="38">
        <f t="shared" si="179"/>
        <v>0</v>
      </c>
      <c r="BZ118" s="38">
        <f t="shared" si="179"/>
        <v>0</v>
      </c>
      <c r="CA118" s="38">
        <f t="shared" si="179"/>
        <v>0</v>
      </c>
      <c r="CB118" s="38">
        <f t="shared" si="179"/>
        <v>0</v>
      </c>
      <c r="CC118" s="38">
        <f t="shared" si="179"/>
        <v>0</v>
      </c>
      <c r="CD118" s="38">
        <f t="shared" si="179"/>
        <v>0</v>
      </c>
      <c r="CE118" s="38">
        <f t="shared" si="179"/>
        <v>0</v>
      </c>
      <c r="CF118" s="38">
        <f t="shared" si="179"/>
        <v>0</v>
      </c>
      <c r="CG118" s="38">
        <f t="shared" si="179"/>
        <v>0</v>
      </c>
      <c r="CH118" s="38">
        <f t="shared" si="179"/>
        <v>0</v>
      </c>
      <c r="CI118" s="38">
        <f t="shared" si="179"/>
        <v>0</v>
      </c>
      <c r="CJ118" s="38">
        <f t="shared" si="179"/>
        <v>0</v>
      </c>
      <c r="CK118" s="38">
        <f t="shared" si="179"/>
        <v>0</v>
      </c>
      <c r="CL118" s="38">
        <f t="shared" si="179"/>
        <v>0</v>
      </c>
      <c r="CM118" s="38">
        <f t="shared" si="179"/>
        <v>0</v>
      </c>
      <c r="CN118" s="38">
        <f t="shared" si="179"/>
        <v>0</v>
      </c>
      <c r="CO118" s="38">
        <f t="shared" si="179"/>
        <v>0</v>
      </c>
      <c r="CP118" s="38">
        <f t="shared" si="179"/>
        <v>0</v>
      </c>
      <c r="CQ118" s="38">
        <f t="shared" si="179"/>
        <v>0</v>
      </c>
      <c r="CR118" s="38">
        <f t="shared" si="179"/>
        <v>0</v>
      </c>
      <c r="CS118" s="38">
        <f t="shared" si="179"/>
        <v>0</v>
      </c>
      <c r="CT118" s="38">
        <f t="shared" si="179"/>
        <v>0</v>
      </c>
      <c r="CU118" s="38">
        <f t="shared" ref="CU118:DZ118" si="180">SUM(CU112:CU117)</f>
        <v>0</v>
      </c>
      <c r="CV118" s="38">
        <f t="shared" si="180"/>
        <v>0</v>
      </c>
      <c r="CW118" s="38">
        <f t="shared" si="180"/>
        <v>0</v>
      </c>
      <c r="CX118" s="38">
        <f t="shared" si="180"/>
        <v>0</v>
      </c>
      <c r="CY118" s="38">
        <f t="shared" si="180"/>
        <v>0</v>
      </c>
      <c r="CZ118" s="38">
        <f t="shared" si="180"/>
        <v>0</v>
      </c>
      <c r="DA118" s="38">
        <f t="shared" si="180"/>
        <v>0</v>
      </c>
      <c r="DB118" s="38">
        <f t="shared" si="180"/>
        <v>0</v>
      </c>
      <c r="DC118" s="38">
        <f t="shared" si="180"/>
        <v>0</v>
      </c>
      <c r="DD118" s="38">
        <f t="shared" si="180"/>
        <v>0</v>
      </c>
      <c r="DE118" s="38">
        <f t="shared" si="180"/>
        <v>0</v>
      </c>
      <c r="DF118" s="38">
        <f t="shared" si="180"/>
        <v>0</v>
      </c>
      <c r="DG118" s="38">
        <f t="shared" si="180"/>
        <v>0</v>
      </c>
      <c r="DH118" s="38">
        <f t="shared" si="180"/>
        <v>0</v>
      </c>
      <c r="DI118" s="38">
        <f t="shared" si="180"/>
        <v>0</v>
      </c>
      <c r="DJ118" s="38">
        <f t="shared" si="180"/>
        <v>0</v>
      </c>
      <c r="DK118" s="38">
        <f t="shared" si="180"/>
        <v>0</v>
      </c>
      <c r="DL118" s="38">
        <f t="shared" si="180"/>
        <v>0</v>
      </c>
      <c r="DM118" s="38">
        <f t="shared" si="180"/>
        <v>0</v>
      </c>
      <c r="DN118" s="38">
        <f t="shared" si="180"/>
        <v>0</v>
      </c>
      <c r="DO118" s="38">
        <f t="shared" si="180"/>
        <v>0</v>
      </c>
      <c r="DP118" s="38">
        <f t="shared" si="180"/>
        <v>0</v>
      </c>
      <c r="DQ118" s="38">
        <f t="shared" si="180"/>
        <v>0</v>
      </c>
      <c r="DR118" s="38">
        <f t="shared" si="180"/>
        <v>0</v>
      </c>
      <c r="DS118" s="38">
        <f t="shared" si="180"/>
        <v>0</v>
      </c>
      <c r="DT118" s="38">
        <f t="shared" si="180"/>
        <v>0</v>
      </c>
      <c r="DU118" s="38">
        <f t="shared" si="180"/>
        <v>0</v>
      </c>
      <c r="DV118" s="38">
        <f t="shared" si="180"/>
        <v>1050</v>
      </c>
      <c r="DW118" s="38">
        <f t="shared" si="180"/>
        <v>1050</v>
      </c>
      <c r="DX118" s="38">
        <f t="shared" si="180"/>
        <v>37795</v>
      </c>
      <c r="DY118" s="38">
        <f t="shared" si="180"/>
        <v>169483</v>
      </c>
      <c r="DZ118" s="38">
        <f t="shared" si="180"/>
        <v>843033</v>
      </c>
      <c r="EA118" s="38">
        <f t="shared" ref="EA118:FF118" si="181">SUM(EA112:EA117)</f>
        <v>3861859</v>
      </c>
      <c r="EB118" s="38">
        <f t="shared" si="181"/>
        <v>3861859</v>
      </c>
      <c r="EC118" s="38">
        <f t="shared" si="181"/>
        <v>0</v>
      </c>
      <c r="ED118" s="38">
        <f t="shared" si="181"/>
        <v>0</v>
      </c>
      <c r="EE118" s="38">
        <f t="shared" si="181"/>
        <v>0</v>
      </c>
      <c r="EF118" s="38">
        <f t="shared" si="181"/>
        <v>0</v>
      </c>
      <c r="EG118" s="38">
        <f t="shared" si="181"/>
        <v>0</v>
      </c>
      <c r="EH118" s="38">
        <f t="shared" si="181"/>
        <v>0</v>
      </c>
      <c r="EI118" s="38">
        <f t="shared" si="181"/>
        <v>0</v>
      </c>
      <c r="EJ118" s="38">
        <f t="shared" si="181"/>
        <v>0</v>
      </c>
      <c r="EK118" s="38">
        <f t="shared" si="181"/>
        <v>0</v>
      </c>
      <c r="EL118" s="38">
        <f t="shared" si="181"/>
        <v>0</v>
      </c>
      <c r="EM118" s="38">
        <f t="shared" si="181"/>
        <v>0</v>
      </c>
      <c r="EN118" s="38">
        <f t="shared" si="181"/>
        <v>0</v>
      </c>
      <c r="EO118" s="38">
        <f t="shared" si="181"/>
        <v>0</v>
      </c>
      <c r="EP118" s="38">
        <f t="shared" si="181"/>
        <v>0</v>
      </c>
      <c r="EQ118" s="38">
        <f t="shared" si="181"/>
        <v>0</v>
      </c>
      <c r="ER118" s="38">
        <f t="shared" si="181"/>
        <v>0</v>
      </c>
      <c r="ES118" s="38">
        <f t="shared" si="181"/>
        <v>0</v>
      </c>
      <c r="ET118" s="38">
        <f t="shared" si="181"/>
        <v>0</v>
      </c>
      <c r="EU118" s="38">
        <f t="shared" si="181"/>
        <v>0</v>
      </c>
      <c r="EV118" s="38">
        <f t="shared" si="181"/>
        <v>0</v>
      </c>
      <c r="EW118" s="38">
        <f t="shared" si="181"/>
        <v>0</v>
      </c>
      <c r="EX118" s="38">
        <f t="shared" si="181"/>
        <v>0</v>
      </c>
      <c r="EY118" s="38">
        <f t="shared" si="181"/>
        <v>0</v>
      </c>
      <c r="EZ118" s="38">
        <f t="shared" si="181"/>
        <v>0</v>
      </c>
      <c r="FA118" s="38">
        <f t="shared" si="181"/>
        <v>0</v>
      </c>
      <c r="FB118" s="38">
        <f t="shared" si="181"/>
        <v>0</v>
      </c>
      <c r="FC118" s="38">
        <f t="shared" si="181"/>
        <v>0</v>
      </c>
      <c r="FD118" s="38">
        <f t="shared" si="181"/>
        <v>0</v>
      </c>
      <c r="FE118" s="38">
        <f t="shared" si="181"/>
        <v>0</v>
      </c>
      <c r="FF118" s="38">
        <f t="shared" si="181"/>
        <v>0</v>
      </c>
      <c r="FG118" s="38">
        <f t="shared" ref="FG118:GL118" si="182">SUM(FG112:FG117)</f>
        <v>0</v>
      </c>
      <c r="FH118" s="38">
        <f t="shared" si="182"/>
        <v>0</v>
      </c>
      <c r="FI118" s="38">
        <f t="shared" si="182"/>
        <v>0</v>
      </c>
      <c r="FJ118" s="38">
        <f t="shared" si="182"/>
        <v>0</v>
      </c>
      <c r="FK118" s="38">
        <f t="shared" si="182"/>
        <v>0</v>
      </c>
      <c r="FL118" s="38">
        <f t="shared" si="182"/>
        <v>0</v>
      </c>
      <c r="FM118" s="38">
        <f t="shared" si="182"/>
        <v>0</v>
      </c>
      <c r="FN118" s="38">
        <f t="shared" si="182"/>
        <v>0</v>
      </c>
      <c r="FO118" s="38">
        <f t="shared" si="182"/>
        <v>0</v>
      </c>
    </row>
    <row r="119" spans="1:171" ht="14.25" customHeight="1">
      <c r="A119" s="10"/>
      <c r="B119" s="18" t="s">
        <v>63</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row>
    <row r="120" spans="1:171"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row>
    <row r="121" spans="1:17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row>
    <row r="122" spans="1:171"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row>
    <row r="123" spans="1:171" ht="14.25" customHeight="1">
      <c r="A123" s="10"/>
      <c r="B123" s="18" t="s">
        <v>66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row>
    <row r="124" spans="1:171" ht="14.25" customHeight="1">
      <c r="A124" s="10"/>
      <c r="B124" s="18" t="s">
        <v>67</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row>
    <row r="125" spans="1:171" ht="14.25" customHeight="1">
      <c r="A125" s="10"/>
      <c r="B125" s="18" t="s">
        <v>68</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row>
    <row r="126" spans="1:171" ht="14.25" customHeight="1">
      <c r="A126" s="10"/>
      <c r="B126" s="18" t="s">
        <v>69</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row>
    <row r="127" spans="1:171" ht="14.25" customHeight="1">
      <c r="A127" s="10"/>
      <c r="B127" s="18" t="s">
        <v>70</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row>
    <row r="128" spans="1:171" ht="14.25" customHeight="1">
      <c r="A128" s="10"/>
      <c r="B128" s="18" t="s">
        <v>71</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row>
    <row r="129" spans="1:171" ht="14.25" customHeight="1">
      <c r="A129" s="10"/>
      <c r="B129" s="18" t="s">
        <v>72</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row>
    <row r="130" spans="1:171" ht="14.25" customHeight="1">
      <c r="A130" s="10"/>
      <c r="B130" s="18" t="s">
        <v>73</v>
      </c>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row>
    <row r="131" spans="1:171" ht="14.25" customHeight="1">
      <c r="A131" s="10"/>
      <c r="B131" s="18" t="s">
        <v>74</v>
      </c>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row>
    <row r="132" spans="1:171" ht="14.25" customHeight="1">
      <c r="A132" s="10"/>
      <c r="B132" s="18" t="s">
        <v>75</v>
      </c>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row>
    <row r="133" spans="1:171"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row>
    <row r="134" spans="1:171"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row>
    <row r="135" spans="1:171"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row>
    <row r="136" spans="1:171"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row>
    <row r="137" spans="1:171"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row>
    <row r="138" spans="1:171"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row>
    <row r="139" spans="1:171"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row>
    <row r="140" spans="1:171"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row>
    <row r="141" spans="1:17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row>
    <row r="142" spans="1:171"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row>
    <row r="143" spans="1:171"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row>
    <row r="144" spans="1:171"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row>
    <row r="145" spans="1:171"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row>
    <row r="146" spans="1:171"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row>
    <row r="147" spans="1:171"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row>
    <row r="148" spans="1:171"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row>
    <row r="149" spans="1:171"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row>
    <row r="150" spans="1:171"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row>
    <row r="151" spans="1:17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row>
    <row r="152" spans="1:171"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row>
    <row r="153" spans="1:171"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row>
    <row r="154" spans="1:171"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row>
    <row r="155" spans="1:171"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row>
    <row r="156" spans="1:171"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row>
    <row r="157" spans="1:171"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row>
    <row r="158" spans="1:171" ht="14.25" customHeight="1">
      <c r="A158" s="10"/>
      <c r="B158" s="10" t="str">
        <f t="shared" ref="B158:B163" si="183">+B10</f>
        <v>Dirección de Vialidad</v>
      </c>
      <c r="C158" s="96">
        <f t="shared" ref="C158:AH158" si="184">+C10+C49+C88</f>
        <v>809860476</v>
      </c>
      <c r="D158" s="96">
        <f t="shared" si="184"/>
        <v>809860476</v>
      </c>
      <c r="E158" s="96">
        <f t="shared" si="184"/>
        <v>809860476</v>
      </c>
      <c r="F158" s="96">
        <f t="shared" si="184"/>
        <v>809860476</v>
      </c>
      <c r="G158" s="96">
        <f t="shared" si="184"/>
        <v>809860476</v>
      </c>
      <c r="H158" s="96">
        <f t="shared" si="184"/>
        <v>809860476</v>
      </c>
      <c r="I158" s="96">
        <f t="shared" si="184"/>
        <v>809860476</v>
      </c>
      <c r="J158" s="96">
        <f t="shared" si="184"/>
        <v>809860476</v>
      </c>
      <c r="K158" s="96">
        <f t="shared" si="184"/>
        <v>809860476</v>
      </c>
      <c r="L158" s="96">
        <f t="shared" si="184"/>
        <v>809860476</v>
      </c>
      <c r="M158" s="96">
        <f t="shared" si="184"/>
        <v>809860476</v>
      </c>
      <c r="N158" s="96">
        <f t="shared" si="184"/>
        <v>809860476</v>
      </c>
      <c r="O158" s="96">
        <f t="shared" si="184"/>
        <v>809860476</v>
      </c>
      <c r="P158" s="96">
        <f t="shared" si="184"/>
        <v>959160686</v>
      </c>
      <c r="Q158" s="96">
        <f t="shared" si="184"/>
        <v>959160686</v>
      </c>
      <c r="R158" s="96">
        <f t="shared" si="184"/>
        <v>959160686</v>
      </c>
      <c r="S158" s="96">
        <f t="shared" si="184"/>
        <v>959160686</v>
      </c>
      <c r="T158" s="96">
        <f t="shared" si="184"/>
        <v>959160686</v>
      </c>
      <c r="U158" s="96">
        <f t="shared" si="184"/>
        <v>959160686</v>
      </c>
      <c r="V158" s="96">
        <f t="shared" si="184"/>
        <v>959160686</v>
      </c>
      <c r="W158" s="96">
        <f t="shared" si="184"/>
        <v>959160686</v>
      </c>
      <c r="X158" s="96">
        <f t="shared" si="184"/>
        <v>959160686</v>
      </c>
      <c r="Y158" s="96">
        <f t="shared" si="184"/>
        <v>959160686</v>
      </c>
      <c r="Z158" s="96">
        <f t="shared" si="184"/>
        <v>959160686</v>
      </c>
      <c r="AA158" s="96">
        <f t="shared" si="184"/>
        <v>959160686</v>
      </c>
      <c r="AB158" s="96">
        <f t="shared" si="184"/>
        <v>959160686</v>
      </c>
      <c r="AC158" s="96">
        <f t="shared" si="184"/>
        <v>938948125</v>
      </c>
      <c r="AD158" s="96">
        <f t="shared" si="184"/>
        <v>938948125</v>
      </c>
      <c r="AE158" s="96">
        <f t="shared" si="184"/>
        <v>938948125</v>
      </c>
      <c r="AF158" s="96">
        <f t="shared" si="184"/>
        <v>938948125</v>
      </c>
      <c r="AG158" s="96">
        <f t="shared" si="184"/>
        <v>938948125</v>
      </c>
      <c r="AH158" s="96">
        <f t="shared" si="184"/>
        <v>938948125</v>
      </c>
      <c r="AI158" s="96">
        <f t="shared" ref="AI158:BN158" si="185">+AI10+AI49+AI88</f>
        <v>938948125</v>
      </c>
      <c r="AJ158" s="96">
        <f t="shared" si="185"/>
        <v>938948125</v>
      </c>
      <c r="AK158" s="96">
        <f t="shared" si="185"/>
        <v>938948125</v>
      </c>
      <c r="AL158" s="96">
        <f t="shared" si="185"/>
        <v>938948125</v>
      </c>
      <c r="AM158" s="96">
        <f t="shared" si="185"/>
        <v>938948125</v>
      </c>
      <c r="AN158" s="96">
        <f t="shared" si="185"/>
        <v>938948125</v>
      </c>
      <c r="AO158" s="96">
        <f t="shared" si="185"/>
        <v>938948125</v>
      </c>
      <c r="AP158" s="96">
        <f t="shared" si="185"/>
        <v>984317826</v>
      </c>
      <c r="AQ158" s="96">
        <f t="shared" si="185"/>
        <v>984317826</v>
      </c>
      <c r="AR158" s="96">
        <f t="shared" si="185"/>
        <v>984317826</v>
      </c>
      <c r="AS158" s="96">
        <f t="shared" si="185"/>
        <v>984317826</v>
      </c>
      <c r="AT158" s="96">
        <f t="shared" si="185"/>
        <v>984317826</v>
      </c>
      <c r="AU158" s="96">
        <f t="shared" si="185"/>
        <v>984317826</v>
      </c>
      <c r="AV158" s="96">
        <f t="shared" si="185"/>
        <v>984317826</v>
      </c>
      <c r="AW158" s="96">
        <f t="shared" si="185"/>
        <v>984317826</v>
      </c>
      <c r="AX158" s="96">
        <f t="shared" si="185"/>
        <v>984317826</v>
      </c>
      <c r="AY158" s="96">
        <f t="shared" si="185"/>
        <v>984317826</v>
      </c>
      <c r="AZ158" s="96">
        <f t="shared" si="185"/>
        <v>984317826</v>
      </c>
      <c r="BA158" s="96">
        <f t="shared" si="185"/>
        <v>984317826</v>
      </c>
      <c r="BB158" s="96">
        <f t="shared" si="185"/>
        <v>984317826</v>
      </c>
      <c r="BC158" s="96">
        <f t="shared" si="185"/>
        <v>1000054140</v>
      </c>
      <c r="BD158" s="96">
        <f t="shared" si="185"/>
        <v>1000054140</v>
      </c>
      <c r="BE158" s="96">
        <f t="shared" si="185"/>
        <v>1000054140</v>
      </c>
      <c r="BF158" s="96">
        <f t="shared" si="185"/>
        <v>1000054140</v>
      </c>
      <c r="BG158" s="96">
        <f t="shared" si="185"/>
        <v>1000054140</v>
      </c>
      <c r="BH158" s="96">
        <f t="shared" si="185"/>
        <v>1000054140</v>
      </c>
      <c r="BI158" s="96">
        <f t="shared" si="185"/>
        <v>1000054140</v>
      </c>
      <c r="BJ158" s="96">
        <f t="shared" si="185"/>
        <v>1000054140</v>
      </c>
      <c r="BK158" s="96">
        <f t="shared" si="185"/>
        <v>1000054140</v>
      </c>
      <c r="BL158" s="96">
        <f t="shared" si="185"/>
        <v>1000054140</v>
      </c>
      <c r="BM158" s="96">
        <f t="shared" si="185"/>
        <v>1000054140</v>
      </c>
      <c r="BN158" s="96">
        <f t="shared" si="185"/>
        <v>1000054140</v>
      </c>
      <c r="BO158" s="96">
        <f t="shared" ref="BO158:CT158" si="186">+BO10+BO49+BO88</f>
        <v>1000054140</v>
      </c>
      <c r="BP158" s="96">
        <f t="shared" si="186"/>
        <v>1058038695</v>
      </c>
      <c r="BQ158" s="96">
        <f t="shared" si="186"/>
        <v>1058038695</v>
      </c>
      <c r="BR158" s="96">
        <f t="shared" si="186"/>
        <v>1058038695</v>
      </c>
      <c r="BS158" s="96">
        <f t="shared" si="186"/>
        <v>1058038695</v>
      </c>
      <c r="BT158" s="96">
        <f t="shared" si="186"/>
        <v>1058038695</v>
      </c>
      <c r="BU158" s="96">
        <f t="shared" si="186"/>
        <v>1058038695</v>
      </c>
      <c r="BV158" s="96">
        <f t="shared" si="186"/>
        <v>1058038695</v>
      </c>
      <c r="BW158" s="96">
        <f t="shared" si="186"/>
        <v>1058038695</v>
      </c>
      <c r="BX158" s="96">
        <f t="shared" si="186"/>
        <v>1058038695</v>
      </c>
      <c r="BY158" s="96">
        <f t="shared" si="186"/>
        <v>1058038695</v>
      </c>
      <c r="BZ158" s="96">
        <f t="shared" si="186"/>
        <v>1058038695</v>
      </c>
      <c r="CA158" s="96">
        <f t="shared" si="186"/>
        <v>1058038695</v>
      </c>
      <c r="CB158" s="96">
        <f t="shared" si="186"/>
        <v>1058038695</v>
      </c>
      <c r="CC158" s="96">
        <f t="shared" si="186"/>
        <v>1150063378</v>
      </c>
      <c r="CD158" s="96">
        <f t="shared" si="186"/>
        <v>1150063378</v>
      </c>
      <c r="CE158" s="96">
        <f t="shared" si="186"/>
        <v>1150063378</v>
      </c>
      <c r="CF158" s="96">
        <f t="shared" si="186"/>
        <v>1150063378</v>
      </c>
      <c r="CG158" s="96">
        <f t="shared" si="186"/>
        <v>1150063378</v>
      </c>
      <c r="CH158" s="96">
        <f t="shared" si="186"/>
        <v>1150063378</v>
      </c>
      <c r="CI158" s="96">
        <f t="shared" si="186"/>
        <v>1150063378</v>
      </c>
      <c r="CJ158" s="96">
        <f t="shared" si="186"/>
        <v>1150063378</v>
      </c>
      <c r="CK158" s="96">
        <f t="shared" si="186"/>
        <v>1150063378</v>
      </c>
      <c r="CL158" s="96">
        <f t="shared" si="186"/>
        <v>1150063378</v>
      </c>
      <c r="CM158" s="96">
        <f t="shared" si="186"/>
        <v>1150063378</v>
      </c>
      <c r="CN158" s="96">
        <f t="shared" si="186"/>
        <v>1150063378</v>
      </c>
      <c r="CO158" s="96">
        <f t="shared" si="186"/>
        <v>1150063378</v>
      </c>
      <c r="CP158" s="96">
        <f t="shared" si="186"/>
        <v>1607158253</v>
      </c>
      <c r="CQ158" s="96">
        <f t="shared" si="186"/>
        <v>1607158253</v>
      </c>
      <c r="CR158" s="96">
        <f t="shared" si="186"/>
        <v>1607158253</v>
      </c>
      <c r="CS158" s="96">
        <f t="shared" si="186"/>
        <v>1607158253</v>
      </c>
      <c r="CT158" s="96">
        <f t="shared" si="186"/>
        <v>1607158253</v>
      </c>
      <c r="CU158" s="96">
        <f t="shared" ref="CU158:DZ158" si="187">+CU10+CU49+CU88</f>
        <v>1607158253</v>
      </c>
      <c r="CV158" s="96">
        <f t="shared" si="187"/>
        <v>1607158253</v>
      </c>
      <c r="CW158" s="96">
        <f t="shared" si="187"/>
        <v>1607158253</v>
      </c>
      <c r="CX158" s="96">
        <f t="shared" si="187"/>
        <v>1607158253</v>
      </c>
      <c r="CY158" s="96">
        <f t="shared" si="187"/>
        <v>1607158253</v>
      </c>
      <c r="CZ158" s="96">
        <f t="shared" si="187"/>
        <v>1607158253</v>
      </c>
      <c r="DA158" s="96">
        <f t="shared" si="187"/>
        <v>1607158253</v>
      </c>
      <c r="DB158" s="96">
        <f t="shared" si="187"/>
        <v>1607158253</v>
      </c>
      <c r="DC158" s="96">
        <f t="shared" si="187"/>
        <v>1802763004</v>
      </c>
      <c r="DD158" s="96">
        <f t="shared" si="187"/>
        <v>1802763004</v>
      </c>
      <c r="DE158" s="96">
        <f t="shared" si="187"/>
        <v>1802763004</v>
      </c>
      <c r="DF158" s="96">
        <f t="shared" si="187"/>
        <v>1802763004</v>
      </c>
      <c r="DG158" s="96">
        <f t="shared" si="187"/>
        <v>1802763004</v>
      </c>
      <c r="DH158" s="96">
        <f t="shared" si="187"/>
        <v>1802763004</v>
      </c>
      <c r="DI158" s="96">
        <f t="shared" si="187"/>
        <v>1802763004</v>
      </c>
      <c r="DJ158" s="96">
        <f t="shared" si="187"/>
        <v>1802763004</v>
      </c>
      <c r="DK158" s="96">
        <f t="shared" si="187"/>
        <v>1802763004</v>
      </c>
      <c r="DL158" s="96">
        <f t="shared" si="187"/>
        <v>1802763004</v>
      </c>
      <c r="DM158" s="96">
        <f t="shared" si="187"/>
        <v>1802763004</v>
      </c>
      <c r="DN158" s="96">
        <f t="shared" si="187"/>
        <v>1802763004</v>
      </c>
      <c r="DO158" s="96">
        <f t="shared" si="187"/>
        <v>1802763004</v>
      </c>
      <c r="DP158" s="96">
        <f t="shared" si="187"/>
        <v>1935944585</v>
      </c>
      <c r="DQ158" s="96">
        <f t="shared" si="187"/>
        <v>1935944585</v>
      </c>
      <c r="DR158" s="96">
        <f t="shared" si="187"/>
        <v>1935944585</v>
      </c>
      <c r="DS158" s="96">
        <f t="shared" si="187"/>
        <v>1935944585</v>
      </c>
      <c r="DT158" s="96">
        <f t="shared" si="187"/>
        <v>1935944585</v>
      </c>
      <c r="DU158" s="96">
        <f t="shared" si="187"/>
        <v>1935944585</v>
      </c>
      <c r="DV158" s="96">
        <f t="shared" si="187"/>
        <v>1935944585</v>
      </c>
      <c r="DW158" s="96">
        <f t="shared" si="187"/>
        <v>1935944585</v>
      </c>
      <c r="DX158" s="96">
        <f t="shared" si="187"/>
        <v>1935944585</v>
      </c>
      <c r="DY158" s="96">
        <f t="shared" si="187"/>
        <v>1935944585</v>
      </c>
      <c r="DZ158" s="96">
        <f t="shared" si="187"/>
        <v>1935944585</v>
      </c>
      <c r="EA158" s="96">
        <f t="shared" ref="EA158:FF158" si="188">+EA10+EA49+EA88</f>
        <v>1935944585</v>
      </c>
      <c r="EB158" s="96">
        <f t="shared" si="188"/>
        <v>1935944585</v>
      </c>
      <c r="EC158" s="96">
        <f t="shared" si="188"/>
        <v>2013820541</v>
      </c>
      <c r="ED158" s="96">
        <f t="shared" si="188"/>
        <v>2013820541</v>
      </c>
      <c r="EE158" s="96">
        <f t="shared" si="188"/>
        <v>2013820541</v>
      </c>
      <c r="EF158" s="96">
        <f t="shared" si="188"/>
        <v>2013820541</v>
      </c>
      <c r="EG158" s="96">
        <f t="shared" si="188"/>
        <v>2013820541</v>
      </c>
      <c r="EH158" s="96">
        <f t="shared" si="188"/>
        <v>2013820541</v>
      </c>
      <c r="EI158" s="96">
        <f t="shared" si="188"/>
        <v>2013820541</v>
      </c>
      <c r="EJ158" s="96">
        <f t="shared" si="188"/>
        <v>2013820541</v>
      </c>
      <c r="EK158" s="96">
        <f t="shared" si="188"/>
        <v>2013820541</v>
      </c>
      <c r="EL158" s="96">
        <f t="shared" si="188"/>
        <v>2013820541</v>
      </c>
      <c r="EM158" s="96">
        <f t="shared" si="188"/>
        <v>2013820541</v>
      </c>
      <c r="EN158" s="96">
        <f t="shared" si="188"/>
        <v>2013820541</v>
      </c>
      <c r="EO158" s="96">
        <f t="shared" si="188"/>
        <v>2013820541</v>
      </c>
      <c r="EP158" s="96">
        <f t="shared" si="188"/>
        <v>2089643907</v>
      </c>
      <c r="EQ158" s="96">
        <f t="shared" si="188"/>
        <v>2089643907</v>
      </c>
      <c r="ER158" s="96">
        <f t="shared" si="188"/>
        <v>2089643907</v>
      </c>
      <c r="ES158" s="96">
        <f t="shared" si="188"/>
        <v>2089643907</v>
      </c>
      <c r="ET158" s="96">
        <f t="shared" si="188"/>
        <v>2089643907</v>
      </c>
      <c r="EU158" s="96">
        <f t="shared" si="188"/>
        <v>2089643907</v>
      </c>
      <c r="EV158" s="96">
        <f t="shared" si="188"/>
        <v>2089643907</v>
      </c>
      <c r="EW158" s="96">
        <f t="shared" si="188"/>
        <v>2089643907</v>
      </c>
      <c r="EX158" s="96">
        <f t="shared" si="188"/>
        <v>2089643907</v>
      </c>
      <c r="EY158" s="96">
        <f t="shared" si="188"/>
        <v>2089643907</v>
      </c>
      <c r="EZ158" s="96">
        <f t="shared" si="188"/>
        <v>2089643907</v>
      </c>
      <c r="FA158" s="96">
        <f t="shared" si="188"/>
        <v>2089643907</v>
      </c>
      <c r="FB158" s="96">
        <f t="shared" si="188"/>
        <v>2089643907</v>
      </c>
      <c r="FC158" s="96">
        <f t="shared" si="188"/>
        <v>1952548555</v>
      </c>
      <c r="FD158" s="96">
        <f t="shared" si="188"/>
        <v>1952548555</v>
      </c>
      <c r="FE158" s="96">
        <f t="shared" si="188"/>
        <v>1952548555</v>
      </c>
      <c r="FF158" s="96">
        <f t="shared" si="188"/>
        <v>1952548555</v>
      </c>
      <c r="FG158" s="96">
        <f t="shared" ref="FG158:FO158" si="189">+FG10+FG49+FG88</f>
        <v>1952548555</v>
      </c>
      <c r="FH158" s="96">
        <f t="shared" si="189"/>
        <v>1952548555</v>
      </c>
      <c r="FI158" s="96">
        <f t="shared" si="189"/>
        <v>1952548555</v>
      </c>
      <c r="FJ158" s="96">
        <f t="shared" si="189"/>
        <v>0</v>
      </c>
      <c r="FK158" s="96">
        <f t="shared" si="189"/>
        <v>0</v>
      </c>
      <c r="FL158" s="96">
        <f t="shared" si="189"/>
        <v>0</v>
      </c>
      <c r="FM158" s="96">
        <f t="shared" si="189"/>
        <v>0</v>
      </c>
      <c r="FN158" s="96">
        <f t="shared" si="189"/>
        <v>0</v>
      </c>
      <c r="FO158" s="96">
        <f t="shared" si="189"/>
        <v>1952548555</v>
      </c>
    </row>
    <row r="159" spans="1:171" ht="14.25" customHeight="1">
      <c r="A159" s="10"/>
      <c r="B159" s="10" t="str">
        <f t="shared" si="183"/>
        <v>Dirección de Obras Hidráulicas</v>
      </c>
      <c r="C159" s="96">
        <f t="shared" ref="C159:AH159" si="190">+C11+C50+C89</f>
        <v>101618456</v>
      </c>
      <c r="D159" s="96">
        <f t="shared" si="190"/>
        <v>101618456</v>
      </c>
      <c r="E159" s="96">
        <f t="shared" si="190"/>
        <v>101618456</v>
      </c>
      <c r="F159" s="96">
        <f t="shared" si="190"/>
        <v>101618456</v>
      </c>
      <c r="G159" s="96">
        <f t="shared" si="190"/>
        <v>101618456</v>
      </c>
      <c r="H159" s="96">
        <f t="shared" si="190"/>
        <v>101618456</v>
      </c>
      <c r="I159" s="96">
        <f t="shared" si="190"/>
        <v>101618456</v>
      </c>
      <c r="J159" s="96">
        <f t="shared" si="190"/>
        <v>101618456</v>
      </c>
      <c r="K159" s="96">
        <f t="shared" si="190"/>
        <v>101618456</v>
      </c>
      <c r="L159" s="96">
        <f t="shared" si="190"/>
        <v>101618456</v>
      </c>
      <c r="M159" s="96">
        <f t="shared" si="190"/>
        <v>101618456</v>
      </c>
      <c r="N159" s="96">
        <f t="shared" si="190"/>
        <v>101618456</v>
      </c>
      <c r="O159" s="96">
        <f t="shared" si="190"/>
        <v>101618456</v>
      </c>
      <c r="P159" s="96">
        <f t="shared" si="190"/>
        <v>117760449</v>
      </c>
      <c r="Q159" s="96">
        <f t="shared" si="190"/>
        <v>117760449</v>
      </c>
      <c r="R159" s="96">
        <f t="shared" si="190"/>
        <v>117760449</v>
      </c>
      <c r="S159" s="96">
        <f t="shared" si="190"/>
        <v>117760449</v>
      </c>
      <c r="T159" s="96">
        <f t="shared" si="190"/>
        <v>117760449</v>
      </c>
      <c r="U159" s="96">
        <f t="shared" si="190"/>
        <v>117760449</v>
      </c>
      <c r="V159" s="96">
        <f t="shared" si="190"/>
        <v>117760449</v>
      </c>
      <c r="W159" s="96">
        <f t="shared" si="190"/>
        <v>117760449</v>
      </c>
      <c r="X159" s="96">
        <f t="shared" si="190"/>
        <v>117760449</v>
      </c>
      <c r="Y159" s="96">
        <f t="shared" si="190"/>
        <v>117760449</v>
      </c>
      <c r="Z159" s="96">
        <f t="shared" si="190"/>
        <v>117760449</v>
      </c>
      <c r="AA159" s="96">
        <f t="shared" si="190"/>
        <v>117760449</v>
      </c>
      <c r="AB159" s="96">
        <f t="shared" si="190"/>
        <v>117760449</v>
      </c>
      <c r="AC159" s="96">
        <f t="shared" si="190"/>
        <v>127620066</v>
      </c>
      <c r="AD159" s="96">
        <f t="shared" si="190"/>
        <v>127620066</v>
      </c>
      <c r="AE159" s="96">
        <f t="shared" si="190"/>
        <v>127620066</v>
      </c>
      <c r="AF159" s="96">
        <f t="shared" si="190"/>
        <v>127620066</v>
      </c>
      <c r="AG159" s="96">
        <f t="shared" si="190"/>
        <v>127620066</v>
      </c>
      <c r="AH159" s="96">
        <f t="shared" si="190"/>
        <v>127620066</v>
      </c>
      <c r="AI159" s="96">
        <f t="shared" ref="AI159:BN159" si="191">+AI11+AI50+AI89</f>
        <v>127620066</v>
      </c>
      <c r="AJ159" s="96">
        <f t="shared" si="191"/>
        <v>127620066</v>
      </c>
      <c r="AK159" s="96">
        <f t="shared" si="191"/>
        <v>127620066</v>
      </c>
      <c r="AL159" s="96">
        <f t="shared" si="191"/>
        <v>127620066</v>
      </c>
      <c r="AM159" s="96">
        <f t="shared" si="191"/>
        <v>127620066</v>
      </c>
      <c r="AN159" s="96">
        <f t="shared" si="191"/>
        <v>127620066</v>
      </c>
      <c r="AO159" s="96">
        <f t="shared" si="191"/>
        <v>127620066</v>
      </c>
      <c r="AP159" s="96">
        <f t="shared" si="191"/>
        <v>121810337</v>
      </c>
      <c r="AQ159" s="96">
        <f t="shared" si="191"/>
        <v>121810337</v>
      </c>
      <c r="AR159" s="96">
        <f t="shared" si="191"/>
        <v>121810337</v>
      </c>
      <c r="AS159" s="96">
        <f t="shared" si="191"/>
        <v>121810337</v>
      </c>
      <c r="AT159" s="96">
        <f t="shared" si="191"/>
        <v>121810337</v>
      </c>
      <c r="AU159" s="96">
        <f t="shared" si="191"/>
        <v>121810337</v>
      </c>
      <c r="AV159" s="96">
        <f t="shared" si="191"/>
        <v>121810337</v>
      </c>
      <c r="AW159" s="96">
        <f t="shared" si="191"/>
        <v>121810337</v>
      </c>
      <c r="AX159" s="96">
        <f t="shared" si="191"/>
        <v>121810337</v>
      </c>
      <c r="AY159" s="96">
        <f t="shared" si="191"/>
        <v>121810337</v>
      </c>
      <c r="AZ159" s="96">
        <f t="shared" si="191"/>
        <v>121810337</v>
      </c>
      <c r="BA159" s="96">
        <f t="shared" si="191"/>
        <v>121810337</v>
      </c>
      <c r="BB159" s="96">
        <f t="shared" si="191"/>
        <v>121810337</v>
      </c>
      <c r="BC159" s="96">
        <f t="shared" si="191"/>
        <v>119924871</v>
      </c>
      <c r="BD159" s="96">
        <f t="shared" si="191"/>
        <v>119924871</v>
      </c>
      <c r="BE159" s="96">
        <f t="shared" si="191"/>
        <v>119924871</v>
      </c>
      <c r="BF159" s="96">
        <f t="shared" si="191"/>
        <v>119924871</v>
      </c>
      <c r="BG159" s="96">
        <f t="shared" si="191"/>
        <v>119924871</v>
      </c>
      <c r="BH159" s="96">
        <f t="shared" si="191"/>
        <v>119924871</v>
      </c>
      <c r="BI159" s="96">
        <f t="shared" si="191"/>
        <v>119924871</v>
      </c>
      <c r="BJ159" s="96">
        <f t="shared" si="191"/>
        <v>119924871</v>
      </c>
      <c r="BK159" s="96">
        <f t="shared" si="191"/>
        <v>119924871</v>
      </c>
      <c r="BL159" s="96">
        <f t="shared" si="191"/>
        <v>119924871</v>
      </c>
      <c r="BM159" s="96">
        <f t="shared" si="191"/>
        <v>119924871</v>
      </c>
      <c r="BN159" s="96">
        <f t="shared" si="191"/>
        <v>119924871</v>
      </c>
      <c r="BO159" s="96">
        <f t="shared" ref="BO159:CT159" si="192">+BO11+BO50+BO89</f>
        <v>119924871</v>
      </c>
      <c r="BP159" s="96">
        <f t="shared" si="192"/>
        <v>129298067</v>
      </c>
      <c r="BQ159" s="96">
        <f t="shared" si="192"/>
        <v>129298067</v>
      </c>
      <c r="BR159" s="96">
        <f t="shared" si="192"/>
        <v>129298067</v>
      </c>
      <c r="BS159" s="96">
        <f t="shared" si="192"/>
        <v>129298067</v>
      </c>
      <c r="BT159" s="96">
        <f t="shared" si="192"/>
        <v>129298067</v>
      </c>
      <c r="BU159" s="96">
        <f t="shared" si="192"/>
        <v>129298067</v>
      </c>
      <c r="BV159" s="96">
        <f t="shared" si="192"/>
        <v>129298067</v>
      </c>
      <c r="BW159" s="96">
        <f t="shared" si="192"/>
        <v>129298067</v>
      </c>
      <c r="BX159" s="96">
        <f t="shared" si="192"/>
        <v>129298067</v>
      </c>
      <c r="BY159" s="96">
        <f t="shared" si="192"/>
        <v>129298067</v>
      </c>
      <c r="BZ159" s="96">
        <f t="shared" si="192"/>
        <v>129298067</v>
      </c>
      <c r="CA159" s="96">
        <f t="shared" si="192"/>
        <v>129298067</v>
      </c>
      <c r="CB159" s="96">
        <f t="shared" si="192"/>
        <v>129298067</v>
      </c>
      <c r="CC159" s="96">
        <f t="shared" si="192"/>
        <v>137859738</v>
      </c>
      <c r="CD159" s="96">
        <f t="shared" si="192"/>
        <v>137859738</v>
      </c>
      <c r="CE159" s="96">
        <f t="shared" si="192"/>
        <v>137859738</v>
      </c>
      <c r="CF159" s="96">
        <f t="shared" si="192"/>
        <v>137859738</v>
      </c>
      <c r="CG159" s="96">
        <f t="shared" si="192"/>
        <v>137859738</v>
      </c>
      <c r="CH159" s="96">
        <f t="shared" si="192"/>
        <v>137859738</v>
      </c>
      <c r="CI159" s="96">
        <f t="shared" si="192"/>
        <v>137859738</v>
      </c>
      <c r="CJ159" s="96">
        <f t="shared" si="192"/>
        <v>137859738</v>
      </c>
      <c r="CK159" s="96">
        <f t="shared" si="192"/>
        <v>137859738</v>
      </c>
      <c r="CL159" s="96">
        <f t="shared" si="192"/>
        <v>137859738</v>
      </c>
      <c r="CM159" s="96">
        <f t="shared" si="192"/>
        <v>137859738</v>
      </c>
      <c r="CN159" s="96">
        <f t="shared" si="192"/>
        <v>137859738</v>
      </c>
      <c r="CO159" s="96">
        <f t="shared" si="192"/>
        <v>137859738</v>
      </c>
      <c r="CP159" s="96">
        <f t="shared" si="192"/>
        <v>241631402</v>
      </c>
      <c r="CQ159" s="96">
        <f t="shared" si="192"/>
        <v>241631402</v>
      </c>
      <c r="CR159" s="96">
        <f t="shared" si="192"/>
        <v>241631402</v>
      </c>
      <c r="CS159" s="96">
        <f t="shared" si="192"/>
        <v>241631402</v>
      </c>
      <c r="CT159" s="96">
        <f t="shared" si="192"/>
        <v>241631402</v>
      </c>
      <c r="CU159" s="96">
        <f t="shared" ref="CU159:DZ159" si="193">+CU11+CU50+CU89</f>
        <v>241631402</v>
      </c>
      <c r="CV159" s="96">
        <f t="shared" si="193"/>
        <v>241631402</v>
      </c>
      <c r="CW159" s="96">
        <f t="shared" si="193"/>
        <v>241631402</v>
      </c>
      <c r="CX159" s="96">
        <f t="shared" si="193"/>
        <v>241631402</v>
      </c>
      <c r="CY159" s="96">
        <f t="shared" si="193"/>
        <v>241631402</v>
      </c>
      <c r="CZ159" s="96">
        <f t="shared" si="193"/>
        <v>241631402</v>
      </c>
      <c r="DA159" s="96">
        <f t="shared" si="193"/>
        <v>241631402</v>
      </c>
      <c r="DB159" s="96">
        <f t="shared" si="193"/>
        <v>241631402</v>
      </c>
      <c r="DC159" s="96">
        <f t="shared" si="193"/>
        <v>277965767</v>
      </c>
      <c r="DD159" s="96">
        <f t="shared" si="193"/>
        <v>277965767</v>
      </c>
      <c r="DE159" s="96">
        <f t="shared" si="193"/>
        <v>277965767</v>
      </c>
      <c r="DF159" s="96">
        <f t="shared" si="193"/>
        <v>277965767</v>
      </c>
      <c r="DG159" s="96">
        <f t="shared" si="193"/>
        <v>277965767</v>
      </c>
      <c r="DH159" s="96">
        <f t="shared" si="193"/>
        <v>277965767</v>
      </c>
      <c r="DI159" s="96">
        <f t="shared" si="193"/>
        <v>277965767</v>
      </c>
      <c r="DJ159" s="96">
        <f t="shared" si="193"/>
        <v>277965767</v>
      </c>
      <c r="DK159" s="96">
        <f t="shared" si="193"/>
        <v>277965767</v>
      </c>
      <c r="DL159" s="96">
        <f t="shared" si="193"/>
        <v>277965767</v>
      </c>
      <c r="DM159" s="96">
        <f t="shared" si="193"/>
        <v>277965767</v>
      </c>
      <c r="DN159" s="96">
        <f t="shared" si="193"/>
        <v>277965767</v>
      </c>
      <c r="DO159" s="96">
        <f t="shared" si="193"/>
        <v>277965767</v>
      </c>
      <c r="DP159" s="96">
        <f t="shared" si="193"/>
        <v>294238891</v>
      </c>
      <c r="DQ159" s="96">
        <f t="shared" si="193"/>
        <v>294238891</v>
      </c>
      <c r="DR159" s="96">
        <f t="shared" si="193"/>
        <v>294238891</v>
      </c>
      <c r="DS159" s="96">
        <f t="shared" si="193"/>
        <v>294238891</v>
      </c>
      <c r="DT159" s="96">
        <f t="shared" si="193"/>
        <v>294238891</v>
      </c>
      <c r="DU159" s="96">
        <f t="shared" si="193"/>
        <v>294238891</v>
      </c>
      <c r="DV159" s="96">
        <f t="shared" si="193"/>
        <v>294238891</v>
      </c>
      <c r="DW159" s="96">
        <f t="shared" si="193"/>
        <v>294238891</v>
      </c>
      <c r="DX159" s="96">
        <f t="shared" si="193"/>
        <v>294238891</v>
      </c>
      <c r="DY159" s="96">
        <f t="shared" si="193"/>
        <v>294238891</v>
      </c>
      <c r="DZ159" s="96">
        <f t="shared" si="193"/>
        <v>294238891</v>
      </c>
      <c r="EA159" s="96">
        <f t="shared" ref="EA159:FF159" si="194">+EA11+EA50+EA89</f>
        <v>294238891</v>
      </c>
      <c r="EB159" s="96">
        <f t="shared" si="194"/>
        <v>294238891</v>
      </c>
      <c r="EC159" s="96">
        <f t="shared" si="194"/>
        <v>296558472</v>
      </c>
      <c r="ED159" s="96">
        <f t="shared" si="194"/>
        <v>296558472</v>
      </c>
      <c r="EE159" s="96">
        <f t="shared" si="194"/>
        <v>296558472</v>
      </c>
      <c r="EF159" s="96">
        <f t="shared" si="194"/>
        <v>296558472</v>
      </c>
      <c r="EG159" s="96">
        <f t="shared" si="194"/>
        <v>296558472</v>
      </c>
      <c r="EH159" s="96">
        <f t="shared" si="194"/>
        <v>296558472</v>
      </c>
      <c r="EI159" s="96">
        <f t="shared" si="194"/>
        <v>296558472</v>
      </c>
      <c r="EJ159" s="96">
        <f t="shared" si="194"/>
        <v>296558472</v>
      </c>
      <c r="EK159" s="96">
        <f t="shared" si="194"/>
        <v>296558472</v>
      </c>
      <c r="EL159" s="96">
        <f t="shared" si="194"/>
        <v>296558472</v>
      </c>
      <c r="EM159" s="96">
        <f t="shared" si="194"/>
        <v>296558472</v>
      </c>
      <c r="EN159" s="96">
        <f t="shared" si="194"/>
        <v>296558472</v>
      </c>
      <c r="EO159" s="96">
        <f t="shared" si="194"/>
        <v>296558472</v>
      </c>
      <c r="EP159" s="96">
        <f t="shared" si="194"/>
        <v>309355293</v>
      </c>
      <c r="EQ159" s="96">
        <f t="shared" si="194"/>
        <v>309355293</v>
      </c>
      <c r="ER159" s="96">
        <f t="shared" si="194"/>
        <v>309355293</v>
      </c>
      <c r="ES159" s="96">
        <f t="shared" si="194"/>
        <v>309355293</v>
      </c>
      <c r="ET159" s="96">
        <f t="shared" si="194"/>
        <v>309355293</v>
      </c>
      <c r="EU159" s="96">
        <f t="shared" si="194"/>
        <v>309355293</v>
      </c>
      <c r="EV159" s="96">
        <f t="shared" si="194"/>
        <v>309355293</v>
      </c>
      <c r="EW159" s="96">
        <f t="shared" si="194"/>
        <v>309355293</v>
      </c>
      <c r="EX159" s="96">
        <f t="shared" si="194"/>
        <v>309355293</v>
      </c>
      <c r="EY159" s="96">
        <f t="shared" si="194"/>
        <v>309355293</v>
      </c>
      <c r="EZ159" s="96">
        <f t="shared" si="194"/>
        <v>309355293</v>
      </c>
      <c r="FA159" s="96">
        <f t="shared" si="194"/>
        <v>309355293</v>
      </c>
      <c r="FB159" s="96">
        <f t="shared" si="194"/>
        <v>309355293</v>
      </c>
      <c r="FC159" s="96">
        <f t="shared" si="194"/>
        <v>196557188</v>
      </c>
      <c r="FD159" s="96">
        <f t="shared" si="194"/>
        <v>196557188</v>
      </c>
      <c r="FE159" s="96">
        <f t="shared" si="194"/>
        <v>196557188</v>
      </c>
      <c r="FF159" s="96">
        <f t="shared" si="194"/>
        <v>196557188</v>
      </c>
      <c r="FG159" s="96">
        <f t="shared" ref="FG159:FO159" si="195">+FG11+FG50+FG89</f>
        <v>196557188</v>
      </c>
      <c r="FH159" s="96">
        <f t="shared" si="195"/>
        <v>196557188</v>
      </c>
      <c r="FI159" s="96">
        <f t="shared" si="195"/>
        <v>196557188</v>
      </c>
      <c r="FJ159" s="96">
        <f t="shared" si="195"/>
        <v>0</v>
      </c>
      <c r="FK159" s="96">
        <f t="shared" si="195"/>
        <v>0</v>
      </c>
      <c r="FL159" s="96">
        <f t="shared" si="195"/>
        <v>0</v>
      </c>
      <c r="FM159" s="96">
        <f t="shared" si="195"/>
        <v>0</v>
      </c>
      <c r="FN159" s="96">
        <f t="shared" si="195"/>
        <v>0</v>
      </c>
      <c r="FO159" s="96">
        <f t="shared" si="195"/>
        <v>196557188</v>
      </c>
    </row>
    <row r="160" spans="1:171" ht="14.25" customHeight="1">
      <c r="A160" s="10"/>
      <c r="B160" s="10" t="str">
        <f t="shared" si="183"/>
        <v>Subdirección de APR</v>
      </c>
      <c r="C160" s="96">
        <f t="shared" ref="C160:AH160" si="196">+C12+C51+C90</f>
        <v>49447954</v>
      </c>
      <c r="D160" s="96">
        <f t="shared" si="196"/>
        <v>49447954</v>
      </c>
      <c r="E160" s="96">
        <f t="shared" si="196"/>
        <v>49447954</v>
      </c>
      <c r="F160" s="96">
        <f t="shared" si="196"/>
        <v>49447954</v>
      </c>
      <c r="G160" s="96">
        <f t="shared" si="196"/>
        <v>49447954</v>
      </c>
      <c r="H160" s="96">
        <f t="shared" si="196"/>
        <v>49447954</v>
      </c>
      <c r="I160" s="96">
        <f t="shared" si="196"/>
        <v>49447954</v>
      </c>
      <c r="J160" s="96">
        <f t="shared" si="196"/>
        <v>49447954</v>
      </c>
      <c r="K160" s="96">
        <f t="shared" si="196"/>
        <v>49447954</v>
      </c>
      <c r="L160" s="96">
        <f t="shared" si="196"/>
        <v>49447954</v>
      </c>
      <c r="M160" s="96">
        <f t="shared" si="196"/>
        <v>49447954</v>
      </c>
      <c r="N160" s="96">
        <f t="shared" si="196"/>
        <v>49447954</v>
      </c>
      <c r="O160" s="96">
        <f t="shared" si="196"/>
        <v>49447954</v>
      </c>
      <c r="P160" s="96">
        <f t="shared" si="196"/>
        <v>68963219</v>
      </c>
      <c r="Q160" s="96">
        <f t="shared" si="196"/>
        <v>68963219</v>
      </c>
      <c r="R160" s="96">
        <f t="shared" si="196"/>
        <v>68963219</v>
      </c>
      <c r="S160" s="96">
        <f t="shared" si="196"/>
        <v>68963219</v>
      </c>
      <c r="T160" s="96">
        <f t="shared" si="196"/>
        <v>68963219</v>
      </c>
      <c r="U160" s="96">
        <f t="shared" si="196"/>
        <v>68963219</v>
      </c>
      <c r="V160" s="96">
        <f t="shared" si="196"/>
        <v>68963219</v>
      </c>
      <c r="W160" s="96">
        <f t="shared" si="196"/>
        <v>68963219</v>
      </c>
      <c r="X160" s="96">
        <f t="shared" si="196"/>
        <v>68963219</v>
      </c>
      <c r="Y160" s="96">
        <f t="shared" si="196"/>
        <v>68963219</v>
      </c>
      <c r="Z160" s="96">
        <f t="shared" si="196"/>
        <v>68963219</v>
      </c>
      <c r="AA160" s="96">
        <f t="shared" si="196"/>
        <v>68963219</v>
      </c>
      <c r="AB160" s="96">
        <f t="shared" si="196"/>
        <v>68963219</v>
      </c>
      <c r="AC160" s="96">
        <f t="shared" si="196"/>
        <v>71565319</v>
      </c>
      <c r="AD160" s="96">
        <f t="shared" si="196"/>
        <v>71565319</v>
      </c>
      <c r="AE160" s="96">
        <f t="shared" si="196"/>
        <v>71565319</v>
      </c>
      <c r="AF160" s="96">
        <f t="shared" si="196"/>
        <v>71565319</v>
      </c>
      <c r="AG160" s="96">
        <f t="shared" si="196"/>
        <v>71565319</v>
      </c>
      <c r="AH160" s="96">
        <f t="shared" si="196"/>
        <v>71565319</v>
      </c>
      <c r="AI160" s="96">
        <f t="shared" ref="AI160:BN160" si="197">+AI12+AI51+AI90</f>
        <v>71565319</v>
      </c>
      <c r="AJ160" s="96">
        <f t="shared" si="197"/>
        <v>71565319</v>
      </c>
      <c r="AK160" s="96">
        <f t="shared" si="197"/>
        <v>71565319</v>
      </c>
      <c r="AL160" s="96">
        <f t="shared" si="197"/>
        <v>71565319</v>
      </c>
      <c r="AM160" s="96">
        <f t="shared" si="197"/>
        <v>71565319</v>
      </c>
      <c r="AN160" s="96">
        <f t="shared" si="197"/>
        <v>71565319</v>
      </c>
      <c r="AO160" s="96">
        <f t="shared" si="197"/>
        <v>71565319</v>
      </c>
      <c r="AP160" s="96">
        <f t="shared" si="197"/>
        <v>90040740</v>
      </c>
      <c r="AQ160" s="96">
        <f t="shared" si="197"/>
        <v>90040740</v>
      </c>
      <c r="AR160" s="96">
        <f t="shared" si="197"/>
        <v>90040740</v>
      </c>
      <c r="AS160" s="96">
        <f t="shared" si="197"/>
        <v>90040740</v>
      </c>
      <c r="AT160" s="96">
        <f t="shared" si="197"/>
        <v>90040740</v>
      </c>
      <c r="AU160" s="96">
        <f t="shared" si="197"/>
        <v>90040740</v>
      </c>
      <c r="AV160" s="96">
        <f t="shared" si="197"/>
        <v>90040740</v>
      </c>
      <c r="AW160" s="96">
        <f t="shared" si="197"/>
        <v>90040740</v>
      </c>
      <c r="AX160" s="96">
        <f t="shared" si="197"/>
        <v>90040740</v>
      </c>
      <c r="AY160" s="96">
        <f t="shared" si="197"/>
        <v>90040740</v>
      </c>
      <c r="AZ160" s="96">
        <f t="shared" si="197"/>
        <v>90040740</v>
      </c>
      <c r="BA160" s="96">
        <f t="shared" si="197"/>
        <v>90040740</v>
      </c>
      <c r="BB160" s="96">
        <f t="shared" si="197"/>
        <v>90040740</v>
      </c>
      <c r="BC160" s="96">
        <f t="shared" si="197"/>
        <v>103044523</v>
      </c>
      <c r="BD160" s="96">
        <f t="shared" si="197"/>
        <v>103044523</v>
      </c>
      <c r="BE160" s="96">
        <f t="shared" si="197"/>
        <v>103044523</v>
      </c>
      <c r="BF160" s="96">
        <f t="shared" si="197"/>
        <v>103044523</v>
      </c>
      <c r="BG160" s="96">
        <f t="shared" si="197"/>
        <v>103044523</v>
      </c>
      <c r="BH160" s="96">
        <f t="shared" si="197"/>
        <v>103044523</v>
      </c>
      <c r="BI160" s="96">
        <f t="shared" si="197"/>
        <v>103044523</v>
      </c>
      <c r="BJ160" s="96">
        <f t="shared" si="197"/>
        <v>103044523</v>
      </c>
      <c r="BK160" s="96">
        <f t="shared" si="197"/>
        <v>103044523</v>
      </c>
      <c r="BL160" s="96">
        <f t="shared" si="197"/>
        <v>103044523</v>
      </c>
      <c r="BM160" s="96">
        <f t="shared" si="197"/>
        <v>103044523</v>
      </c>
      <c r="BN160" s="96">
        <f t="shared" si="197"/>
        <v>103044523</v>
      </c>
      <c r="BO160" s="96">
        <f t="shared" ref="BO160:CT160" si="198">+BO12+BO51+BO90</f>
        <v>103044523</v>
      </c>
      <c r="BP160" s="96">
        <f t="shared" si="198"/>
        <v>114858205</v>
      </c>
      <c r="BQ160" s="96">
        <f t="shared" si="198"/>
        <v>114858205</v>
      </c>
      <c r="BR160" s="96">
        <f t="shared" si="198"/>
        <v>114858205</v>
      </c>
      <c r="BS160" s="96">
        <f t="shared" si="198"/>
        <v>114858205</v>
      </c>
      <c r="BT160" s="96">
        <f t="shared" si="198"/>
        <v>114858205</v>
      </c>
      <c r="BU160" s="96">
        <f t="shared" si="198"/>
        <v>114858205</v>
      </c>
      <c r="BV160" s="96">
        <f t="shared" si="198"/>
        <v>114858205</v>
      </c>
      <c r="BW160" s="96">
        <f t="shared" si="198"/>
        <v>114858205</v>
      </c>
      <c r="BX160" s="96">
        <f t="shared" si="198"/>
        <v>114858205</v>
      </c>
      <c r="BY160" s="96">
        <f t="shared" si="198"/>
        <v>114858205</v>
      </c>
      <c r="BZ160" s="96">
        <f t="shared" si="198"/>
        <v>114858205</v>
      </c>
      <c r="CA160" s="96">
        <f t="shared" si="198"/>
        <v>114858205</v>
      </c>
      <c r="CB160" s="96">
        <f t="shared" si="198"/>
        <v>114858205</v>
      </c>
      <c r="CC160" s="96">
        <f t="shared" si="198"/>
        <v>135545319</v>
      </c>
      <c r="CD160" s="96">
        <f t="shared" si="198"/>
        <v>135545319</v>
      </c>
      <c r="CE160" s="96">
        <f t="shared" si="198"/>
        <v>135545319</v>
      </c>
      <c r="CF160" s="96">
        <f t="shared" si="198"/>
        <v>135545319</v>
      </c>
      <c r="CG160" s="96">
        <f t="shared" si="198"/>
        <v>135545319</v>
      </c>
      <c r="CH160" s="96">
        <f t="shared" si="198"/>
        <v>135545319</v>
      </c>
      <c r="CI160" s="96">
        <f t="shared" si="198"/>
        <v>135545319</v>
      </c>
      <c r="CJ160" s="96">
        <f t="shared" si="198"/>
        <v>135545319</v>
      </c>
      <c r="CK160" s="96">
        <f t="shared" si="198"/>
        <v>135545319</v>
      </c>
      <c r="CL160" s="96">
        <f t="shared" si="198"/>
        <v>135545319</v>
      </c>
      <c r="CM160" s="96">
        <f t="shared" si="198"/>
        <v>135545319</v>
      </c>
      <c r="CN160" s="96">
        <f t="shared" si="198"/>
        <v>135545319</v>
      </c>
      <c r="CO160" s="96">
        <f t="shared" si="198"/>
        <v>135545319</v>
      </c>
      <c r="CP160" s="96">
        <f t="shared" si="198"/>
        <v>246752414</v>
      </c>
      <c r="CQ160" s="96">
        <f t="shared" si="198"/>
        <v>246752414</v>
      </c>
      <c r="CR160" s="96">
        <f t="shared" si="198"/>
        <v>246752414</v>
      </c>
      <c r="CS160" s="96">
        <f t="shared" si="198"/>
        <v>246752414</v>
      </c>
      <c r="CT160" s="96">
        <f t="shared" si="198"/>
        <v>246752414</v>
      </c>
      <c r="CU160" s="96">
        <f t="shared" ref="CU160:DZ160" si="199">+CU12+CU51+CU90</f>
        <v>246752414</v>
      </c>
      <c r="CV160" s="96">
        <f t="shared" si="199"/>
        <v>246752414</v>
      </c>
      <c r="CW160" s="96">
        <f t="shared" si="199"/>
        <v>246752414</v>
      </c>
      <c r="CX160" s="96">
        <f t="shared" si="199"/>
        <v>246752414</v>
      </c>
      <c r="CY160" s="96">
        <f t="shared" si="199"/>
        <v>246752414</v>
      </c>
      <c r="CZ160" s="96">
        <f t="shared" si="199"/>
        <v>246752414</v>
      </c>
      <c r="DA160" s="96">
        <f t="shared" si="199"/>
        <v>246752414</v>
      </c>
      <c r="DB160" s="96">
        <f t="shared" si="199"/>
        <v>246752414</v>
      </c>
      <c r="DC160" s="96">
        <f t="shared" si="199"/>
        <v>278803279</v>
      </c>
      <c r="DD160" s="96">
        <f t="shared" si="199"/>
        <v>278803279</v>
      </c>
      <c r="DE160" s="96">
        <f t="shared" si="199"/>
        <v>278803279</v>
      </c>
      <c r="DF160" s="96">
        <f t="shared" si="199"/>
        <v>278803279</v>
      </c>
      <c r="DG160" s="96">
        <f t="shared" si="199"/>
        <v>278803279</v>
      </c>
      <c r="DH160" s="96">
        <f t="shared" si="199"/>
        <v>278803279</v>
      </c>
      <c r="DI160" s="96">
        <f t="shared" si="199"/>
        <v>278803279</v>
      </c>
      <c r="DJ160" s="96">
        <f t="shared" si="199"/>
        <v>278803279</v>
      </c>
      <c r="DK160" s="96">
        <f t="shared" si="199"/>
        <v>278803279</v>
      </c>
      <c r="DL160" s="96">
        <f t="shared" si="199"/>
        <v>278803279</v>
      </c>
      <c r="DM160" s="96">
        <f t="shared" si="199"/>
        <v>278803279</v>
      </c>
      <c r="DN160" s="96">
        <f t="shared" si="199"/>
        <v>278803279</v>
      </c>
      <c r="DO160" s="96">
        <f t="shared" si="199"/>
        <v>278803279</v>
      </c>
      <c r="DP160" s="96">
        <f t="shared" si="199"/>
        <v>314281036</v>
      </c>
      <c r="DQ160" s="96">
        <f t="shared" si="199"/>
        <v>314281036</v>
      </c>
      <c r="DR160" s="96">
        <f t="shared" si="199"/>
        <v>314281036</v>
      </c>
      <c r="DS160" s="96">
        <f t="shared" si="199"/>
        <v>314281036</v>
      </c>
      <c r="DT160" s="96">
        <f t="shared" si="199"/>
        <v>314281036</v>
      </c>
      <c r="DU160" s="96">
        <f t="shared" si="199"/>
        <v>314281036</v>
      </c>
      <c r="DV160" s="96">
        <f t="shared" si="199"/>
        <v>314281036</v>
      </c>
      <c r="DW160" s="96">
        <f t="shared" si="199"/>
        <v>314281036</v>
      </c>
      <c r="DX160" s="96">
        <f t="shared" si="199"/>
        <v>314281036</v>
      </c>
      <c r="DY160" s="96">
        <f t="shared" si="199"/>
        <v>314281036</v>
      </c>
      <c r="DZ160" s="96">
        <f t="shared" si="199"/>
        <v>314281036</v>
      </c>
      <c r="EA160" s="96">
        <f t="shared" ref="EA160:FF160" si="200">+EA12+EA51+EA90</f>
        <v>314281036</v>
      </c>
      <c r="EB160" s="96">
        <f t="shared" si="200"/>
        <v>314281036</v>
      </c>
      <c r="EC160" s="96">
        <f t="shared" si="200"/>
        <v>316332746</v>
      </c>
      <c r="ED160" s="96">
        <f t="shared" si="200"/>
        <v>316332746</v>
      </c>
      <c r="EE160" s="96">
        <f t="shared" si="200"/>
        <v>316332746</v>
      </c>
      <c r="EF160" s="96">
        <f t="shared" si="200"/>
        <v>316332746</v>
      </c>
      <c r="EG160" s="96">
        <f t="shared" si="200"/>
        <v>316332746</v>
      </c>
      <c r="EH160" s="96">
        <f t="shared" si="200"/>
        <v>316332746</v>
      </c>
      <c r="EI160" s="96">
        <f t="shared" si="200"/>
        <v>316332746</v>
      </c>
      <c r="EJ160" s="96">
        <f t="shared" si="200"/>
        <v>316332746</v>
      </c>
      <c r="EK160" s="96">
        <f t="shared" si="200"/>
        <v>316332746</v>
      </c>
      <c r="EL160" s="96">
        <f t="shared" si="200"/>
        <v>316332746</v>
      </c>
      <c r="EM160" s="96">
        <f t="shared" si="200"/>
        <v>316332746</v>
      </c>
      <c r="EN160" s="96">
        <f t="shared" si="200"/>
        <v>316332746</v>
      </c>
      <c r="EO160" s="96">
        <f t="shared" si="200"/>
        <v>316332746</v>
      </c>
      <c r="EP160" s="96">
        <f t="shared" si="200"/>
        <v>330955857</v>
      </c>
      <c r="EQ160" s="96">
        <f t="shared" si="200"/>
        <v>330955857</v>
      </c>
      <c r="ER160" s="96">
        <f t="shared" si="200"/>
        <v>330955857</v>
      </c>
      <c r="ES160" s="96">
        <f t="shared" si="200"/>
        <v>330955857</v>
      </c>
      <c r="ET160" s="96">
        <f t="shared" si="200"/>
        <v>330955857</v>
      </c>
      <c r="EU160" s="96">
        <f t="shared" si="200"/>
        <v>330955857</v>
      </c>
      <c r="EV160" s="96">
        <f t="shared" si="200"/>
        <v>330955857</v>
      </c>
      <c r="EW160" s="96">
        <f t="shared" si="200"/>
        <v>330955857</v>
      </c>
      <c r="EX160" s="96">
        <f t="shared" si="200"/>
        <v>330955857</v>
      </c>
      <c r="EY160" s="96">
        <f t="shared" si="200"/>
        <v>330955857</v>
      </c>
      <c r="EZ160" s="96">
        <f t="shared" si="200"/>
        <v>330955857</v>
      </c>
      <c r="FA160" s="96">
        <f t="shared" si="200"/>
        <v>330955857</v>
      </c>
      <c r="FB160" s="96">
        <f t="shared" si="200"/>
        <v>330955857</v>
      </c>
      <c r="FC160" s="96">
        <f t="shared" si="200"/>
        <v>290781242</v>
      </c>
      <c r="FD160" s="96">
        <f t="shared" si="200"/>
        <v>290781242</v>
      </c>
      <c r="FE160" s="96">
        <f t="shared" si="200"/>
        <v>290781242</v>
      </c>
      <c r="FF160" s="96">
        <f t="shared" si="200"/>
        <v>290781242</v>
      </c>
      <c r="FG160" s="96">
        <f t="shared" ref="FG160:FO160" si="201">+FG12+FG51+FG90</f>
        <v>290781242</v>
      </c>
      <c r="FH160" s="96">
        <f t="shared" si="201"/>
        <v>290781242</v>
      </c>
      <c r="FI160" s="96">
        <f t="shared" si="201"/>
        <v>290781242</v>
      </c>
      <c r="FJ160" s="96">
        <f t="shared" si="201"/>
        <v>0</v>
      </c>
      <c r="FK160" s="96">
        <f t="shared" si="201"/>
        <v>0</v>
      </c>
      <c r="FL160" s="96">
        <f t="shared" si="201"/>
        <v>0</v>
      </c>
      <c r="FM160" s="96">
        <f t="shared" si="201"/>
        <v>0</v>
      </c>
      <c r="FN160" s="96">
        <f t="shared" si="201"/>
        <v>0</v>
      </c>
      <c r="FO160" s="96">
        <f t="shared" si="201"/>
        <v>290781242</v>
      </c>
    </row>
    <row r="161" spans="1:171" ht="14.25" customHeight="1">
      <c r="A161" s="10"/>
      <c r="B161" s="10" t="str">
        <f t="shared" si="183"/>
        <v>Dirección de Obras Portuarias</v>
      </c>
      <c r="C161" s="96">
        <f t="shared" ref="C161:AH161" si="202">+C13+C52+C91</f>
        <v>55204923</v>
      </c>
      <c r="D161" s="96">
        <f t="shared" si="202"/>
        <v>55204923</v>
      </c>
      <c r="E161" s="96">
        <f t="shared" si="202"/>
        <v>55204923</v>
      </c>
      <c r="F161" s="96">
        <f t="shared" si="202"/>
        <v>55204923</v>
      </c>
      <c r="G161" s="96">
        <f t="shared" si="202"/>
        <v>55204923</v>
      </c>
      <c r="H161" s="96">
        <f t="shared" si="202"/>
        <v>55204923</v>
      </c>
      <c r="I161" s="96">
        <f t="shared" si="202"/>
        <v>55204923</v>
      </c>
      <c r="J161" s="96">
        <f t="shared" si="202"/>
        <v>55204923</v>
      </c>
      <c r="K161" s="96">
        <f t="shared" si="202"/>
        <v>55204923</v>
      </c>
      <c r="L161" s="96">
        <f t="shared" si="202"/>
        <v>55204923</v>
      </c>
      <c r="M161" s="96">
        <f t="shared" si="202"/>
        <v>55204923</v>
      </c>
      <c r="N161" s="96">
        <f t="shared" si="202"/>
        <v>55204923</v>
      </c>
      <c r="O161" s="96">
        <f t="shared" si="202"/>
        <v>55204923</v>
      </c>
      <c r="P161" s="96">
        <f t="shared" si="202"/>
        <v>65327348</v>
      </c>
      <c r="Q161" s="96">
        <f t="shared" si="202"/>
        <v>65327348</v>
      </c>
      <c r="R161" s="96">
        <f t="shared" si="202"/>
        <v>65327348</v>
      </c>
      <c r="S161" s="96">
        <f t="shared" si="202"/>
        <v>65327348</v>
      </c>
      <c r="T161" s="96">
        <f t="shared" si="202"/>
        <v>65327348</v>
      </c>
      <c r="U161" s="96">
        <f t="shared" si="202"/>
        <v>65327348</v>
      </c>
      <c r="V161" s="96">
        <f t="shared" si="202"/>
        <v>65327348</v>
      </c>
      <c r="W161" s="96">
        <f t="shared" si="202"/>
        <v>65327348</v>
      </c>
      <c r="X161" s="96">
        <f t="shared" si="202"/>
        <v>65327348</v>
      </c>
      <c r="Y161" s="96">
        <f t="shared" si="202"/>
        <v>65327348</v>
      </c>
      <c r="Z161" s="96">
        <f t="shared" si="202"/>
        <v>65327348</v>
      </c>
      <c r="AA161" s="96">
        <f t="shared" si="202"/>
        <v>65327348</v>
      </c>
      <c r="AB161" s="96">
        <f t="shared" si="202"/>
        <v>65327348</v>
      </c>
      <c r="AC161" s="96">
        <f t="shared" si="202"/>
        <v>72135884</v>
      </c>
      <c r="AD161" s="96">
        <f t="shared" si="202"/>
        <v>72135884</v>
      </c>
      <c r="AE161" s="96">
        <f t="shared" si="202"/>
        <v>72135884</v>
      </c>
      <c r="AF161" s="96">
        <f t="shared" si="202"/>
        <v>72135884</v>
      </c>
      <c r="AG161" s="96">
        <f t="shared" si="202"/>
        <v>72135884</v>
      </c>
      <c r="AH161" s="96">
        <f t="shared" si="202"/>
        <v>72135884</v>
      </c>
      <c r="AI161" s="96">
        <f t="shared" ref="AI161:BN161" si="203">+AI13+AI52+AI91</f>
        <v>72135884</v>
      </c>
      <c r="AJ161" s="96">
        <f t="shared" si="203"/>
        <v>72135884</v>
      </c>
      <c r="AK161" s="96">
        <f t="shared" si="203"/>
        <v>72135884</v>
      </c>
      <c r="AL161" s="96">
        <f t="shared" si="203"/>
        <v>72135884</v>
      </c>
      <c r="AM161" s="96">
        <f t="shared" si="203"/>
        <v>72135884</v>
      </c>
      <c r="AN161" s="96">
        <f t="shared" si="203"/>
        <v>72135884</v>
      </c>
      <c r="AO161" s="96">
        <f t="shared" si="203"/>
        <v>72135884</v>
      </c>
      <c r="AP161" s="96">
        <f t="shared" si="203"/>
        <v>72044854</v>
      </c>
      <c r="AQ161" s="96">
        <f t="shared" si="203"/>
        <v>72044854</v>
      </c>
      <c r="AR161" s="96">
        <f t="shared" si="203"/>
        <v>72044854</v>
      </c>
      <c r="AS161" s="96">
        <f t="shared" si="203"/>
        <v>72044854</v>
      </c>
      <c r="AT161" s="96">
        <f t="shared" si="203"/>
        <v>72044854</v>
      </c>
      <c r="AU161" s="96">
        <f t="shared" si="203"/>
        <v>72044854</v>
      </c>
      <c r="AV161" s="96">
        <f t="shared" si="203"/>
        <v>72044854</v>
      </c>
      <c r="AW161" s="96">
        <f t="shared" si="203"/>
        <v>72044854</v>
      </c>
      <c r="AX161" s="96">
        <f t="shared" si="203"/>
        <v>72044854</v>
      </c>
      <c r="AY161" s="96">
        <f t="shared" si="203"/>
        <v>72044854</v>
      </c>
      <c r="AZ161" s="96">
        <f t="shared" si="203"/>
        <v>72044854</v>
      </c>
      <c r="BA161" s="96">
        <f t="shared" si="203"/>
        <v>72044854</v>
      </c>
      <c r="BB161" s="96">
        <f t="shared" si="203"/>
        <v>72044854</v>
      </c>
      <c r="BC161" s="96">
        <f t="shared" si="203"/>
        <v>71084885</v>
      </c>
      <c r="BD161" s="96">
        <f t="shared" si="203"/>
        <v>71084885</v>
      </c>
      <c r="BE161" s="96">
        <f t="shared" si="203"/>
        <v>71084885</v>
      </c>
      <c r="BF161" s="96">
        <f t="shared" si="203"/>
        <v>71084885</v>
      </c>
      <c r="BG161" s="96">
        <f t="shared" si="203"/>
        <v>71084885</v>
      </c>
      <c r="BH161" s="96">
        <f t="shared" si="203"/>
        <v>71084885</v>
      </c>
      <c r="BI161" s="96">
        <f t="shared" si="203"/>
        <v>71084885</v>
      </c>
      <c r="BJ161" s="96">
        <f t="shared" si="203"/>
        <v>71084885</v>
      </c>
      <c r="BK161" s="96">
        <f t="shared" si="203"/>
        <v>71084885</v>
      </c>
      <c r="BL161" s="96">
        <f t="shared" si="203"/>
        <v>71084885</v>
      </c>
      <c r="BM161" s="96">
        <f t="shared" si="203"/>
        <v>71084885</v>
      </c>
      <c r="BN161" s="96">
        <f t="shared" si="203"/>
        <v>71084885</v>
      </c>
      <c r="BO161" s="96">
        <f t="shared" ref="BO161:CT161" si="204">+BO13+BO52+BO91</f>
        <v>71084885</v>
      </c>
      <c r="BP161" s="96">
        <f t="shared" si="204"/>
        <v>72328846</v>
      </c>
      <c r="BQ161" s="96">
        <f t="shared" si="204"/>
        <v>72328846</v>
      </c>
      <c r="BR161" s="96">
        <f t="shared" si="204"/>
        <v>72328846</v>
      </c>
      <c r="BS161" s="96">
        <f t="shared" si="204"/>
        <v>72328846</v>
      </c>
      <c r="BT161" s="96">
        <f t="shared" si="204"/>
        <v>72328846</v>
      </c>
      <c r="BU161" s="96">
        <f t="shared" si="204"/>
        <v>72328846</v>
      </c>
      <c r="BV161" s="96">
        <f t="shared" si="204"/>
        <v>72328846</v>
      </c>
      <c r="BW161" s="96">
        <f t="shared" si="204"/>
        <v>72328846</v>
      </c>
      <c r="BX161" s="96">
        <f t="shared" si="204"/>
        <v>72328846</v>
      </c>
      <c r="BY161" s="96">
        <f t="shared" si="204"/>
        <v>72328846</v>
      </c>
      <c r="BZ161" s="96">
        <f t="shared" si="204"/>
        <v>72328846</v>
      </c>
      <c r="CA161" s="96">
        <f t="shared" si="204"/>
        <v>72328846</v>
      </c>
      <c r="CB161" s="96">
        <f t="shared" si="204"/>
        <v>72328846</v>
      </c>
      <c r="CC161" s="96">
        <f t="shared" si="204"/>
        <v>74193935</v>
      </c>
      <c r="CD161" s="96">
        <f t="shared" si="204"/>
        <v>74193935</v>
      </c>
      <c r="CE161" s="96">
        <f t="shared" si="204"/>
        <v>74193935</v>
      </c>
      <c r="CF161" s="96">
        <f t="shared" si="204"/>
        <v>74193935</v>
      </c>
      <c r="CG161" s="96">
        <f t="shared" si="204"/>
        <v>74193935</v>
      </c>
      <c r="CH161" s="96">
        <f t="shared" si="204"/>
        <v>74193935</v>
      </c>
      <c r="CI161" s="96">
        <f t="shared" si="204"/>
        <v>74193935</v>
      </c>
      <c r="CJ161" s="96">
        <f t="shared" si="204"/>
        <v>74193935</v>
      </c>
      <c r="CK161" s="96">
        <f t="shared" si="204"/>
        <v>74193935</v>
      </c>
      <c r="CL161" s="96">
        <f t="shared" si="204"/>
        <v>74193935</v>
      </c>
      <c r="CM161" s="96">
        <f t="shared" si="204"/>
        <v>74193935</v>
      </c>
      <c r="CN161" s="96">
        <f t="shared" si="204"/>
        <v>74193935</v>
      </c>
      <c r="CO161" s="96">
        <f t="shared" si="204"/>
        <v>74193935</v>
      </c>
      <c r="CP161" s="96">
        <f t="shared" si="204"/>
        <v>87080342</v>
      </c>
      <c r="CQ161" s="96">
        <f t="shared" si="204"/>
        <v>87080342</v>
      </c>
      <c r="CR161" s="96">
        <f t="shared" si="204"/>
        <v>87080342</v>
      </c>
      <c r="CS161" s="96">
        <f t="shared" si="204"/>
        <v>87080342</v>
      </c>
      <c r="CT161" s="96">
        <f t="shared" si="204"/>
        <v>87080342</v>
      </c>
      <c r="CU161" s="96">
        <f t="shared" ref="CU161:DZ161" si="205">+CU13+CU52+CU91</f>
        <v>87080342</v>
      </c>
      <c r="CV161" s="96">
        <f t="shared" si="205"/>
        <v>87080342</v>
      </c>
      <c r="CW161" s="96">
        <f t="shared" si="205"/>
        <v>87080342</v>
      </c>
      <c r="CX161" s="96">
        <f t="shared" si="205"/>
        <v>87080342</v>
      </c>
      <c r="CY161" s="96">
        <f t="shared" si="205"/>
        <v>87080342</v>
      </c>
      <c r="CZ161" s="96">
        <f t="shared" si="205"/>
        <v>87080342</v>
      </c>
      <c r="DA161" s="96">
        <f t="shared" si="205"/>
        <v>87080342</v>
      </c>
      <c r="DB161" s="96">
        <f t="shared" si="205"/>
        <v>87080342</v>
      </c>
      <c r="DC161" s="96">
        <f t="shared" si="205"/>
        <v>101377201</v>
      </c>
      <c r="DD161" s="96">
        <f t="shared" si="205"/>
        <v>101377201</v>
      </c>
      <c r="DE161" s="96">
        <f t="shared" si="205"/>
        <v>101377201</v>
      </c>
      <c r="DF161" s="96">
        <f t="shared" si="205"/>
        <v>101377201</v>
      </c>
      <c r="DG161" s="96">
        <f t="shared" si="205"/>
        <v>101377201</v>
      </c>
      <c r="DH161" s="96">
        <f t="shared" si="205"/>
        <v>101377201</v>
      </c>
      <c r="DI161" s="96">
        <f t="shared" si="205"/>
        <v>101377201</v>
      </c>
      <c r="DJ161" s="96">
        <f t="shared" si="205"/>
        <v>101377201</v>
      </c>
      <c r="DK161" s="96">
        <f t="shared" si="205"/>
        <v>101377201</v>
      </c>
      <c r="DL161" s="96">
        <f t="shared" si="205"/>
        <v>101377201</v>
      </c>
      <c r="DM161" s="96">
        <f t="shared" si="205"/>
        <v>101377201</v>
      </c>
      <c r="DN161" s="96">
        <f t="shared" si="205"/>
        <v>101377201</v>
      </c>
      <c r="DO161" s="96">
        <f t="shared" si="205"/>
        <v>101377201</v>
      </c>
      <c r="DP161" s="96">
        <f t="shared" si="205"/>
        <v>116986395</v>
      </c>
      <c r="DQ161" s="96">
        <f t="shared" si="205"/>
        <v>116986395</v>
      </c>
      <c r="DR161" s="96">
        <f t="shared" si="205"/>
        <v>116986395</v>
      </c>
      <c r="DS161" s="96">
        <f t="shared" si="205"/>
        <v>116986395</v>
      </c>
      <c r="DT161" s="96">
        <f t="shared" si="205"/>
        <v>116986395</v>
      </c>
      <c r="DU161" s="96">
        <f t="shared" si="205"/>
        <v>116986395</v>
      </c>
      <c r="DV161" s="96">
        <f t="shared" si="205"/>
        <v>116986395</v>
      </c>
      <c r="DW161" s="96">
        <f t="shared" si="205"/>
        <v>116986395</v>
      </c>
      <c r="DX161" s="96">
        <f t="shared" si="205"/>
        <v>116986395</v>
      </c>
      <c r="DY161" s="96">
        <f t="shared" si="205"/>
        <v>116986395</v>
      </c>
      <c r="DZ161" s="96">
        <f t="shared" si="205"/>
        <v>116986395</v>
      </c>
      <c r="EA161" s="96">
        <f t="shared" ref="EA161:FF161" si="206">+EA13+EA52+EA91</f>
        <v>116986395</v>
      </c>
      <c r="EB161" s="96">
        <f t="shared" si="206"/>
        <v>116986395</v>
      </c>
      <c r="EC161" s="96">
        <f t="shared" si="206"/>
        <v>132270423</v>
      </c>
      <c r="ED161" s="96">
        <f t="shared" si="206"/>
        <v>132270423</v>
      </c>
      <c r="EE161" s="96">
        <f t="shared" si="206"/>
        <v>132270423</v>
      </c>
      <c r="EF161" s="96">
        <f t="shared" si="206"/>
        <v>132270423</v>
      </c>
      <c r="EG161" s="96">
        <f t="shared" si="206"/>
        <v>132270423</v>
      </c>
      <c r="EH161" s="96">
        <f t="shared" si="206"/>
        <v>132270423</v>
      </c>
      <c r="EI161" s="96">
        <f t="shared" si="206"/>
        <v>132270423</v>
      </c>
      <c r="EJ161" s="96">
        <f t="shared" si="206"/>
        <v>132270423</v>
      </c>
      <c r="EK161" s="96">
        <f t="shared" si="206"/>
        <v>132270423</v>
      </c>
      <c r="EL161" s="96">
        <f t="shared" si="206"/>
        <v>132270423</v>
      </c>
      <c r="EM161" s="96">
        <f t="shared" si="206"/>
        <v>132270423</v>
      </c>
      <c r="EN161" s="96">
        <f t="shared" si="206"/>
        <v>132270423</v>
      </c>
      <c r="EO161" s="96">
        <f t="shared" si="206"/>
        <v>132270423</v>
      </c>
      <c r="EP161" s="96">
        <f t="shared" si="206"/>
        <v>128053264</v>
      </c>
      <c r="EQ161" s="96">
        <f t="shared" si="206"/>
        <v>128053264</v>
      </c>
      <c r="ER161" s="96">
        <f t="shared" si="206"/>
        <v>128053264</v>
      </c>
      <c r="ES161" s="96">
        <f t="shared" si="206"/>
        <v>128053264</v>
      </c>
      <c r="ET161" s="96">
        <f t="shared" si="206"/>
        <v>128053264</v>
      </c>
      <c r="EU161" s="96">
        <f t="shared" si="206"/>
        <v>128053264</v>
      </c>
      <c r="EV161" s="96">
        <f t="shared" si="206"/>
        <v>128053264</v>
      </c>
      <c r="EW161" s="96">
        <f t="shared" si="206"/>
        <v>128053264</v>
      </c>
      <c r="EX161" s="96">
        <f t="shared" si="206"/>
        <v>128053264</v>
      </c>
      <c r="EY161" s="96">
        <f t="shared" si="206"/>
        <v>128053264</v>
      </c>
      <c r="EZ161" s="96">
        <f t="shared" si="206"/>
        <v>128053264</v>
      </c>
      <c r="FA161" s="96">
        <f t="shared" si="206"/>
        <v>128053264</v>
      </c>
      <c r="FB161" s="96">
        <f t="shared" si="206"/>
        <v>128053264</v>
      </c>
      <c r="FC161" s="96">
        <f t="shared" si="206"/>
        <v>112044847</v>
      </c>
      <c r="FD161" s="96">
        <f t="shared" si="206"/>
        <v>112044847</v>
      </c>
      <c r="FE161" s="96">
        <f t="shared" si="206"/>
        <v>112044847</v>
      </c>
      <c r="FF161" s="96">
        <f t="shared" si="206"/>
        <v>112044847</v>
      </c>
      <c r="FG161" s="96">
        <f t="shared" ref="FG161:FO161" si="207">+FG13+FG52+FG91</f>
        <v>112044847</v>
      </c>
      <c r="FH161" s="96">
        <f t="shared" si="207"/>
        <v>112044847</v>
      </c>
      <c r="FI161" s="96">
        <f t="shared" si="207"/>
        <v>112044847</v>
      </c>
      <c r="FJ161" s="96">
        <f t="shared" si="207"/>
        <v>0</v>
      </c>
      <c r="FK161" s="96">
        <f t="shared" si="207"/>
        <v>0</v>
      </c>
      <c r="FL161" s="96">
        <f t="shared" si="207"/>
        <v>0</v>
      </c>
      <c r="FM161" s="96">
        <f t="shared" si="207"/>
        <v>0</v>
      </c>
      <c r="FN161" s="96">
        <f t="shared" si="207"/>
        <v>0</v>
      </c>
      <c r="FO161" s="96">
        <f t="shared" si="207"/>
        <v>112044847</v>
      </c>
    </row>
    <row r="162" spans="1:171" ht="14.25" customHeight="1">
      <c r="A162" s="10"/>
      <c r="B162" s="10" t="str">
        <f t="shared" si="183"/>
        <v>Dirección de Aeropuertos</v>
      </c>
      <c r="C162" s="96">
        <f t="shared" ref="C162:AH162" si="208">+C14+C53+C92</f>
        <v>41516735</v>
      </c>
      <c r="D162" s="96">
        <f t="shared" si="208"/>
        <v>41516735</v>
      </c>
      <c r="E162" s="96">
        <f t="shared" si="208"/>
        <v>41516735</v>
      </c>
      <c r="F162" s="96">
        <f t="shared" si="208"/>
        <v>41516735</v>
      </c>
      <c r="G162" s="96">
        <f t="shared" si="208"/>
        <v>41516735</v>
      </c>
      <c r="H162" s="96">
        <f t="shared" si="208"/>
        <v>41516735</v>
      </c>
      <c r="I162" s="96">
        <f t="shared" si="208"/>
        <v>41516735</v>
      </c>
      <c r="J162" s="96">
        <f t="shared" si="208"/>
        <v>41516735</v>
      </c>
      <c r="K162" s="96">
        <f t="shared" si="208"/>
        <v>41516735</v>
      </c>
      <c r="L162" s="96">
        <f t="shared" si="208"/>
        <v>41516735</v>
      </c>
      <c r="M162" s="96">
        <f t="shared" si="208"/>
        <v>41516735</v>
      </c>
      <c r="N162" s="96">
        <f t="shared" si="208"/>
        <v>41516735</v>
      </c>
      <c r="O162" s="96">
        <f t="shared" si="208"/>
        <v>41516735</v>
      </c>
      <c r="P162" s="96">
        <f t="shared" si="208"/>
        <v>41477471</v>
      </c>
      <c r="Q162" s="96">
        <f t="shared" si="208"/>
        <v>41477471</v>
      </c>
      <c r="R162" s="96">
        <f t="shared" si="208"/>
        <v>41477471</v>
      </c>
      <c r="S162" s="96">
        <f t="shared" si="208"/>
        <v>41477471</v>
      </c>
      <c r="T162" s="96">
        <f t="shared" si="208"/>
        <v>41477471</v>
      </c>
      <c r="U162" s="96">
        <f t="shared" si="208"/>
        <v>41477471</v>
      </c>
      <c r="V162" s="96">
        <f t="shared" si="208"/>
        <v>41477471</v>
      </c>
      <c r="W162" s="96">
        <f t="shared" si="208"/>
        <v>41477471</v>
      </c>
      <c r="X162" s="96">
        <f t="shared" si="208"/>
        <v>41477471</v>
      </c>
      <c r="Y162" s="96">
        <f t="shared" si="208"/>
        <v>41477471</v>
      </c>
      <c r="Z162" s="96">
        <f t="shared" si="208"/>
        <v>41477471</v>
      </c>
      <c r="AA162" s="96">
        <f t="shared" si="208"/>
        <v>41477471</v>
      </c>
      <c r="AB162" s="96">
        <f t="shared" si="208"/>
        <v>41477471</v>
      </c>
      <c r="AC162" s="96">
        <f t="shared" si="208"/>
        <v>44126522</v>
      </c>
      <c r="AD162" s="96">
        <f t="shared" si="208"/>
        <v>44126522</v>
      </c>
      <c r="AE162" s="96">
        <f t="shared" si="208"/>
        <v>44126522</v>
      </c>
      <c r="AF162" s="96">
        <f t="shared" si="208"/>
        <v>44126522</v>
      </c>
      <c r="AG162" s="96">
        <f t="shared" si="208"/>
        <v>44126522</v>
      </c>
      <c r="AH162" s="96">
        <f t="shared" si="208"/>
        <v>44126522</v>
      </c>
      <c r="AI162" s="96">
        <f t="shared" ref="AI162:BN162" si="209">+AI14+AI53+AI92</f>
        <v>44126522</v>
      </c>
      <c r="AJ162" s="96">
        <f t="shared" si="209"/>
        <v>44126522</v>
      </c>
      <c r="AK162" s="96">
        <f t="shared" si="209"/>
        <v>44126522</v>
      </c>
      <c r="AL162" s="96">
        <f t="shared" si="209"/>
        <v>44126522</v>
      </c>
      <c r="AM162" s="96">
        <f t="shared" si="209"/>
        <v>44126522</v>
      </c>
      <c r="AN162" s="96">
        <f t="shared" si="209"/>
        <v>44126522</v>
      </c>
      <c r="AO162" s="96">
        <f t="shared" si="209"/>
        <v>44126522</v>
      </c>
      <c r="AP162" s="96">
        <f t="shared" si="209"/>
        <v>45372078</v>
      </c>
      <c r="AQ162" s="96">
        <f t="shared" si="209"/>
        <v>45372078</v>
      </c>
      <c r="AR162" s="96">
        <f t="shared" si="209"/>
        <v>45372078</v>
      </c>
      <c r="AS162" s="96">
        <f t="shared" si="209"/>
        <v>45372078</v>
      </c>
      <c r="AT162" s="96">
        <f t="shared" si="209"/>
        <v>45372078</v>
      </c>
      <c r="AU162" s="96">
        <f t="shared" si="209"/>
        <v>45372078</v>
      </c>
      <c r="AV162" s="96">
        <f t="shared" si="209"/>
        <v>45372078</v>
      </c>
      <c r="AW162" s="96">
        <f t="shared" si="209"/>
        <v>45372078</v>
      </c>
      <c r="AX162" s="96">
        <f t="shared" si="209"/>
        <v>45372078</v>
      </c>
      <c r="AY162" s="96">
        <f t="shared" si="209"/>
        <v>45372078</v>
      </c>
      <c r="AZ162" s="96">
        <f t="shared" si="209"/>
        <v>45372078</v>
      </c>
      <c r="BA162" s="96">
        <f t="shared" si="209"/>
        <v>45372078</v>
      </c>
      <c r="BB162" s="96">
        <f t="shared" si="209"/>
        <v>45372078</v>
      </c>
      <c r="BC162" s="96">
        <f t="shared" si="209"/>
        <v>35697836</v>
      </c>
      <c r="BD162" s="96">
        <f t="shared" si="209"/>
        <v>35697836</v>
      </c>
      <c r="BE162" s="96">
        <f t="shared" si="209"/>
        <v>35697836</v>
      </c>
      <c r="BF162" s="96">
        <f t="shared" si="209"/>
        <v>35697836</v>
      </c>
      <c r="BG162" s="96">
        <f t="shared" si="209"/>
        <v>35697836</v>
      </c>
      <c r="BH162" s="96">
        <f t="shared" si="209"/>
        <v>35697836</v>
      </c>
      <c r="BI162" s="96">
        <f t="shared" si="209"/>
        <v>35697836</v>
      </c>
      <c r="BJ162" s="96">
        <f t="shared" si="209"/>
        <v>35697836</v>
      </c>
      <c r="BK162" s="96">
        <f t="shared" si="209"/>
        <v>35697836</v>
      </c>
      <c r="BL162" s="96">
        <f t="shared" si="209"/>
        <v>35697836</v>
      </c>
      <c r="BM162" s="96">
        <f t="shared" si="209"/>
        <v>35697836</v>
      </c>
      <c r="BN162" s="96">
        <f t="shared" si="209"/>
        <v>35697836</v>
      </c>
      <c r="BO162" s="96">
        <f t="shared" ref="BO162:CT162" si="210">+BO14+BO53+BO92</f>
        <v>35697836</v>
      </c>
      <c r="BP162" s="96">
        <f t="shared" si="210"/>
        <v>53166152</v>
      </c>
      <c r="BQ162" s="96">
        <f t="shared" si="210"/>
        <v>53166152</v>
      </c>
      <c r="BR162" s="96">
        <f t="shared" si="210"/>
        <v>53166152</v>
      </c>
      <c r="BS162" s="96">
        <f t="shared" si="210"/>
        <v>53166152</v>
      </c>
      <c r="BT162" s="96">
        <f t="shared" si="210"/>
        <v>53166152</v>
      </c>
      <c r="BU162" s="96">
        <f t="shared" si="210"/>
        <v>53166152</v>
      </c>
      <c r="BV162" s="96">
        <f t="shared" si="210"/>
        <v>53166152</v>
      </c>
      <c r="BW162" s="96">
        <f t="shared" si="210"/>
        <v>53166152</v>
      </c>
      <c r="BX162" s="96">
        <f t="shared" si="210"/>
        <v>53166152</v>
      </c>
      <c r="BY162" s="96">
        <f t="shared" si="210"/>
        <v>53166152</v>
      </c>
      <c r="BZ162" s="96">
        <f t="shared" si="210"/>
        <v>53166152</v>
      </c>
      <c r="CA162" s="96">
        <f t="shared" si="210"/>
        <v>53166152</v>
      </c>
      <c r="CB162" s="96">
        <f t="shared" si="210"/>
        <v>53166152</v>
      </c>
      <c r="CC162" s="96">
        <f t="shared" si="210"/>
        <v>58656782</v>
      </c>
      <c r="CD162" s="96">
        <f t="shared" si="210"/>
        <v>58656782</v>
      </c>
      <c r="CE162" s="96">
        <f t="shared" si="210"/>
        <v>58656782</v>
      </c>
      <c r="CF162" s="96">
        <f t="shared" si="210"/>
        <v>58656782</v>
      </c>
      <c r="CG162" s="96">
        <f t="shared" si="210"/>
        <v>58656782</v>
      </c>
      <c r="CH162" s="96">
        <f t="shared" si="210"/>
        <v>58656782</v>
      </c>
      <c r="CI162" s="96">
        <f t="shared" si="210"/>
        <v>58656782</v>
      </c>
      <c r="CJ162" s="96">
        <f t="shared" si="210"/>
        <v>58656782</v>
      </c>
      <c r="CK162" s="96">
        <f t="shared" si="210"/>
        <v>58656782</v>
      </c>
      <c r="CL162" s="96">
        <f t="shared" si="210"/>
        <v>58656782</v>
      </c>
      <c r="CM162" s="96">
        <f t="shared" si="210"/>
        <v>58656782</v>
      </c>
      <c r="CN162" s="96">
        <f t="shared" si="210"/>
        <v>58656782</v>
      </c>
      <c r="CO162" s="96">
        <f t="shared" si="210"/>
        <v>58656782</v>
      </c>
      <c r="CP162" s="96">
        <f t="shared" si="210"/>
        <v>107077898</v>
      </c>
      <c r="CQ162" s="96">
        <f t="shared" si="210"/>
        <v>107077898</v>
      </c>
      <c r="CR162" s="96">
        <f t="shared" si="210"/>
        <v>107077898</v>
      </c>
      <c r="CS162" s="96">
        <f t="shared" si="210"/>
        <v>107077898</v>
      </c>
      <c r="CT162" s="96">
        <f t="shared" si="210"/>
        <v>107077898</v>
      </c>
      <c r="CU162" s="96">
        <f t="shared" ref="CU162:DZ162" si="211">+CU14+CU53+CU92</f>
        <v>107077898</v>
      </c>
      <c r="CV162" s="96">
        <f t="shared" si="211"/>
        <v>107077898</v>
      </c>
      <c r="CW162" s="96">
        <f t="shared" si="211"/>
        <v>107077898</v>
      </c>
      <c r="CX162" s="96">
        <f t="shared" si="211"/>
        <v>107077898</v>
      </c>
      <c r="CY162" s="96">
        <f t="shared" si="211"/>
        <v>107077898</v>
      </c>
      <c r="CZ162" s="96">
        <f t="shared" si="211"/>
        <v>107077898</v>
      </c>
      <c r="DA162" s="96">
        <f t="shared" si="211"/>
        <v>107077898</v>
      </c>
      <c r="DB162" s="96">
        <f t="shared" si="211"/>
        <v>107077898</v>
      </c>
      <c r="DC162" s="96">
        <f t="shared" si="211"/>
        <v>117908324</v>
      </c>
      <c r="DD162" s="96">
        <f t="shared" si="211"/>
        <v>117908324</v>
      </c>
      <c r="DE162" s="96">
        <f t="shared" si="211"/>
        <v>117908324</v>
      </c>
      <c r="DF162" s="96">
        <f t="shared" si="211"/>
        <v>117908324</v>
      </c>
      <c r="DG162" s="96">
        <f t="shared" si="211"/>
        <v>117908324</v>
      </c>
      <c r="DH162" s="96">
        <f t="shared" si="211"/>
        <v>117908324</v>
      </c>
      <c r="DI162" s="96">
        <f t="shared" si="211"/>
        <v>117908324</v>
      </c>
      <c r="DJ162" s="96">
        <f t="shared" si="211"/>
        <v>117908324</v>
      </c>
      <c r="DK162" s="96">
        <f t="shared" si="211"/>
        <v>117908324</v>
      </c>
      <c r="DL162" s="96">
        <f t="shared" si="211"/>
        <v>117908324</v>
      </c>
      <c r="DM162" s="96">
        <f t="shared" si="211"/>
        <v>117908324</v>
      </c>
      <c r="DN162" s="96">
        <f t="shared" si="211"/>
        <v>117908324</v>
      </c>
      <c r="DO162" s="96">
        <f t="shared" si="211"/>
        <v>117908324</v>
      </c>
      <c r="DP162" s="96">
        <f t="shared" si="211"/>
        <v>135558590</v>
      </c>
      <c r="DQ162" s="96">
        <f t="shared" si="211"/>
        <v>135558590</v>
      </c>
      <c r="DR162" s="96">
        <f t="shared" si="211"/>
        <v>135558590</v>
      </c>
      <c r="DS162" s="96">
        <f t="shared" si="211"/>
        <v>135558590</v>
      </c>
      <c r="DT162" s="96">
        <f t="shared" si="211"/>
        <v>135558590</v>
      </c>
      <c r="DU162" s="96">
        <f t="shared" si="211"/>
        <v>135558590</v>
      </c>
      <c r="DV162" s="96">
        <f t="shared" si="211"/>
        <v>135558590</v>
      </c>
      <c r="DW162" s="96">
        <f t="shared" si="211"/>
        <v>135558590</v>
      </c>
      <c r="DX162" s="96">
        <f t="shared" si="211"/>
        <v>135558590</v>
      </c>
      <c r="DY162" s="96">
        <f t="shared" si="211"/>
        <v>135558590</v>
      </c>
      <c r="DZ162" s="96">
        <f t="shared" si="211"/>
        <v>135558590</v>
      </c>
      <c r="EA162" s="96">
        <f t="shared" ref="EA162:FF162" si="212">+EA14+EA53+EA92</f>
        <v>135558590</v>
      </c>
      <c r="EB162" s="96">
        <f t="shared" si="212"/>
        <v>135558590</v>
      </c>
      <c r="EC162" s="96">
        <f t="shared" si="212"/>
        <v>137993176</v>
      </c>
      <c r="ED162" s="96">
        <f t="shared" si="212"/>
        <v>137993176</v>
      </c>
      <c r="EE162" s="96">
        <f t="shared" si="212"/>
        <v>137993176</v>
      </c>
      <c r="EF162" s="96">
        <f t="shared" si="212"/>
        <v>137993176</v>
      </c>
      <c r="EG162" s="96">
        <f t="shared" si="212"/>
        <v>137993176</v>
      </c>
      <c r="EH162" s="96">
        <f t="shared" si="212"/>
        <v>137993176</v>
      </c>
      <c r="EI162" s="96">
        <f t="shared" si="212"/>
        <v>137993176</v>
      </c>
      <c r="EJ162" s="96">
        <f t="shared" si="212"/>
        <v>137993176</v>
      </c>
      <c r="EK162" s="96">
        <f t="shared" si="212"/>
        <v>137993176</v>
      </c>
      <c r="EL162" s="96">
        <f t="shared" si="212"/>
        <v>137993176</v>
      </c>
      <c r="EM162" s="96">
        <f t="shared" si="212"/>
        <v>137993176</v>
      </c>
      <c r="EN162" s="96">
        <f t="shared" si="212"/>
        <v>137993176</v>
      </c>
      <c r="EO162" s="96">
        <f t="shared" si="212"/>
        <v>137993176</v>
      </c>
      <c r="EP162" s="96">
        <f t="shared" si="212"/>
        <v>142750398</v>
      </c>
      <c r="EQ162" s="96">
        <f t="shared" si="212"/>
        <v>142750398</v>
      </c>
      <c r="ER162" s="96">
        <f t="shared" si="212"/>
        <v>142750398</v>
      </c>
      <c r="ES162" s="96">
        <f t="shared" si="212"/>
        <v>142750398</v>
      </c>
      <c r="ET162" s="96">
        <f t="shared" si="212"/>
        <v>142750398</v>
      </c>
      <c r="EU162" s="96">
        <f t="shared" si="212"/>
        <v>142750398</v>
      </c>
      <c r="EV162" s="96">
        <f t="shared" si="212"/>
        <v>142750398</v>
      </c>
      <c r="EW162" s="96">
        <f t="shared" si="212"/>
        <v>142750398</v>
      </c>
      <c r="EX162" s="96">
        <f t="shared" si="212"/>
        <v>142750398</v>
      </c>
      <c r="EY162" s="96">
        <f t="shared" si="212"/>
        <v>142750398</v>
      </c>
      <c r="EZ162" s="96">
        <f t="shared" si="212"/>
        <v>142750398</v>
      </c>
      <c r="FA162" s="96">
        <f t="shared" si="212"/>
        <v>142750398</v>
      </c>
      <c r="FB162" s="96">
        <f t="shared" si="212"/>
        <v>142750398</v>
      </c>
      <c r="FC162" s="96">
        <f t="shared" si="212"/>
        <v>127904989</v>
      </c>
      <c r="FD162" s="96">
        <f t="shared" si="212"/>
        <v>127904989</v>
      </c>
      <c r="FE162" s="96">
        <f t="shared" si="212"/>
        <v>127904989</v>
      </c>
      <c r="FF162" s="96">
        <f t="shared" si="212"/>
        <v>127904989</v>
      </c>
      <c r="FG162" s="96">
        <f t="shared" ref="FG162:FO162" si="213">+FG14+FG53+FG92</f>
        <v>127904989</v>
      </c>
      <c r="FH162" s="96">
        <f t="shared" si="213"/>
        <v>127904989</v>
      </c>
      <c r="FI162" s="96">
        <f t="shared" si="213"/>
        <v>127904989</v>
      </c>
      <c r="FJ162" s="96">
        <f t="shared" si="213"/>
        <v>0</v>
      </c>
      <c r="FK162" s="96">
        <f t="shared" si="213"/>
        <v>0</v>
      </c>
      <c r="FL162" s="96">
        <f t="shared" si="213"/>
        <v>0</v>
      </c>
      <c r="FM162" s="96">
        <f t="shared" si="213"/>
        <v>0</v>
      </c>
      <c r="FN162" s="96">
        <f t="shared" si="213"/>
        <v>0</v>
      </c>
      <c r="FO162" s="96">
        <f t="shared" si="213"/>
        <v>127904989</v>
      </c>
    </row>
    <row r="163" spans="1:171" ht="14.25" customHeight="1">
      <c r="A163" s="10"/>
      <c r="B163" s="10" t="str">
        <f t="shared" si="183"/>
        <v>Dirección de Arquitectura</v>
      </c>
      <c r="C163" s="96">
        <f t="shared" ref="C163:AH163" si="214">+C15+C54+C93</f>
        <v>26377345</v>
      </c>
      <c r="D163" s="96">
        <f t="shared" si="214"/>
        <v>26377345</v>
      </c>
      <c r="E163" s="96">
        <f t="shared" si="214"/>
        <v>26377345</v>
      </c>
      <c r="F163" s="96">
        <f t="shared" si="214"/>
        <v>26377345</v>
      </c>
      <c r="G163" s="96">
        <f t="shared" si="214"/>
        <v>26377345</v>
      </c>
      <c r="H163" s="96">
        <f t="shared" si="214"/>
        <v>26377345</v>
      </c>
      <c r="I163" s="96">
        <f t="shared" si="214"/>
        <v>26377345</v>
      </c>
      <c r="J163" s="96">
        <f t="shared" si="214"/>
        <v>26377345</v>
      </c>
      <c r="K163" s="96">
        <f t="shared" si="214"/>
        <v>26377345</v>
      </c>
      <c r="L163" s="96">
        <f t="shared" si="214"/>
        <v>26377345</v>
      </c>
      <c r="M163" s="96">
        <f t="shared" si="214"/>
        <v>26377345</v>
      </c>
      <c r="N163" s="96">
        <f t="shared" si="214"/>
        <v>26377345</v>
      </c>
      <c r="O163" s="96">
        <f t="shared" si="214"/>
        <v>26377345</v>
      </c>
      <c r="P163" s="96">
        <f t="shared" si="214"/>
        <v>28299228</v>
      </c>
      <c r="Q163" s="96">
        <f t="shared" si="214"/>
        <v>28299228</v>
      </c>
      <c r="R163" s="96">
        <f t="shared" si="214"/>
        <v>28299228</v>
      </c>
      <c r="S163" s="96">
        <f t="shared" si="214"/>
        <v>28299228</v>
      </c>
      <c r="T163" s="96">
        <f t="shared" si="214"/>
        <v>28299228</v>
      </c>
      <c r="U163" s="96">
        <f t="shared" si="214"/>
        <v>28299228</v>
      </c>
      <c r="V163" s="96">
        <f t="shared" si="214"/>
        <v>28299228</v>
      </c>
      <c r="W163" s="96">
        <f t="shared" si="214"/>
        <v>28299228</v>
      </c>
      <c r="X163" s="96">
        <f t="shared" si="214"/>
        <v>28299228</v>
      </c>
      <c r="Y163" s="96">
        <f t="shared" si="214"/>
        <v>28299228</v>
      </c>
      <c r="Z163" s="96">
        <f t="shared" si="214"/>
        <v>28299228</v>
      </c>
      <c r="AA163" s="96">
        <f t="shared" si="214"/>
        <v>28299228</v>
      </c>
      <c r="AB163" s="96">
        <f t="shared" si="214"/>
        <v>28299228</v>
      </c>
      <c r="AC163" s="96">
        <f t="shared" si="214"/>
        <v>25815885</v>
      </c>
      <c r="AD163" s="96">
        <f t="shared" si="214"/>
        <v>25815885</v>
      </c>
      <c r="AE163" s="96">
        <f t="shared" si="214"/>
        <v>25815885</v>
      </c>
      <c r="AF163" s="96">
        <f t="shared" si="214"/>
        <v>25815885</v>
      </c>
      <c r="AG163" s="96">
        <f t="shared" si="214"/>
        <v>25815885</v>
      </c>
      <c r="AH163" s="96">
        <f t="shared" si="214"/>
        <v>25815885</v>
      </c>
      <c r="AI163" s="96">
        <f t="shared" ref="AI163:BN163" si="215">+AI15+AI54+AI93</f>
        <v>25815885</v>
      </c>
      <c r="AJ163" s="96">
        <f t="shared" si="215"/>
        <v>25815885</v>
      </c>
      <c r="AK163" s="96">
        <f t="shared" si="215"/>
        <v>25815885</v>
      </c>
      <c r="AL163" s="96">
        <f t="shared" si="215"/>
        <v>25815885</v>
      </c>
      <c r="AM163" s="96">
        <f t="shared" si="215"/>
        <v>25815885</v>
      </c>
      <c r="AN163" s="96">
        <f t="shared" si="215"/>
        <v>25815885</v>
      </c>
      <c r="AO163" s="96">
        <f t="shared" si="215"/>
        <v>25815885</v>
      </c>
      <c r="AP163" s="96">
        <f t="shared" si="215"/>
        <v>28407446</v>
      </c>
      <c r="AQ163" s="96">
        <f t="shared" si="215"/>
        <v>28407446</v>
      </c>
      <c r="AR163" s="96">
        <f t="shared" si="215"/>
        <v>28407446</v>
      </c>
      <c r="AS163" s="96">
        <f t="shared" si="215"/>
        <v>28407446</v>
      </c>
      <c r="AT163" s="96">
        <f t="shared" si="215"/>
        <v>28407446</v>
      </c>
      <c r="AU163" s="96">
        <f t="shared" si="215"/>
        <v>28407446</v>
      </c>
      <c r="AV163" s="96">
        <f t="shared" si="215"/>
        <v>28407446</v>
      </c>
      <c r="AW163" s="96">
        <f t="shared" si="215"/>
        <v>28407446</v>
      </c>
      <c r="AX163" s="96">
        <f t="shared" si="215"/>
        <v>28407446</v>
      </c>
      <c r="AY163" s="96">
        <f t="shared" si="215"/>
        <v>28407446</v>
      </c>
      <c r="AZ163" s="96">
        <f t="shared" si="215"/>
        <v>28407446</v>
      </c>
      <c r="BA163" s="96">
        <f t="shared" si="215"/>
        <v>28407446</v>
      </c>
      <c r="BB163" s="96">
        <f t="shared" si="215"/>
        <v>28407446</v>
      </c>
      <c r="BC163" s="96">
        <f t="shared" si="215"/>
        <v>30605269</v>
      </c>
      <c r="BD163" s="96">
        <f t="shared" si="215"/>
        <v>30605269</v>
      </c>
      <c r="BE163" s="96">
        <f t="shared" si="215"/>
        <v>30605269</v>
      </c>
      <c r="BF163" s="96">
        <f t="shared" si="215"/>
        <v>30605269</v>
      </c>
      <c r="BG163" s="96">
        <f t="shared" si="215"/>
        <v>30605269</v>
      </c>
      <c r="BH163" s="96">
        <f t="shared" si="215"/>
        <v>30605269</v>
      </c>
      <c r="BI163" s="96">
        <f t="shared" si="215"/>
        <v>30605269</v>
      </c>
      <c r="BJ163" s="96">
        <f t="shared" si="215"/>
        <v>30605269</v>
      </c>
      <c r="BK163" s="96">
        <f t="shared" si="215"/>
        <v>30605269</v>
      </c>
      <c r="BL163" s="96">
        <f t="shared" si="215"/>
        <v>30605269</v>
      </c>
      <c r="BM163" s="96">
        <f t="shared" si="215"/>
        <v>30605269</v>
      </c>
      <c r="BN163" s="96">
        <f t="shared" si="215"/>
        <v>30605269</v>
      </c>
      <c r="BO163" s="96">
        <f t="shared" ref="BO163:CT163" si="216">+BO15+BO54+BO93</f>
        <v>30605269</v>
      </c>
      <c r="BP163" s="96">
        <f t="shared" si="216"/>
        <v>25965248</v>
      </c>
      <c r="BQ163" s="96">
        <f t="shared" si="216"/>
        <v>25965248</v>
      </c>
      <c r="BR163" s="96">
        <f t="shared" si="216"/>
        <v>25965248</v>
      </c>
      <c r="BS163" s="96">
        <f t="shared" si="216"/>
        <v>25965248</v>
      </c>
      <c r="BT163" s="96">
        <f t="shared" si="216"/>
        <v>25965248</v>
      </c>
      <c r="BU163" s="96">
        <f t="shared" si="216"/>
        <v>25965248</v>
      </c>
      <c r="BV163" s="96">
        <f t="shared" si="216"/>
        <v>25965248</v>
      </c>
      <c r="BW163" s="96">
        <f t="shared" si="216"/>
        <v>25965248</v>
      </c>
      <c r="BX163" s="96">
        <f t="shared" si="216"/>
        <v>25965248</v>
      </c>
      <c r="BY163" s="96">
        <f t="shared" si="216"/>
        <v>25965248</v>
      </c>
      <c r="BZ163" s="96">
        <f t="shared" si="216"/>
        <v>25965248</v>
      </c>
      <c r="CA163" s="96">
        <f t="shared" si="216"/>
        <v>25965248</v>
      </c>
      <c r="CB163" s="96">
        <f t="shared" si="216"/>
        <v>25965248</v>
      </c>
      <c r="CC163" s="96">
        <f t="shared" si="216"/>
        <v>22282559</v>
      </c>
      <c r="CD163" s="96">
        <f t="shared" si="216"/>
        <v>22282559</v>
      </c>
      <c r="CE163" s="96">
        <f t="shared" si="216"/>
        <v>22282559</v>
      </c>
      <c r="CF163" s="96">
        <f t="shared" si="216"/>
        <v>22282559</v>
      </c>
      <c r="CG163" s="96">
        <f t="shared" si="216"/>
        <v>22282559</v>
      </c>
      <c r="CH163" s="96">
        <f t="shared" si="216"/>
        <v>22282559</v>
      </c>
      <c r="CI163" s="96">
        <f t="shared" si="216"/>
        <v>22282559</v>
      </c>
      <c r="CJ163" s="96">
        <f t="shared" si="216"/>
        <v>22282559</v>
      </c>
      <c r="CK163" s="96">
        <f t="shared" si="216"/>
        <v>22282559</v>
      </c>
      <c r="CL163" s="96">
        <f t="shared" si="216"/>
        <v>22282559</v>
      </c>
      <c r="CM163" s="96">
        <f t="shared" si="216"/>
        <v>22282559</v>
      </c>
      <c r="CN163" s="96">
        <f t="shared" si="216"/>
        <v>22282559</v>
      </c>
      <c r="CO163" s="96">
        <f t="shared" si="216"/>
        <v>22282559</v>
      </c>
      <c r="CP163" s="96">
        <f t="shared" si="216"/>
        <v>37073180</v>
      </c>
      <c r="CQ163" s="96">
        <f t="shared" si="216"/>
        <v>37073180</v>
      </c>
      <c r="CR163" s="96">
        <f t="shared" si="216"/>
        <v>37073180</v>
      </c>
      <c r="CS163" s="96">
        <f t="shared" si="216"/>
        <v>37073180</v>
      </c>
      <c r="CT163" s="96">
        <f t="shared" si="216"/>
        <v>37073180</v>
      </c>
      <c r="CU163" s="96">
        <f t="shared" ref="CU163:DZ163" si="217">+CU15+CU54+CU93</f>
        <v>37073180</v>
      </c>
      <c r="CV163" s="96">
        <f t="shared" si="217"/>
        <v>37073180</v>
      </c>
      <c r="CW163" s="96">
        <f t="shared" si="217"/>
        <v>37073180</v>
      </c>
      <c r="CX163" s="96">
        <f t="shared" si="217"/>
        <v>37073180</v>
      </c>
      <c r="CY163" s="96">
        <f t="shared" si="217"/>
        <v>37073180</v>
      </c>
      <c r="CZ163" s="96">
        <f t="shared" si="217"/>
        <v>37073180</v>
      </c>
      <c r="DA163" s="96">
        <f t="shared" si="217"/>
        <v>37073180</v>
      </c>
      <c r="DB163" s="96">
        <f t="shared" si="217"/>
        <v>37073180</v>
      </c>
      <c r="DC163" s="96">
        <f t="shared" si="217"/>
        <v>41208334</v>
      </c>
      <c r="DD163" s="96">
        <f t="shared" si="217"/>
        <v>41208334</v>
      </c>
      <c r="DE163" s="96">
        <f t="shared" si="217"/>
        <v>41208334</v>
      </c>
      <c r="DF163" s="96">
        <f t="shared" si="217"/>
        <v>41208334</v>
      </c>
      <c r="DG163" s="96">
        <f t="shared" si="217"/>
        <v>41208334</v>
      </c>
      <c r="DH163" s="96">
        <f t="shared" si="217"/>
        <v>41208334</v>
      </c>
      <c r="DI163" s="96">
        <f t="shared" si="217"/>
        <v>41208334</v>
      </c>
      <c r="DJ163" s="96">
        <f t="shared" si="217"/>
        <v>41208334</v>
      </c>
      <c r="DK163" s="96">
        <f t="shared" si="217"/>
        <v>41208334</v>
      </c>
      <c r="DL163" s="96">
        <f t="shared" si="217"/>
        <v>41208334</v>
      </c>
      <c r="DM163" s="96">
        <f t="shared" si="217"/>
        <v>41208334</v>
      </c>
      <c r="DN163" s="96">
        <f t="shared" si="217"/>
        <v>41208334</v>
      </c>
      <c r="DO163" s="96">
        <f t="shared" si="217"/>
        <v>41208334</v>
      </c>
      <c r="DP163" s="96">
        <f t="shared" si="217"/>
        <v>38146983</v>
      </c>
      <c r="DQ163" s="96">
        <f t="shared" si="217"/>
        <v>38146983</v>
      </c>
      <c r="DR163" s="96">
        <f t="shared" si="217"/>
        <v>38146983</v>
      </c>
      <c r="DS163" s="96">
        <f t="shared" si="217"/>
        <v>38146983</v>
      </c>
      <c r="DT163" s="96">
        <f t="shared" si="217"/>
        <v>38146983</v>
      </c>
      <c r="DU163" s="96">
        <f t="shared" si="217"/>
        <v>38146983</v>
      </c>
      <c r="DV163" s="96">
        <f t="shared" si="217"/>
        <v>38146983</v>
      </c>
      <c r="DW163" s="96">
        <f t="shared" si="217"/>
        <v>38146983</v>
      </c>
      <c r="DX163" s="96">
        <f t="shared" si="217"/>
        <v>38146983</v>
      </c>
      <c r="DY163" s="96">
        <f t="shared" si="217"/>
        <v>38146983</v>
      </c>
      <c r="DZ163" s="96">
        <f t="shared" si="217"/>
        <v>38146983</v>
      </c>
      <c r="EA163" s="96">
        <f t="shared" ref="EA163:FF163" si="218">+EA15+EA54+EA93</f>
        <v>38146983</v>
      </c>
      <c r="EB163" s="96">
        <f t="shared" si="218"/>
        <v>38146983</v>
      </c>
      <c r="EC163" s="96">
        <f t="shared" si="218"/>
        <v>45185895</v>
      </c>
      <c r="ED163" s="96">
        <f t="shared" si="218"/>
        <v>45185895</v>
      </c>
      <c r="EE163" s="96">
        <f t="shared" si="218"/>
        <v>45185895</v>
      </c>
      <c r="EF163" s="96">
        <f t="shared" si="218"/>
        <v>45185895</v>
      </c>
      <c r="EG163" s="96">
        <f t="shared" si="218"/>
        <v>45185895</v>
      </c>
      <c r="EH163" s="96">
        <f t="shared" si="218"/>
        <v>45185895</v>
      </c>
      <c r="EI163" s="96">
        <f t="shared" si="218"/>
        <v>45185895</v>
      </c>
      <c r="EJ163" s="96">
        <f t="shared" si="218"/>
        <v>45185895</v>
      </c>
      <c r="EK163" s="96">
        <f t="shared" si="218"/>
        <v>45185895</v>
      </c>
      <c r="EL163" s="96">
        <f t="shared" si="218"/>
        <v>45185895</v>
      </c>
      <c r="EM163" s="96">
        <f t="shared" si="218"/>
        <v>45185895</v>
      </c>
      <c r="EN163" s="96">
        <f t="shared" si="218"/>
        <v>45185895</v>
      </c>
      <c r="EO163" s="96">
        <f t="shared" si="218"/>
        <v>45185895</v>
      </c>
      <c r="EP163" s="96">
        <f t="shared" si="218"/>
        <v>57665235</v>
      </c>
      <c r="EQ163" s="96">
        <f t="shared" si="218"/>
        <v>57665235</v>
      </c>
      <c r="ER163" s="96">
        <f t="shared" si="218"/>
        <v>57665235</v>
      </c>
      <c r="ES163" s="96">
        <f t="shared" si="218"/>
        <v>57665235</v>
      </c>
      <c r="ET163" s="96">
        <f t="shared" si="218"/>
        <v>57665235</v>
      </c>
      <c r="EU163" s="96">
        <f t="shared" si="218"/>
        <v>57665235</v>
      </c>
      <c r="EV163" s="96">
        <f t="shared" si="218"/>
        <v>57665235</v>
      </c>
      <c r="EW163" s="96">
        <f t="shared" si="218"/>
        <v>57665235</v>
      </c>
      <c r="EX163" s="96">
        <f t="shared" si="218"/>
        <v>57665235</v>
      </c>
      <c r="EY163" s="96">
        <f t="shared" si="218"/>
        <v>57665235</v>
      </c>
      <c r="EZ163" s="96">
        <f t="shared" si="218"/>
        <v>57665235</v>
      </c>
      <c r="FA163" s="96">
        <f t="shared" si="218"/>
        <v>57665235</v>
      </c>
      <c r="FB163" s="96">
        <f t="shared" si="218"/>
        <v>57665235</v>
      </c>
      <c r="FC163" s="96">
        <f t="shared" si="218"/>
        <v>30872482</v>
      </c>
      <c r="FD163" s="96">
        <f t="shared" si="218"/>
        <v>30872482</v>
      </c>
      <c r="FE163" s="96">
        <f t="shared" si="218"/>
        <v>30872482</v>
      </c>
      <c r="FF163" s="96">
        <f t="shared" si="218"/>
        <v>30872482</v>
      </c>
      <c r="FG163" s="96">
        <f t="shared" ref="FG163:FO163" si="219">+FG15+FG54+FG93</f>
        <v>30872482</v>
      </c>
      <c r="FH163" s="96">
        <f t="shared" si="219"/>
        <v>30872482</v>
      </c>
      <c r="FI163" s="96">
        <f t="shared" si="219"/>
        <v>30872482</v>
      </c>
      <c r="FJ163" s="96">
        <f t="shared" si="219"/>
        <v>0</v>
      </c>
      <c r="FK163" s="96">
        <f t="shared" si="219"/>
        <v>0</v>
      </c>
      <c r="FL163" s="96">
        <f t="shared" si="219"/>
        <v>0</v>
      </c>
      <c r="FM163" s="96">
        <f t="shared" si="219"/>
        <v>0</v>
      </c>
      <c r="FN163" s="96">
        <f t="shared" si="219"/>
        <v>0</v>
      </c>
      <c r="FO163" s="96">
        <f t="shared" si="219"/>
        <v>30872482</v>
      </c>
    </row>
  </sheetData>
  <mergeCells count="130">
    <mergeCell ref="B7:FO7"/>
    <mergeCell ref="P8:AB8"/>
    <mergeCell ref="EC8:EO8"/>
    <mergeCell ref="CP32:DB32"/>
    <mergeCell ref="BP98:CB98"/>
    <mergeCell ref="C59:O59"/>
    <mergeCell ref="B97:FO97"/>
    <mergeCell ref="AC20:AO20"/>
    <mergeCell ref="BP8:CB8"/>
    <mergeCell ref="CP47:DB47"/>
    <mergeCell ref="EP47:FB47"/>
    <mergeCell ref="EP8:FB8"/>
    <mergeCell ref="AC98:AO98"/>
    <mergeCell ref="CC47:CO47"/>
    <mergeCell ref="BP59:CB59"/>
    <mergeCell ref="AC110:AO110"/>
    <mergeCell ref="CC8:CO8"/>
    <mergeCell ref="DC47:DO47"/>
    <mergeCell ref="FC71:FO71"/>
    <mergeCell ref="BP32:CB32"/>
    <mergeCell ref="EP86:FB86"/>
    <mergeCell ref="DC8:DO8"/>
    <mergeCell ref="BP47:CB47"/>
    <mergeCell ref="AC86:AO86"/>
    <mergeCell ref="DP47:EB47"/>
    <mergeCell ref="C8:O8"/>
    <mergeCell ref="B31:FO31"/>
    <mergeCell ref="BC8:BO8"/>
    <mergeCell ref="P47:AB47"/>
    <mergeCell ref="CC71:CO71"/>
    <mergeCell ref="DP59:EB59"/>
    <mergeCell ref="DC32:DO32"/>
    <mergeCell ref="EC71:EO71"/>
    <mergeCell ref="EP20:FB20"/>
    <mergeCell ref="P71:AB71"/>
    <mergeCell ref="AP32:BB32"/>
    <mergeCell ref="FC47:FO47"/>
    <mergeCell ref="AP47:BB47"/>
    <mergeCell ref="DC71:DO71"/>
    <mergeCell ref="EP59:FB59"/>
    <mergeCell ref="AP71:BB71"/>
    <mergeCell ref="FC8:FO8"/>
    <mergeCell ref="C20:O20"/>
    <mergeCell ref="AP8:BB8"/>
    <mergeCell ref="BP71:CB71"/>
    <mergeCell ref="C47:O47"/>
    <mergeCell ref="EP32:FB32"/>
    <mergeCell ref="CC20:CO20"/>
    <mergeCell ref="CP71:DB71"/>
    <mergeCell ref="P86:AB86"/>
    <mergeCell ref="FC59:FO59"/>
    <mergeCell ref="BP110:CB110"/>
    <mergeCell ref="DC98:DO98"/>
    <mergeCell ref="C71:O71"/>
    <mergeCell ref="AP59:BB59"/>
    <mergeCell ref="BP20:CB20"/>
    <mergeCell ref="AP86:BB86"/>
    <mergeCell ref="C110:O110"/>
    <mergeCell ref="EC47:EO47"/>
    <mergeCell ref="CP86:DB86"/>
    <mergeCell ref="EC98:EO98"/>
    <mergeCell ref="FC86:FO86"/>
    <mergeCell ref="BP86:CB86"/>
    <mergeCell ref="DP86:EB86"/>
    <mergeCell ref="C86:O86"/>
    <mergeCell ref="EP110:FB110"/>
    <mergeCell ref="BC110:BO110"/>
    <mergeCell ref="AP98:BB98"/>
    <mergeCell ref="FC98:FO98"/>
    <mergeCell ref="EC110:EO110"/>
    <mergeCell ref="CC59:CO59"/>
    <mergeCell ref="DC20:DO20"/>
    <mergeCell ref="BC86:BO86"/>
    <mergeCell ref="DC86:DO86"/>
    <mergeCell ref="DC110:DO110"/>
    <mergeCell ref="AC47:AO47"/>
    <mergeCell ref="EC59:EO59"/>
    <mergeCell ref="FC20:FO20"/>
    <mergeCell ref="AP20:BB20"/>
    <mergeCell ref="CP20:DB20"/>
    <mergeCell ref="CC86:CO86"/>
    <mergeCell ref="BC47:BO47"/>
    <mergeCell ref="B5:FO5"/>
    <mergeCell ref="B85:FO85"/>
    <mergeCell ref="AC8:AO8"/>
    <mergeCell ref="CP110:DB110"/>
    <mergeCell ref="BC71:BO71"/>
    <mergeCell ref="CP59:DB59"/>
    <mergeCell ref="CC32:CO32"/>
    <mergeCell ref="DP20:EB20"/>
    <mergeCell ref="B4:FO4"/>
    <mergeCell ref="B109:FO109"/>
    <mergeCell ref="EC86:EO86"/>
    <mergeCell ref="P32:AB32"/>
    <mergeCell ref="P98:AB98"/>
    <mergeCell ref="B46:FO46"/>
    <mergeCell ref="EC32:EO32"/>
    <mergeCell ref="DP110:EB110"/>
    <mergeCell ref="B70:FO70"/>
    <mergeCell ref="BC20:BO20"/>
    <mergeCell ref="FC32:FO32"/>
    <mergeCell ref="CC110:CO110"/>
    <mergeCell ref="DP32:EB32"/>
    <mergeCell ref="DP98:EB98"/>
    <mergeCell ref="BC59:BO59"/>
    <mergeCell ref="DP8:EB8"/>
    <mergeCell ref="EP71:FB71"/>
    <mergeCell ref="CP98:DB98"/>
    <mergeCell ref="B58:FO58"/>
    <mergeCell ref="AC59:AO59"/>
    <mergeCell ref="CP8:DB8"/>
    <mergeCell ref="C32:O32"/>
    <mergeCell ref="FC110:FO110"/>
    <mergeCell ref="DP71:EB71"/>
    <mergeCell ref="EP98:FB98"/>
    <mergeCell ref="DC59:DO59"/>
    <mergeCell ref="EC20:EO20"/>
    <mergeCell ref="P110:AB110"/>
    <mergeCell ref="BC98:BO98"/>
    <mergeCell ref="P20:AB20"/>
    <mergeCell ref="B44:FO44"/>
    <mergeCell ref="AC32:AO32"/>
    <mergeCell ref="B19:FO19"/>
    <mergeCell ref="AC71:AO71"/>
    <mergeCell ref="BC32:BO32"/>
    <mergeCell ref="AP110:BB110"/>
    <mergeCell ref="B83:FO83"/>
    <mergeCell ref="CC98:CO98"/>
    <mergeCell ref="P59:AB59"/>
    <mergeCell ref="C98:O9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O16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4.44140625" defaultRowHeight="15" customHeight="1" outlineLevelCol="1"/>
  <cols>
    <col min="1" max="1" width="4.44140625" style="101" customWidth="1"/>
    <col min="2" max="2" width="34" style="101" customWidth="1"/>
    <col min="3" max="14" width="15.44140625" style="101" hidden="1" customWidth="1" outlineLevel="1"/>
    <col min="15" max="15" width="18" style="101" customWidth="1" collapsed="1"/>
    <col min="16" max="27" width="15.44140625" style="101" hidden="1" customWidth="1" outlineLevel="1"/>
    <col min="28" max="28" width="18" style="101" customWidth="1" collapsed="1"/>
    <col min="29" max="40" width="15.44140625" style="101" hidden="1" customWidth="1" outlineLevel="1"/>
    <col min="41" max="41" width="18" style="101" customWidth="1" collapsed="1"/>
    <col min="42" max="53" width="15.44140625" style="101" hidden="1" customWidth="1" outlineLevel="1"/>
    <col min="54" max="54" width="18" style="101" customWidth="1" collapsed="1"/>
    <col min="55" max="66" width="15.44140625" style="101" hidden="1" customWidth="1" outlineLevel="1"/>
    <col min="67" max="67" width="18" style="101" customWidth="1" collapsed="1"/>
    <col min="68" max="79" width="15.44140625" style="101" hidden="1" customWidth="1" outlineLevel="1"/>
    <col min="80" max="80" width="18" style="101" customWidth="1" collapsed="1"/>
    <col min="81" max="92" width="15.44140625" style="101" hidden="1" customWidth="1" outlineLevel="1"/>
    <col min="93" max="93" width="18" style="101" customWidth="1" collapsed="1"/>
    <col min="94" max="105" width="15.44140625" style="101" hidden="1" customWidth="1" outlineLevel="1"/>
    <col min="106" max="106" width="18" style="101" customWidth="1" collapsed="1"/>
    <col min="107" max="118" width="15.44140625" style="101" hidden="1" customWidth="1" outlineLevel="1"/>
    <col min="119" max="119" width="18" style="101" customWidth="1" collapsed="1"/>
    <col min="120" max="131" width="15.44140625" style="101" hidden="1" customWidth="1" outlineLevel="1"/>
    <col min="132" max="132" width="18" style="101" customWidth="1" collapsed="1"/>
    <col min="133" max="144" width="15.44140625" style="101" hidden="1" customWidth="1" outlineLevel="1"/>
    <col min="145" max="145" width="18" style="101" customWidth="1" collapsed="1"/>
    <col min="146" max="157" width="15.44140625" style="101" hidden="1" customWidth="1" outlineLevel="1"/>
    <col min="158" max="158" width="18" style="101" customWidth="1" collapsed="1"/>
    <col min="159" max="170" width="15.44140625" style="101" hidden="1" customWidth="1" outlineLevel="1"/>
    <col min="171" max="171" width="18" style="101" customWidth="1" collapsed="1"/>
  </cols>
  <sheetData>
    <row r="1" spans="1:171" ht="15" customHeight="1">
      <c r="C1" s="10">
        <v>1.620347026546048</v>
      </c>
      <c r="D1" s="10">
        <v>1.620347026546048</v>
      </c>
      <c r="E1" s="10">
        <v>1.620347026546048</v>
      </c>
      <c r="F1" s="10">
        <v>1.620347026546048</v>
      </c>
      <c r="G1" s="10">
        <v>1.620347026546048</v>
      </c>
      <c r="H1" s="10">
        <v>1.620347026546048</v>
      </c>
      <c r="I1" s="10">
        <v>1.620347026546048</v>
      </c>
      <c r="J1" s="10">
        <v>1.620347026546048</v>
      </c>
      <c r="K1" s="10">
        <v>1.620347026546048</v>
      </c>
      <c r="L1" s="10">
        <v>1.620347026546048</v>
      </c>
      <c r="M1" s="10">
        <v>1.620347026546048</v>
      </c>
      <c r="N1" s="10">
        <v>1.620347026546048</v>
      </c>
      <c r="P1" s="10">
        <v>1.552209120613723</v>
      </c>
      <c r="Q1" s="10">
        <v>1.552209120613723</v>
      </c>
      <c r="R1" s="10">
        <v>1.552209120613723</v>
      </c>
      <c r="S1" s="10">
        <v>1.552209120613723</v>
      </c>
      <c r="T1" s="10">
        <v>1.552209120613723</v>
      </c>
      <c r="U1" s="10">
        <v>1.552209120613723</v>
      </c>
      <c r="V1" s="10">
        <v>1.552209120613723</v>
      </c>
      <c r="W1" s="10">
        <v>1.552209120613723</v>
      </c>
      <c r="X1" s="10">
        <v>1.552209120613723</v>
      </c>
      <c r="Y1" s="10">
        <v>1.552209120613723</v>
      </c>
      <c r="Z1" s="10">
        <v>1.552209120613723</v>
      </c>
      <c r="AA1" s="10">
        <v>1.552209120613723</v>
      </c>
      <c r="AC1" s="11">
        <v>1.51141236685572</v>
      </c>
      <c r="AD1" s="11">
        <v>1.51141236685572</v>
      </c>
      <c r="AE1" s="11">
        <v>1.51141236685572</v>
      </c>
      <c r="AF1" s="11">
        <v>1.51141236685572</v>
      </c>
      <c r="AG1" s="11">
        <v>1.51141236685572</v>
      </c>
      <c r="AH1" s="11">
        <v>1.51141236685572</v>
      </c>
      <c r="AI1" s="11">
        <v>1.51141236685572</v>
      </c>
      <c r="AJ1" s="11">
        <v>1.51141236685572</v>
      </c>
      <c r="AK1" s="11">
        <v>1.51141236685572</v>
      </c>
      <c r="AL1" s="11">
        <v>1.51141236685572</v>
      </c>
      <c r="AM1" s="11">
        <v>1.51141236685572</v>
      </c>
      <c r="AN1" s="11">
        <v>1.51141236685572</v>
      </c>
      <c r="AP1" s="11">
        <v>1.477884485323955</v>
      </c>
      <c r="AQ1" s="11">
        <v>1.477884485323955</v>
      </c>
      <c r="AR1" s="11">
        <v>1.477884485323955</v>
      </c>
      <c r="AS1" s="11">
        <v>1.477884485323955</v>
      </c>
      <c r="AT1" s="11">
        <v>1.477884485323955</v>
      </c>
      <c r="AU1" s="11">
        <v>1.477884485323955</v>
      </c>
      <c r="AV1" s="11">
        <v>1.477884485323955</v>
      </c>
      <c r="AW1" s="11">
        <v>1.477884485323955</v>
      </c>
      <c r="AX1" s="11">
        <v>1.477884485323955</v>
      </c>
      <c r="AY1" s="11">
        <v>1.477884485323955</v>
      </c>
      <c r="AZ1" s="11">
        <v>1.477884485323955</v>
      </c>
      <c r="BA1" s="11">
        <v>1.477884485323955</v>
      </c>
      <c r="BC1" s="11">
        <v>1.440854543056838</v>
      </c>
      <c r="BD1" s="11">
        <v>1.440854543056838</v>
      </c>
      <c r="BE1" s="11">
        <v>1.440854543056838</v>
      </c>
      <c r="BF1" s="11">
        <v>1.440854543056838</v>
      </c>
      <c r="BG1" s="11">
        <v>1.440854543056838</v>
      </c>
      <c r="BH1" s="11">
        <v>1.440854543056838</v>
      </c>
      <c r="BI1" s="11">
        <v>1.440854543056838</v>
      </c>
      <c r="BJ1" s="11">
        <v>1.440854543056838</v>
      </c>
      <c r="BK1" s="11">
        <v>1.440854543056838</v>
      </c>
      <c r="BL1" s="11">
        <v>1.440854543056838</v>
      </c>
      <c r="BM1" s="11">
        <v>1.440854543056838</v>
      </c>
      <c r="BN1" s="11">
        <v>1.440854543056838</v>
      </c>
      <c r="BP1" s="11">
        <v>1.398975672215109</v>
      </c>
      <c r="BQ1" s="11">
        <v>1.398975672215109</v>
      </c>
      <c r="BR1" s="11">
        <v>1.398975672215109</v>
      </c>
      <c r="BS1" s="11">
        <v>1.398975672215109</v>
      </c>
      <c r="BT1" s="11">
        <v>1.398975672215109</v>
      </c>
      <c r="BU1" s="11">
        <v>1.398975672215109</v>
      </c>
      <c r="BV1" s="11">
        <v>1.398975672215109</v>
      </c>
      <c r="BW1" s="11">
        <v>1.398975672215109</v>
      </c>
      <c r="BX1" s="11">
        <v>1.398975672215109</v>
      </c>
      <c r="BY1" s="11">
        <v>1.398975672215109</v>
      </c>
      <c r="BZ1" s="11">
        <v>1.398975672215109</v>
      </c>
      <c r="CA1" s="11">
        <v>1.398975672215109</v>
      </c>
      <c r="CC1" s="11">
        <v>1.3584483401715779</v>
      </c>
      <c r="CD1" s="11">
        <v>1.3584483401715779</v>
      </c>
      <c r="CE1" s="11">
        <v>1.3584483401715779</v>
      </c>
      <c r="CF1" s="11">
        <v>1.3584483401715779</v>
      </c>
      <c r="CG1" s="11">
        <v>1.3584483401715779</v>
      </c>
      <c r="CH1" s="11">
        <v>1.3584483401715779</v>
      </c>
      <c r="CI1" s="11">
        <v>1.3584483401715779</v>
      </c>
      <c r="CJ1" s="11">
        <v>1.3584483401715779</v>
      </c>
      <c r="CK1" s="11">
        <v>1.3584483401715779</v>
      </c>
      <c r="CL1" s="11">
        <v>1.3584483401715779</v>
      </c>
      <c r="CM1" s="11">
        <v>1.3584483401715779</v>
      </c>
      <c r="CN1" s="11">
        <v>1.3584483401715779</v>
      </c>
      <c r="CP1" s="11">
        <v>1.2675174013921111</v>
      </c>
      <c r="CQ1" s="11">
        <v>1.2675174013921111</v>
      </c>
      <c r="CR1" s="11">
        <v>1.2675174013921111</v>
      </c>
      <c r="CS1" s="11">
        <v>1.2675174013921111</v>
      </c>
      <c r="CT1" s="11">
        <v>1.2675174013921111</v>
      </c>
      <c r="CU1" s="11">
        <v>1.2675174013921111</v>
      </c>
      <c r="CV1" s="11">
        <v>1.2675174013921111</v>
      </c>
      <c r="CW1" s="11">
        <v>1.2675174013921111</v>
      </c>
      <c r="CX1" s="11">
        <v>1.2675174013921111</v>
      </c>
      <c r="CY1" s="11">
        <v>1.2675174013921111</v>
      </c>
      <c r="CZ1" s="11">
        <v>1.2675174013921111</v>
      </c>
      <c r="DA1" s="11">
        <v>1.2675174013921111</v>
      </c>
      <c r="DC1" s="11">
        <v>1.1239584404896621</v>
      </c>
      <c r="DD1" s="11">
        <v>1.1239584404896621</v>
      </c>
      <c r="DE1" s="11">
        <v>1.1239584404896621</v>
      </c>
      <c r="DF1" s="11">
        <v>1.1239584404896621</v>
      </c>
      <c r="DG1" s="11">
        <v>1.1239584404896621</v>
      </c>
      <c r="DH1" s="11">
        <v>1.1239584404896621</v>
      </c>
      <c r="DI1" s="11">
        <v>1.1239584404896621</v>
      </c>
      <c r="DJ1" s="11">
        <v>1.1239584404896621</v>
      </c>
      <c r="DK1" s="11">
        <v>1.1239584404896621</v>
      </c>
      <c r="DL1" s="11">
        <v>1.1239584404896621</v>
      </c>
      <c r="DM1" s="11">
        <v>1.1239584404896621</v>
      </c>
      <c r="DN1" s="11">
        <v>1.1239584404896621</v>
      </c>
      <c r="DP1" s="11">
        <v>1.0813539192399051</v>
      </c>
      <c r="DQ1" s="11">
        <v>1.0813539192399051</v>
      </c>
      <c r="DR1" s="11">
        <v>1.0813539192399051</v>
      </c>
      <c r="DS1" s="11">
        <v>1.0813539192399051</v>
      </c>
      <c r="DT1" s="11">
        <v>1.0813539192399051</v>
      </c>
      <c r="DU1" s="11">
        <v>1.0813539192399051</v>
      </c>
      <c r="DV1" s="11">
        <v>1.0813539192399051</v>
      </c>
      <c r="DW1" s="11">
        <v>1.0813539192399051</v>
      </c>
      <c r="DX1" s="11">
        <v>1.0813539192399051</v>
      </c>
      <c r="DY1" s="11">
        <v>1.0813539192399051</v>
      </c>
      <c r="DZ1" s="11">
        <v>1.0813539192399051</v>
      </c>
      <c r="EA1" s="11">
        <v>1.0813539192399051</v>
      </c>
      <c r="EC1" s="11">
        <v>1.034463169854194</v>
      </c>
      <c r="ED1" s="11">
        <v>1.034463169854194</v>
      </c>
      <c r="EE1" s="11">
        <v>1.034463169854194</v>
      </c>
      <c r="EF1" s="11">
        <v>1.034463169854194</v>
      </c>
      <c r="EG1" s="11">
        <v>1.034463169854194</v>
      </c>
      <c r="EH1" s="11">
        <v>1.034463169854194</v>
      </c>
      <c r="EI1" s="11">
        <v>1.034463169854194</v>
      </c>
      <c r="EJ1" s="11">
        <v>1.034463169854194</v>
      </c>
      <c r="EK1" s="11">
        <v>1.034463169854194</v>
      </c>
      <c r="EL1" s="11">
        <v>1.034463169854194</v>
      </c>
      <c r="EM1" s="11">
        <v>1.034463169854194</v>
      </c>
      <c r="EN1" s="11">
        <v>1.034463169854194</v>
      </c>
      <c r="EP1" s="11">
        <v>1</v>
      </c>
      <c r="EQ1" s="11">
        <v>1</v>
      </c>
      <c r="ER1" s="11">
        <v>1</v>
      </c>
      <c r="ES1" s="11">
        <v>1</v>
      </c>
      <c r="ET1" s="11">
        <v>1</v>
      </c>
      <c r="EU1" s="11">
        <v>1</v>
      </c>
      <c r="EV1" s="11">
        <v>1</v>
      </c>
      <c r="EW1" s="11">
        <v>1</v>
      </c>
      <c r="EX1" s="11">
        <v>1</v>
      </c>
      <c r="EY1" s="11">
        <v>1</v>
      </c>
      <c r="EZ1" s="11">
        <v>1</v>
      </c>
      <c r="FA1" s="11">
        <v>1</v>
      </c>
      <c r="FC1">
        <v>1</v>
      </c>
      <c r="FD1">
        <v>1</v>
      </c>
      <c r="FE1">
        <v>1</v>
      </c>
      <c r="FF1">
        <v>1</v>
      </c>
      <c r="FG1">
        <v>1</v>
      </c>
      <c r="FH1">
        <v>1</v>
      </c>
      <c r="FI1">
        <v>1</v>
      </c>
      <c r="FJ1">
        <v>1</v>
      </c>
      <c r="FK1">
        <v>1</v>
      </c>
      <c r="FL1">
        <v>1</v>
      </c>
      <c r="FM1">
        <v>1</v>
      </c>
      <c r="FN1">
        <v>1</v>
      </c>
    </row>
    <row r="2" spans="1:171" ht="15.75" customHeight="1">
      <c r="A2" s="10"/>
      <c r="B2" s="12" t="s">
        <v>0</v>
      </c>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row>
    <row r="3" spans="1:171" ht="14.25" customHeight="1">
      <c r="A3" s="10"/>
      <c r="B3" s="107" t="s">
        <v>1</v>
      </c>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05"/>
      <c r="CP3" s="105"/>
      <c r="CQ3" s="105"/>
      <c r="CR3" s="105"/>
      <c r="CS3" s="105"/>
      <c r="CT3" s="105"/>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c r="DV3" s="105"/>
      <c r="DW3" s="105"/>
      <c r="DX3" s="105"/>
      <c r="DY3" s="105"/>
      <c r="DZ3" s="105"/>
      <c r="EA3" s="105"/>
      <c r="EB3" s="105"/>
      <c r="EC3" s="105"/>
      <c r="ED3" s="105"/>
      <c r="EE3" s="105"/>
      <c r="EF3" s="105"/>
      <c r="EG3" s="105"/>
      <c r="EH3" s="105"/>
      <c r="EI3" s="105"/>
      <c r="EJ3" s="105"/>
      <c r="EK3" s="105"/>
      <c r="EL3" s="105"/>
      <c r="EM3" s="105"/>
      <c r="EN3" s="105"/>
      <c r="EO3" s="105"/>
      <c r="EP3" s="105"/>
      <c r="EQ3" s="105"/>
      <c r="ER3" s="105"/>
      <c r="ES3" s="105"/>
      <c r="ET3" s="105"/>
      <c r="EU3" s="105"/>
      <c r="EV3" s="105"/>
      <c r="EW3" s="105"/>
      <c r="EX3" s="105"/>
      <c r="EY3" s="105"/>
      <c r="EZ3" s="105"/>
      <c r="FA3" s="105"/>
      <c r="FB3" s="105"/>
      <c r="FC3" s="105"/>
      <c r="FD3" s="105"/>
      <c r="FE3" s="105"/>
      <c r="FF3" s="105"/>
      <c r="FG3" s="105"/>
      <c r="FH3" s="105"/>
      <c r="FI3" s="105"/>
      <c r="FJ3" s="105"/>
      <c r="FK3" s="105"/>
      <c r="FL3" s="105"/>
      <c r="FM3" s="105"/>
      <c r="FN3" s="105"/>
      <c r="FO3" s="105"/>
    </row>
    <row r="4" spans="1:171" ht="25.5" customHeight="1">
      <c r="A4" s="10"/>
      <c r="B4" s="106" t="s">
        <v>2</v>
      </c>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105"/>
      <c r="BO4" s="105"/>
      <c r="BP4" s="105"/>
      <c r="BQ4" s="105"/>
      <c r="BR4" s="105"/>
      <c r="BS4" s="105"/>
      <c r="BT4" s="105"/>
      <c r="BU4" s="105"/>
      <c r="BV4" s="105"/>
      <c r="BW4" s="105"/>
      <c r="BX4" s="105"/>
      <c r="BY4" s="105"/>
      <c r="BZ4" s="105"/>
      <c r="CA4" s="105"/>
      <c r="CB4" s="105"/>
      <c r="CC4" s="105"/>
      <c r="CD4" s="105"/>
      <c r="CE4" s="105"/>
      <c r="CF4" s="105"/>
      <c r="CG4" s="105"/>
      <c r="CH4" s="105"/>
      <c r="CI4" s="105"/>
      <c r="CJ4" s="105"/>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5"/>
      <c r="DY4" s="105"/>
      <c r="DZ4" s="105"/>
      <c r="EA4" s="105"/>
      <c r="EB4" s="105"/>
      <c r="EC4" s="105"/>
      <c r="ED4" s="105"/>
      <c r="EE4" s="105"/>
      <c r="EF4" s="105"/>
      <c r="EG4" s="105"/>
      <c r="EH4" s="105"/>
      <c r="EI4" s="105"/>
      <c r="EJ4" s="105"/>
      <c r="EK4" s="105"/>
      <c r="EL4" s="105"/>
      <c r="EM4" s="105"/>
      <c r="EN4" s="105"/>
      <c r="EO4" s="105"/>
      <c r="EP4" s="105"/>
      <c r="EQ4" s="105"/>
      <c r="ER4" s="105"/>
      <c r="ES4" s="105"/>
      <c r="ET4" s="105"/>
      <c r="EU4" s="105"/>
      <c r="EV4" s="105"/>
      <c r="EW4" s="105"/>
      <c r="EX4" s="105"/>
      <c r="EY4" s="105"/>
      <c r="EZ4" s="105"/>
      <c r="FA4" s="105"/>
      <c r="FB4" s="105"/>
      <c r="FC4" s="105"/>
      <c r="FD4" s="105"/>
      <c r="FE4" s="105"/>
      <c r="FF4" s="105"/>
      <c r="FG4" s="105"/>
      <c r="FH4" s="105"/>
      <c r="FI4" s="105"/>
      <c r="FJ4" s="105"/>
      <c r="FK4" s="105"/>
      <c r="FL4" s="105"/>
      <c r="FM4" s="105"/>
      <c r="FN4" s="105"/>
      <c r="FO4" s="105"/>
    </row>
    <row r="5" spans="1:171" ht="14.25"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row>
    <row r="6" spans="1:171" ht="15.75" customHeight="1">
      <c r="A6" s="10"/>
      <c r="B6" s="104" t="s">
        <v>3</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105"/>
      <c r="BO6" s="105"/>
      <c r="BP6" s="105"/>
      <c r="BQ6" s="105"/>
      <c r="BR6" s="105"/>
      <c r="BS6" s="105"/>
      <c r="BT6" s="105"/>
      <c r="BU6" s="105"/>
      <c r="BV6" s="105"/>
      <c r="BW6" s="105"/>
      <c r="BX6" s="105"/>
      <c r="BY6" s="105"/>
      <c r="BZ6" s="105"/>
      <c r="CA6" s="105"/>
      <c r="CB6" s="105"/>
      <c r="CC6" s="105"/>
      <c r="CD6" s="105"/>
      <c r="CE6" s="105"/>
      <c r="CF6" s="105"/>
      <c r="CG6" s="105"/>
      <c r="CH6" s="105"/>
      <c r="CI6" s="105"/>
      <c r="CJ6" s="105"/>
      <c r="CK6" s="105"/>
      <c r="CL6" s="105"/>
      <c r="CM6" s="105"/>
      <c r="CN6" s="105"/>
      <c r="CO6" s="105"/>
      <c r="CP6" s="105"/>
      <c r="CQ6" s="105"/>
      <c r="CR6" s="105"/>
      <c r="CS6" s="105"/>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5"/>
      <c r="DY6" s="105"/>
      <c r="DZ6" s="105"/>
      <c r="EA6" s="105"/>
      <c r="EB6" s="105"/>
      <c r="EC6" s="105"/>
      <c r="ED6" s="105"/>
      <c r="EE6" s="105"/>
      <c r="EF6" s="105"/>
      <c r="EG6" s="105"/>
      <c r="EH6" s="105"/>
      <c r="EI6" s="105"/>
      <c r="EJ6" s="105"/>
      <c r="EK6" s="105"/>
      <c r="EL6" s="105"/>
      <c r="EM6" s="105"/>
      <c r="EN6" s="105"/>
      <c r="EO6" s="105"/>
      <c r="EP6" s="105"/>
      <c r="EQ6" s="105"/>
      <c r="ER6" s="105"/>
      <c r="ES6" s="105"/>
      <c r="ET6" s="105"/>
      <c r="EU6" s="105"/>
      <c r="EV6" s="105"/>
      <c r="EW6" s="105"/>
      <c r="EX6" s="105"/>
      <c r="EY6" s="105"/>
      <c r="EZ6" s="105"/>
      <c r="FA6" s="105"/>
      <c r="FB6" s="105"/>
      <c r="FC6" s="105"/>
      <c r="FD6" s="105"/>
      <c r="FE6" s="105"/>
      <c r="FF6" s="105"/>
      <c r="FG6" s="105"/>
      <c r="FH6" s="105"/>
      <c r="FI6" s="105"/>
      <c r="FJ6" s="105"/>
      <c r="FK6" s="105"/>
      <c r="FL6" s="105"/>
      <c r="FM6" s="105"/>
      <c r="FN6" s="105"/>
      <c r="FO6" s="105"/>
    </row>
    <row r="7" spans="1:171" ht="21.75" customHeight="1">
      <c r="A7" s="10"/>
      <c r="B7" s="14"/>
      <c r="C7" s="102" t="s">
        <v>4</v>
      </c>
      <c r="D7" s="103"/>
      <c r="E7" s="103"/>
      <c r="F7" s="103"/>
      <c r="G7" s="103"/>
      <c r="H7" s="103"/>
      <c r="I7" s="103"/>
      <c r="J7" s="103"/>
      <c r="K7" s="103"/>
      <c r="L7" s="103"/>
      <c r="M7" s="103"/>
      <c r="N7" s="103"/>
      <c r="O7" s="103"/>
      <c r="P7" s="102" t="s">
        <v>5</v>
      </c>
      <c r="Q7" s="103"/>
      <c r="R7" s="103"/>
      <c r="S7" s="103"/>
      <c r="T7" s="103"/>
      <c r="U7" s="103"/>
      <c r="V7" s="103"/>
      <c r="W7" s="103"/>
      <c r="X7" s="103"/>
      <c r="Y7" s="103"/>
      <c r="Z7" s="103"/>
      <c r="AA7" s="103"/>
      <c r="AB7" s="103"/>
      <c r="AC7" s="102" t="s">
        <v>6</v>
      </c>
      <c r="AD7" s="103"/>
      <c r="AE7" s="103"/>
      <c r="AF7" s="103"/>
      <c r="AG7" s="103"/>
      <c r="AH7" s="103"/>
      <c r="AI7" s="103"/>
      <c r="AJ7" s="103"/>
      <c r="AK7" s="103"/>
      <c r="AL7" s="103"/>
      <c r="AM7" s="103"/>
      <c r="AN7" s="103"/>
      <c r="AO7" s="103"/>
      <c r="AP7" s="102" t="s">
        <v>7</v>
      </c>
      <c r="AQ7" s="103"/>
      <c r="AR7" s="103"/>
      <c r="AS7" s="103"/>
      <c r="AT7" s="103"/>
      <c r="AU7" s="103"/>
      <c r="AV7" s="103"/>
      <c r="AW7" s="103"/>
      <c r="AX7" s="103"/>
      <c r="AY7" s="103"/>
      <c r="AZ7" s="103"/>
      <c r="BA7" s="103"/>
      <c r="BB7" s="103"/>
      <c r="BC7" s="102" t="s">
        <v>8</v>
      </c>
      <c r="BD7" s="103"/>
      <c r="BE7" s="103"/>
      <c r="BF7" s="103"/>
      <c r="BG7" s="103"/>
      <c r="BH7" s="103"/>
      <c r="BI7" s="103"/>
      <c r="BJ7" s="103"/>
      <c r="BK7" s="103"/>
      <c r="BL7" s="103"/>
      <c r="BM7" s="103"/>
      <c r="BN7" s="103"/>
      <c r="BO7" s="103"/>
      <c r="BP7" s="102" t="s">
        <v>9</v>
      </c>
      <c r="BQ7" s="103"/>
      <c r="BR7" s="103"/>
      <c r="BS7" s="103"/>
      <c r="BT7" s="103"/>
      <c r="BU7" s="103"/>
      <c r="BV7" s="103"/>
      <c r="BW7" s="103"/>
      <c r="BX7" s="103"/>
      <c r="BY7" s="103"/>
      <c r="BZ7" s="103"/>
      <c r="CA7" s="103"/>
      <c r="CB7" s="103"/>
      <c r="CC7" s="102" t="s">
        <v>10</v>
      </c>
      <c r="CD7" s="103"/>
      <c r="CE7" s="103"/>
      <c r="CF7" s="103"/>
      <c r="CG7" s="103"/>
      <c r="CH7" s="103"/>
      <c r="CI7" s="103"/>
      <c r="CJ7" s="103"/>
      <c r="CK7" s="103"/>
      <c r="CL7" s="103"/>
      <c r="CM7" s="103"/>
      <c r="CN7" s="103"/>
      <c r="CO7" s="103"/>
      <c r="CP7" s="102" t="s">
        <v>11</v>
      </c>
      <c r="CQ7" s="103"/>
      <c r="CR7" s="103"/>
      <c r="CS7" s="103"/>
      <c r="CT7" s="103"/>
      <c r="CU7" s="103"/>
      <c r="CV7" s="103"/>
      <c r="CW7" s="103"/>
      <c r="CX7" s="103"/>
      <c r="CY7" s="103"/>
      <c r="CZ7" s="103"/>
      <c r="DA7" s="103"/>
      <c r="DB7" s="103"/>
      <c r="DC7" s="102" t="s">
        <v>12</v>
      </c>
      <c r="DD7" s="103"/>
      <c r="DE7" s="103"/>
      <c r="DF7" s="103"/>
      <c r="DG7" s="103"/>
      <c r="DH7" s="103"/>
      <c r="DI7" s="103"/>
      <c r="DJ7" s="103"/>
      <c r="DK7" s="103"/>
      <c r="DL7" s="103"/>
      <c r="DM7" s="103"/>
      <c r="DN7" s="103"/>
      <c r="DO7" s="103"/>
      <c r="DP7" s="102" t="s">
        <v>13</v>
      </c>
      <c r="DQ7" s="103"/>
      <c r="DR7" s="103"/>
      <c r="DS7" s="103"/>
      <c r="DT7" s="103"/>
      <c r="DU7" s="103"/>
      <c r="DV7" s="103"/>
      <c r="DW7" s="103"/>
      <c r="DX7" s="103"/>
      <c r="DY7" s="103"/>
      <c r="DZ7" s="103"/>
      <c r="EA7" s="103"/>
      <c r="EB7" s="103"/>
      <c r="EC7" s="102" t="s">
        <v>14</v>
      </c>
      <c r="ED7" s="103"/>
      <c r="EE7" s="103"/>
      <c r="EF7" s="103"/>
      <c r="EG7" s="103"/>
      <c r="EH7" s="103"/>
      <c r="EI7" s="103"/>
      <c r="EJ7" s="103"/>
      <c r="EK7" s="103"/>
      <c r="EL7" s="103"/>
      <c r="EM7" s="103"/>
      <c r="EN7" s="103"/>
      <c r="EO7" s="103"/>
      <c r="EP7" s="102" t="s">
        <v>15</v>
      </c>
      <c r="EQ7" s="103"/>
      <c r="ER7" s="103"/>
      <c r="ES7" s="103"/>
      <c r="ET7" s="103"/>
      <c r="EU7" s="103"/>
      <c r="EV7" s="103"/>
      <c r="EW7" s="103"/>
      <c r="EX7" s="103"/>
      <c r="EY7" s="103"/>
      <c r="EZ7" s="103"/>
      <c r="FA7" s="103"/>
      <c r="FB7" s="103"/>
      <c r="FC7" s="102" t="s">
        <v>16</v>
      </c>
      <c r="FD7" s="103"/>
      <c r="FE7" s="103"/>
      <c r="FF7" s="103"/>
      <c r="FG7" s="103"/>
      <c r="FH7" s="103"/>
      <c r="FI7" s="103"/>
      <c r="FJ7" s="103"/>
      <c r="FK7" s="103"/>
      <c r="FL7" s="103"/>
      <c r="FM7" s="103"/>
      <c r="FN7" s="103"/>
      <c r="FO7" s="103"/>
    </row>
    <row r="8" spans="1:171" ht="27.75" customHeight="1">
      <c r="A8" s="10"/>
      <c r="B8" s="15" t="s">
        <v>17</v>
      </c>
      <c r="C8" s="16" t="s">
        <v>18</v>
      </c>
      <c r="D8" s="16" t="s">
        <v>19</v>
      </c>
      <c r="E8" s="16" t="s">
        <v>20</v>
      </c>
      <c r="F8" s="16" t="s">
        <v>21</v>
      </c>
      <c r="G8" s="16" t="s">
        <v>22</v>
      </c>
      <c r="H8" s="16" t="s">
        <v>23</v>
      </c>
      <c r="I8" s="16" t="s">
        <v>24</v>
      </c>
      <c r="J8" s="16" t="s">
        <v>25</v>
      </c>
      <c r="K8" s="16" t="s">
        <v>26</v>
      </c>
      <c r="L8" s="16" t="s">
        <v>27</v>
      </c>
      <c r="M8" s="16" t="s">
        <v>28</v>
      </c>
      <c r="N8" s="16" t="s">
        <v>29</v>
      </c>
      <c r="O8" s="16" t="s">
        <v>30</v>
      </c>
      <c r="P8" s="16" t="s">
        <v>18</v>
      </c>
      <c r="Q8" s="16" t="s">
        <v>19</v>
      </c>
      <c r="R8" s="16" t="s">
        <v>20</v>
      </c>
      <c r="S8" s="16" t="s">
        <v>21</v>
      </c>
      <c r="T8" s="16" t="s">
        <v>22</v>
      </c>
      <c r="U8" s="16" t="s">
        <v>23</v>
      </c>
      <c r="V8" s="16" t="s">
        <v>24</v>
      </c>
      <c r="W8" s="16" t="s">
        <v>25</v>
      </c>
      <c r="X8" s="16" t="s">
        <v>26</v>
      </c>
      <c r="Y8" s="16" t="s">
        <v>27</v>
      </c>
      <c r="Z8" s="16" t="s">
        <v>28</v>
      </c>
      <c r="AA8" s="16" t="s">
        <v>29</v>
      </c>
      <c r="AB8" s="16" t="s">
        <v>31</v>
      </c>
      <c r="AC8" s="16" t="s">
        <v>18</v>
      </c>
      <c r="AD8" s="16" t="s">
        <v>19</v>
      </c>
      <c r="AE8" s="16" t="s">
        <v>20</v>
      </c>
      <c r="AF8" s="16" t="s">
        <v>21</v>
      </c>
      <c r="AG8" s="16" t="s">
        <v>22</v>
      </c>
      <c r="AH8" s="16" t="s">
        <v>23</v>
      </c>
      <c r="AI8" s="16" t="s">
        <v>24</v>
      </c>
      <c r="AJ8" s="16" t="s">
        <v>25</v>
      </c>
      <c r="AK8" s="16" t="s">
        <v>26</v>
      </c>
      <c r="AL8" s="16" t="s">
        <v>27</v>
      </c>
      <c r="AM8" s="16" t="s">
        <v>28</v>
      </c>
      <c r="AN8" s="16" t="s">
        <v>29</v>
      </c>
      <c r="AO8" s="16" t="s">
        <v>32</v>
      </c>
      <c r="AP8" s="16" t="s">
        <v>18</v>
      </c>
      <c r="AQ8" s="16" t="s">
        <v>19</v>
      </c>
      <c r="AR8" s="16" t="s">
        <v>20</v>
      </c>
      <c r="AS8" s="16" t="s">
        <v>21</v>
      </c>
      <c r="AT8" s="16" t="s">
        <v>22</v>
      </c>
      <c r="AU8" s="16" t="s">
        <v>23</v>
      </c>
      <c r="AV8" s="16" t="s">
        <v>24</v>
      </c>
      <c r="AW8" s="16" t="s">
        <v>25</v>
      </c>
      <c r="AX8" s="16" t="s">
        <v>26</v>
      </c>
      <c r="AY8" s="16" t="s">
        <v>27</v>
      </c>
      <c r="AZ8" s="16" t="s">
        <v>28</v>
      </c>
      <c r="BA8" s="16" t="s">
        <v>29</v>
      </c>
      <c r="BB8" s="16" t="s">
        <v>33</v>
      </c>
      <c r="BC8" s="16" t="s">
        <v>18</v>
      </c>
      <c r="BD8" s="16" t="s">
        <v>19</v>
      </c>
      <c r="BE8" s="16" t="s">
        <v>20</v>
      </c>
      <c r="BF8" s="16" t="s">
        <v>21</v>
      </c>
      <c r="BG8" s="16" t="s">
        <v>22</v>
      </c>
      <c r="BH8" s="16" t="s">
        <v>23</v>
      </c>
      <c r="BI8" s="16" t="s">
        <v>24</v>
      </c>
      <c r="BJ8" s="16" t="s">
        <v>25</v>
      </c>
      <c r="BK8" s="16" t="s">
        <v>26</v>
      </c>
      <c r="BL8" s="16" t="s">
        <v>27</v>
      </c>
      <c r="BM8" s="16" t="s">
        <v>28</v>
      </c>
      <c r="BN8" s="16" t="s">
        <v>29</v>
      </c>
      <c r="BO8" s="16" t="s">
        <v>34</v>
      </c>
      <c r="BP8" s="16" t="s">
        <v>18</v>
      </c>
      <c r="BQ8" s="16" t="s">
        <v>19</v>
      </c>
      <c r="BR8" s="16" t="s">
        <v>20</v>
      </c>
      <c r="BS8" s="16" t="s">
        <v>21</v>
      </c>
      <c r="BT8" s="16" t="s">
        <v>22</v>
      </c>
      <c r="BU8" s="16" t="s">
        <v>23</v>
      </c>
      <c r="BV8" s="16" t="s">
        <v>24</v>
      </c>
      <c r="BW8" s="16" t="s">
        <v>25</v>
      </c>
      <c r="BX8" s="16" t="s">
        <v>26</v>
      </c>
      <c r="BY8" s="16" t="s">
        <v>27</v>
      </c>
      <c r="BZ8" s="16" t="s">
        <v>28</v>
      </c>
      <c r="CA8" s="16" t="s">
        <v>29</v>
      </c>
      <c r="CB8" s="16" t="s">
        <v>35</v>
      </c>
      <c r="CC8" s="16" t="s">
        <v>18</v>
      </c>
      <c r="CD8" s="16" t="s">
        <v>19</v>
      </c>
      <c r="CE8" s="16" t="s">
        <v>20</v>
      </c>
      <c r="CF8" s="16" t="s">
        <v>21</v>
      </c>
      <c r="CG8" s="16" t="s">
        <v>22</v>
      </c>
      <c r="CH8" s="16" t="s">
        <v>23</v>
      </c>
      <c r="CI8" s="16" t="s">
        <v>24</v>
      </c>
      <c r="CJ8" s="16" t="s">
        <v>25</v>
      </c>
      <c r="CK8" s="16" t="s">
        <v>26</v>
      </c>
      <c r="CL8" s="16" t="s">
        <v>27</v>
      </c>
      <c r="CM8" s="16" t="s">
        <v>28</v>
      </c>
      <c r="CN8" s="16" t="s">
        <v>29</v>
      </c>
      <c r="CO8" s="16" t="s">
        <v>36</v>
      </c>
      <c r="CP8" s="16" t="s">
        <v>18</v>
      </c>
      <c r="CQ8" s="16" t="s">
        <v>19</v>
      </c>
      <c r="CR8" s="16" t="s">
        <v>20</v>
      </c>
      <c r="CS8" s="16" t="s">
        <v>21</v>
      </c>
      <c r="CT8" s="16" t="s">
        <v>22</v>
      </c>
      <c r="CU8" s="16" t="s">
        <v>23</v>
      </c>
      <c r="CV8" s="16" t="s">
        <v>24</v>
      </c>
      <c r="CW8" s="16" t="s">
        <v>25</v>
      </c>
      <c r="CX8" s="16" t="s">
        <v>26</v>
      </c>
      <c r="CY8" s="16" t="s">
        <v>27</v>
      </c>
      <c r="CZ8" s="16" t="s">
        <v>28</v>
      </c>
      <c r="DA8" s="16" t="s">
        <v>29</v>
      </c>
      <c r="DB8" s="16" t="s">
        <v>37</v>
      </c>
      <c r="DC8" s="16" t="s">
        <v>18</v>
      </c>
      <c r="DD8" s="16" t="s">
        <v>19</v>
      </c>
      <c r="DE8" s="16" t="s">
        <v>20</v>
      </c>
      <c r="DF8" s="16" t="s">
        <v>21</v>
      </c>
      <c r="DG8" s="16" t="s">
        <v>22</v>
      </c>
      <c r="DH8" s="16" t="s">
        <v>23</v>
      </c>
      <c r="DI8" s="16" t="s">
        <v>24</v>
      </c>
      <c r="DJ8" s="16" t="s">
        <v>25</v>
      </c>
      <c r="DK8" s="16" t="s">
        <v>26</v>
      </c>
      <c r="DL8" s="16" t="s">
        <v>27</v>
      </c>
      <c r="DM8" s="16" t="s">
        <v>28</v>
      </c>
      <c r="DN8" s="16" t="s">
        <v>29</v>
      </c>
      <c r="DO8" s="16" t="s">
        <v>38</v>
      </c>
      <c r="DP8" s="16" t="s">
        <v>18</v>
      </c>
      <c r="DQ8" s="16" t="s">
        <v>19</v>
      </c>
      <c r="DR8" s="16" t="s">
        <v>20</v>
      </c>
      <c r="DS8" s="16" t="s">
        <v>21</v>
      </c>
      <c r="DT8" s="16" t="s">
        <v>22</v>
      </c>
      <c r="DU8" s="16" t="s">
        <v>23</v>
      </c>
      <c r="DV8" s="16" t="s">
        <v>24</v>
      </c>
      <c r="DW8" s="16" t="s">
        <v>25</v>
      </c>
      <c r="DX8" s="16" t="s">
        <v>26</v>
      </c>
      <c r="DY8" s="16" t="s">
        <v>27</v>
      </c>
      <c r="DZ8" s="16" t="s">
        <v>28</v>
      </c>
      <c r="EA8" s="16" t="s">
        <v>29</v>
      </c>
      <c r="EB8" s="16" t="s">
        <v>39</v>
      </c>
      <c r="EC8" s="16" t="s">
        <v>18</v>
      </c>
      <c r="ED8" s="16" t="s">
        <v>19</v>
      </c>
      <c r="EE8" s="16" t="s">
        <v>20</v>
      </c>
      <c r="EF8" s="16" t="s">
        <v>21</v>
      </c>
      <c r="EG8" s="16" t="s">
        <v>22</v>
      </c>
      <c r="EH8" s="16" t="s">
        <v>23</v>
      </c>
      <c r="EI8" s="16" t="s">
        <v>24</v>
      </c>
      <c r="EJ8" s="16" t="s">
        <v>25</v>
      </c>
      <c r="EK8" s="16" t="s">
        <v>26</v>
      </c>
      <c r="EL8" s="16" t="s">
        <v>27</v>
      </c>
      <c r="EM8" s="16" t="s">
        <v>28</v>
      </c>
      <c r="EN8" s="16" t="s">
        <v>29</v>
      </c>
      <c r="EO8" s="16" t="s">
        <v>40</v>
      </c>
      <c r="EP8" s="16" t="s">
        <v>18</v>
      </c>
      <c r="EQ8" s="16" t="s">
        <v>19</v>
      </c>
      <c r="ER8" s="16" t="s">
        <v>20</v>
      </c>
      <c r="ES8" s="16" t="s">
        <v>21</v>
      </c>
      <c r="ET8" s="16" t="s">
        <v>22</v>
      </c>
      <c r="EU8" s="16" t="s">
        <v>23</v>
      </c>
      <c r="EV8" s="16" t="s">
        <v>24</v>
      </c>
      <c r="EW8" s="16" t="s">
        <v>25</v>
      </c>
      <c r="EX8" s="16" t="s">
        <v>26</v>
      </c>
      <c r="EY8" s="16" t="s">
        <v>27</v>
      </c>
      <c r="EZ8" s="16" t="s">
        <v>28</v>
      </c>
      <c r="FA8" s="16" t="s">
        <v>29</v>
      </c>
      <c r="FB8" s="16" t="s">
        <v>41</v>
      </c>
      <c r="FC8" s="16" t="s">
        <v>18</v>
      </c>
      <c r="FD8" s="16" t="s">
        <v>19</v>
      </c>
      <c r="FE8" s="16" t="s">
        <v>20</v>
      </c>
      <c r="FF8" s="16" t="s">
        <v>21</v>
      </c>
      <c r="FG8" s="16" t="s">
        <v>22</v>
      </c>
      <c r="FH8" s="16" t="s">
        <v>23</v>
      </c>
      <c r="FI8" s="16" t="s">
        <v>24</v>
      </c>
      <c r="FJ8" s="16" t="s">
        <v>25</v>
      </c>
      <c r="FK8" s="16" t="s">
        <v>26</v>
      </c>
      <c r="FL8" s="16" t="s">
        <v>27</v>
      </c>
      <c r="FM8" s="16" t="s">
        <v>28</v>
      </c>
      <c r="FN8" s="16" t="s">
        <v>29</v>
      </c>
      <c r="FO8" s="16" t="s">
        <v>42</v>
      </c>
    </row>
    <row r="9" spans="1:171" ht="27.75" customHeight="1">
      <c r="A9" s="10"/>
      <c r="B9" s="19" t="s">
        <v>43</v>
      </c>
      <c r="C9" s="20">
        <f>+MOP_Mes_Corriente!C10*MOP_Mes_Constante!$C$1</f>
        <v>1307469727.5883141</v>
      </c>
      <c r="D9" s="20">
        <f>+MOP_Mes_Corriente!D10*MOP_Mes_Constante!$C$1</f>
        <v>1307469727.5883141</v>
      </c>
      <c r="E9" s="20">
        <f>+MOP_Mes_Corriente!E10*MOP_Mes_Constante!$C$1</f>
        <v>1307469727.5883141</v>
      </c>
      <c r="F9" s="20">
        <f>+MOP_Mes_Corriente!F10*MOP_Mes_Constante!$C$1</f>
        <v>1307469727.5883141</v>
      </c>
      <c r="G9" s="20">
        <f>+MOP_Mes_Corriente!G10*MOP_Mes_Constante!$C$1</f>
        <v>1307469727.5883141</v>
      </c>
      <c r="H9" s="20">
        <f>+MOP_Mes_Corriente!H10*MOP_Mes_Constante!$C$1</f>
        <v>1307469727.5883141</v>
      </c>
      <c r="I9" s="20">
        <f>+MOP_Mes_Corriente!I10*MOP_Mes_Constante!$C$1</f>
        <v>1307469727.5883141</v>
      </c>
      <c r="J9" s="20">
        <f>+MOP_Mes_Corriente!J10*MOP_Mes_Constante!$C$1</f>
        <v>1307469727.5883141</v>
      </c>
      <c r="K9" s="20">
        <f>+MOP_Mes_Corriente!K10*MOP_Mes_Constante!$C$1</f>
        <v>1307469727.5883141</v>
      </c>
      <c r="L9" s="20">
        <f>+MOP_Mes_Corriente!L10*MOP_Mes_Constante!$C$1</f>
        <v>1307469727.5883141</v>
      </c>
      <c r="M9" s="20">
        <f>+MOP_Mes_Corriente!M10*MOP_Mes_Constante!$C$1</f>
        <v>1307469727.5883141</v>
      </c>
      <c r="N9" s="20">
        <f>+MOP_Mes_Corriente!N10*MOP_Mes_Constante!$C$1</f>
        <v>1307469727.5883141</v>
      </c>
      <c r="O9" s="20">
        <f t="shared" ref="O9:O14" si="0">N9</f>
        <v>1307469727.5883141</v>
      </c>
      <c r="P9" s="20">
        <f>+MOP_Mes_Corriente!P10*MOP_Mes_Constante!$P$1</f>
        <v>1486096895.7886057</v>
      </c>
      <c r="Q9" s="20">
        <f>+MOP_Mes_Corriente!Q10*MOP_Mes_Constante!$P$1</f>
        <v>1486096895.7886057</v>
      </c>
      <c r="R9" s="20">
        <f>+MOP_Mes_Corriente!R10*MOP_Mes_Constante!$P$1</f>
        <v>1486096895.7886057</v>
      </c>
      <c r="S9" s="20">
        <f>+MOP_Mes_Corriente!S10*MOP_Mes_Constante!$P$1</f>
        <v>1486096895.7886057</v>
      </c>
      <c r="T9" s="20">
        <f>+MOP_Mes_Corriente!T10*MOP_Mes_Constante!$P$1</f>
        <v>1486096895.7886057</v>
      </c>
      <c r="U9" s="20">
        <f>+MOP_Mes_Corriente!U10*MOP_Mes_Constante!$P$1</f>
        <v>1486096895.7886057</v>
      </c>
      <c r="V9" s="20">
        <f>+MOP_Mes_Corriente!V10*MOP_Mes_Constante!$P$1</f>
        <v>1486096895.7886057</v>
      </c>
      <c r="W9" s="20">
        <f>+MOP_Mes_Corriente!W10*MOP_Mes_Constante!$P$1</f>
        <v>1486096895.7886057</v>
      </c>
      <c r="X9" s="20">
        <f>+MOP_Mes_Corriente!X10*MOP_Mes_Constante!$P$1</f>
        <v>1486096895.7886057</v>
      </c>
      <c r="Y9" s="20">
        <f>+MOP_Mes_Corriente!Y10*MOP_Mes_Constante!$P$1</f>
        <v>1486096895.7886057</v>
      </c>
      <c r="Z9" s="20">
        <f>+MOP_Mes_Corriente!Z10*MOP_Mes_Constante!$P$1</f>
        <v>1486096895.7886057</v>
      </c>
      <c r="AA9" s="20">
        <f>+MOP_Mes_Corriente!AA10*MOP_Mes_Constante!$P$1</f>
        <v>1486096895.7886057</v>
      </c>
      <c r="AB9" s="20">
        <f t="shared" ref="AB9:AB14" si="1">AA9</f>
        <v>1486096895.7886057</v>
      </c>
      <c r="AC9" s="20">
        <f>+MOP_Mes_Corriente!AC10*MOP_Mes_Constante!$AC$1</f>
        <v>1416430325.8149121</v>
      </c>
      <c r="AD9" s="20">
        <f>+MOP_Mes_Corriente!AD10*MOP_Mes_Constante!$AC$1</f>
        <v>1416430325.8149121</v>
      </c>
      <c r="AE9" s="20">
        <f>+MOP_Mes_Corriente!AE10*MOP_Mes_Constante!$AC$1</f>
        <v>1416430325.8149121</v>
      </c>
      <c r="AF9" s="20">
        <f>+MOP_Mes_Corriente!AF10*MOP_Mes_Constante!$AC$1</f>
        <v>1416430325.8149121</v>
      </c>
      <c r="AG9" s="20">
        <f>+MOP_Mes_Corriente!AG10*MOP_Mes_Constante!$AC$1</f>
        <v>1416430325.8149121</v>
      </c>
      <c r="AH9" s="20">
        <f>+MOP_Mes_Corriente!AH10*MOP_Mes_Constante!$AC$1</f>
        <v>1416430325.8149121</v>
      </c>
      <c r="AI9" s="20">
        <f>+MOP_Mes_Corriente!AI10*MOP_Mes_Constante!$AC$1</f>
        <v>1416430325.8149121</v>
      </c>
      <c r="AJ9" s="20">
        <f>+MOP_Mes_Corriente!AJ10*MOP_Mes_Constante!$AC$1</f>
        <v>1416430325.8149121</v>
      </c>
      <c r="AK9" s="20">
        <f>+MOP_Mes_Corriente!AK10*MOP_Mes_Constante!$AC$1</f>
        <v>1416430325.8149121</v>
      </c>
      <c r="AL9" s="20">
        <f>+MOP_Mes_Corriente!AL10*MOP_Mes_Constante!$AC$1</f>
        <v>1416430325.8149121</v>
      </c>
      <c r="AM9" s="20">
        <f>+MOP_Mes_Corriente!AM10*MOP_Mes_Constante!$AC$1</f>
        <v>1416430325.8149121</v>
      </c>
      <c r="AN9" s="20">
        <f>+MOP_Mes_Corriente!AN10*MOP_Mes_Constante!$AC$1</f>
        <v>1416430325.8149121</v>
      </c>
      <c r="AO9" s="20">
        <f t="shared" ref="AO9:AO14" si="2">AN9</f>
        <v>1416430325.8149121</v>
      </c>
      <c r="AP9" s="20">
        <f>+MOP_Mes_Corriente!AP10*MOP_Mes_Constante!$AP$1</f>
        <v>1452078288.6305964</v>
      </c>
      <c r="AQ9" s="20">
        <f>+MOP_Mes_Corriente!AQ10*MOP_Mes_Constante!$AP$1</f>
        <v>1452078288.6305964</v>
      </c>
      <c r="AR9" s="20">
        <f>+MOP_Mes_Corriente!AR10*MOP_Mes_Constante!$AP$1</f>
        <v>1452078288.6305964</v>
      </c>
      <c r="AS9" s="20">
        <f>+MOP_Mes_Corriente!AS10*MOP_Mes_Constante!$AP$1</f>
        <v>1452078288.6305964</v>
      </c>
      <c r="AT9" s="20">
        <f>+MOP_Mes_Corriente!AT10*MOP_Mes_Constante!$AP$1</f>
        <v>1452078288.6305964</v>
      </c>
      <c r="AU9" s="20">
        <f>+MOP_Mes_Corriente!AU10*MOP_Mes_Constante!$AP$1</f>
        <v>1452078288.6305964</v>
      </c>
      <c r="AV9" s="20">
        <f>+MOP_Mes_Corriente!AV10*MOP_Mes_Constante!$AP$1</f>
        <v>1452078288.6305964</v>
      </c>
      <c r="AW9" s="20">
        <f>+MOP_Mes_Corriente!AW10*MOP_Mes_Constante!$AP$1</f>
        <v>1452078288.6305964</v>
      </c>
      <c r="AX9" s="20">
        <f>+MOP_Mes_Corriente!AX10*MOP_Mes_Constante!$AP$1</f>
        <v>1452078288.6305964</v>
      </c>
      <c r="AY9" s="20">
        <f>+MOP_Mes_Corriente!AY10*MOP_Mes_Constante!$AP$1</f>
        <v>1452078288.6305964</v>
      </c>
      <c r="AZ9" s="20">
        <f>+MOP_Mes_Corriente!AZ10*MOP_Mes_Constante!$AP$1</f>
        <v>1452078288.6305964</v>
      </c>
      <c r="BA9" s="20">
        <f>+MOP_Mes_Corriente!BA10*MOP_Mes_Constante!$AP$1</f>
        <v>1452078288.6305964</v>
      </c>
      <c r="BB9" s="20">
        <f t="shared" ref="BB9:BB14" si="3">BA9</f>
        <v>1452078288.6305964</v>
      </c>
      <c r="BC9" s="20">
        <f>+MOP_Mes_Corriente!BC10*MOP_Mes_Constante!$BC$1</f>
        <v>1438617274.8962157</v>
      </c>
      <c r="BD9" s="20">
        <f>+MOP_Mes_Corriente!BD10*MOP_Mes_Constante!$BC$1</f>
        <v>1438617274.8962157</v>
      </c>
      <c r="BE9" s="20">
        <f>+MOP_Mes_Corriente!BE10*MOP_Mes_Constante!$BC$1</f>
        <v>1438617274.8962157</v>
      </c>
      <c r="BF9" s="20">
        <f>+MOP_Mes_Corriente!BF10*MOP_Mes_Constante!$BC$1</f>
        <v>1438617274.8962157</v>
      </c>
      <c r="BG9" s="20">
        <f>+MOP_Mes_Corriente!BG10*MOP_Mes_Constante!$BC$1</f>
        <v>1438617274.8962157</v>
      </c>
      <c r="BH9" s="20">
        <f>+MOP_Mes_Corriente!BH10*MOP_Mes_Constante!$BC$1</f>
        <v>1438617274.8962157</v>
      </c>
      <c r="BI9" s="20">
        <f>+MOP_Mes_Corriente!BI10*MOP_Mes_Constante!$BC$1</f>
        <v>1438617274.8962157</v>
      </c>
      <c r="BJ9" s="20">
        <f>+MOP_Mes_Corriente!BJ10*MOP_Mes_Constante!$BC$1</f>
        <v>1438617274.8962157</v>
      </c>
      <c r="BK9" s="20">
        <f>+MOP_Mes_Corriente!BK10*MOP_Mes_Constante!$BC$1</f>
        <v>1438617274.8962157</v>
      </c>
      <c r="BL9" s="20">
        <f>+MOP_Mes_Corriente!BL10*MOP_Mes_Constante!$BC$1</f>
        <v>1438617274.8962157</v>
      </c>
      <c r="BM9" s="20">
        <f>+MOP_Mes_Corriente!BM10*MOP_Mes_Constante!$BC$1</f>
        <v>1438617274.8962157</v>
      </c>
      <c r="BN9" s="20">
        <f>+MOP_Mes_Corriente!BN10*MOP_Mes_Constante!$BC$1</f>
        <v>1438617274.8962157</v>
      </c>
      <c r="BO9" s="20">
        <f t="shared" ref="BO9:BO14" si="4">BN9</f>
        <v>1438617274.8962157</v>
      </c>
      <c r="BP9" s="20">
        <f>+MOP_Mes_Corriente!BP10*MOP_Mes_Constante!$BP$1</f>
        <v>1477876429.8046095</v>
      </c>
      <c r="BQ9" s="20">
        <f>+MOP_Mes_Corriente!BQ10*MOP_Mes_Constante!$BP$1</f>
        <v>1477876429.8046095</v>
      </c>
      <c r="BR9" s="20">
        <f>+MOP_Mes_Corriente!BR10*MOP_Mes_Constante!$BP$1</f>
        <v>1477876429.8046095</v>
      </c>
      <c r="BS9" s="20">
        <f>+MOP_Mes_Corriente!BS10*MOP_Mes_Constante!$BP$1</f>
        <v>1477876429.8046095</v>
      </c>
      <c r="BT9" s="20">
        <f>+MOP_Mes_Corriente!BT10*MOP_Mes_Constante!$BP$1</f>
        <v>1477876429.8046095</v>
      </c>
      <c r="BU9" s="20">
        <f>+MOP_Mes_Corriente!BU10*MOP_Mes_Constante!$BP$1</f>
        <v>1477876429.8046095</v>
      </c>
      <c r="BV9" s="20">
        <f>+MOP_Mes_Corriente!BV10*MOP_Mes_Constante!$BP$1</f>
        <v>1477876429.8046095</v>
      </c>
      <c r="BW9" s="20">
        <f>+MOP_Mes_Corriente!BW10*MOP_Mes_Constante!$BP$1</f>
        <v>1477876429.8046095</v>
      </c>
      <c r="BX9" s="20">
        <f>+MOP_Mes_Corriente!BX10*MOP_Mes_Constante!$BP$1</f>
        <v>1477876429.8046095</v>
      </c>
      <c r="BY9" s="20">
        <f>+MOP_Mes_Corriente!BY10*MOP_Mes_Constante!$BP$1</f>
        <v>1477876429.8046095</v>
      </c>
      <c r="BZ9" s="20">
        <f>+MOP_Mes_Corriente!BZ10*MOP_Mes_Constante!$BP$1</f>
        <v>1477876429.8046095</v>
      </c>
      <c r="CA9" s="20">
        <f>+MOP_Mes_Corriente!CA10*MOP_Mes_Constante!$BP$1</f>
        <v>1477876429.8046095</v>
      </c>
      <c r="CB9" s="20">
        <f t="shared" ref="CB9:CB14" si="5">CA9</f>
        <v>1477876429.8046095</v>
      </c>
      <c r="CC9" s="20">
        <f>+MOP_Mes_Corriente!CC10*MOP_Mes_Constante!$CC$1</f>
        <v>1559986158.7609103</v>
      </c>
      <c r="CD9" s="20">
        <f>+MOP_Mes_Corriente!CD10*MOP_Mes_Constante!$CC$1</f>
        <v>1559986158.7609103</v>
      </c>
      <c r="CE9" s="20">
        <f>+MOP_Mes_Corriente!CE10*MOP_Mes_Constante!$CC$1</f>
        <v>1559986158.7609103</v>
      </c>
      <c r="CF9" s="20">
        <f>+MOP_Mes_Corriente!CF10*MOP_Mes_Constante!$CC$1</f>
        <v>1559986158.7609103</v>
      </c>
      <c r="CG9" s="20">
        <f>+MOP_Mes_Corriente!CG10*MOP_Mes_Constante!$CC$1</f>
        <v>1559986158.7609103</v>
      </c>
      <c r="CH9" s="20">
        <f>+MOP_Mes_Corriente!CH10*MOP_Mes_Constante!$CC$1</f>
        <v>1559986158.7609103</v>
      </c>
      <c r="CI9" s="20">
        <f>+MOP_Mes_Corriente!CI10*MOP_Mes_Constante!$CC$1</f>
        <v>1559986158.7609103</v>
      </c>
      <c r="CJ9" s="20">
        <f>+MOP_Mes_Corriente!CJ10*MOP_Mes_Constante!$CC$1</f>
        <v>1559986158.7609103</v>
      </c>
      <c r="CK9" s="20">
        <f>+MOP_Mes_Corriente!CK10*MOP_Mes_Constante!$CC$1</f>
        <v>1559986158.7609103</v>
      </c>
      <c r="CL9" s="20">
        <f>+MOP_Mes_Corriente!CL10*MOP_Mes_Constante!$CC$1</f>
        <v>1559986158.7609103</v>
      </c>
      <c r="CM9" s="20">
        <f>+MOP_Mes_Corriente!CM10*MOP_Mes_Constante!$CC$1</f>
        <v>1559986158.7609103</v>
      </c>
      <c r="CN9" s="20">
        <f>+MOP_Mes_Corriente!CN10*MOP_Mes_Constante!$CC$1</f>
        <v>1559986158.7609103</v>
      </c>
      <c r="CO9" s="20">
        <f t="shared" ref="CO9:CO14" si="6">CN9</f>
        <v>1559986158.7609103</v>
      </c>
      <c r="CP9" s="20">
        <f>+MOP_Mes_Corriente!CP10*MOP_Mes_Constante!$CP$1</f>
        <v>2034653585.3728535</v>
      </c>
      <c r="CQ9" s="20">
        <f>+MOP_Mes_Corriente!CQ10*MOP_Mes_Constante!$CP$1</f>
        <v>2034653585.3728535</v>
      </c>
      <c r="CR9" s="20">
        <f>+MOP_Mes_Corriente!CR10*MOP_Mes_Constante!$CP$1</f>
        <v>2034653585.3728535</v>
      </c>
      <c r="CS9" s="20">
        <f>+MOP_Mes_Corriente!CS10*MOP_Mes_Constante!$CP$1</f>
        <v>2034653585.3728535</v>
      </c>
      <c r="CT9" s="20">
        <f>+MOP_Mes_Corriente!CT10*MOP_Mes_Constante!$CP$1</f>
        <v>2034653585.3728535</v>
      </c>
      <c r="CU9" s="20">
        <f>+MOP_Mes_Corriente!CU10*MOP_Mes_Constante!$CP$1</f>
        <v>2034653585.3728535</v>
      </c>
      <c r="CV9" s="20">
        <f>+MOP_Mes_Corriente!CV10*MOP_Mes_Constante!$CP$1</f>
        <v>2034653585.3728535</v>
      </c>
      <c r="CW9" s="20">
        <f>+MOP_Mes_Corriente!CW10*MOP_Mes_Constante!$CP$1</f>
        <v>2034653585.3728535</v>
      </c>
      <c r="CX9" s="20">
        <f>+MOP_Mes_Corriente!CX10*MOP_Mes_Constante!$CP$1</f>
        <v>2034653585.3728535</v>
      </c>
      <c r="CY9" s="20">
        <f>+MOP_Mes_Corriente!CY10*MOP_Mes_Constante!$CP$1</f>
        <v>2034653585.3728535</v>
      </c>
      <c r="CZ9" s="20">
        <f>+MOP_Mes_Corriente!CZ10*MOP_Mes_Constante!$CP$1</f>
        <v>2034653585.3728535</v>
      </c>
      <c r="DA9" s="20">
        <f>+MOP_Mes_Corriente!DA10*MOP_Mes_Constante!$CP$1</f>
        <v>2034653585.3728535</v>
      </c>
      <c r="DB9" s="20">
        <f t="shared" ref="DB9:DB14" si="7">DA9</f>
        <v>2034653585.3728535</v>
      </c>
      <c r="DC9" s="20">
        <f>+MOP_Mes_Corriente!DC10*MOP_Mes_Constante!$DC$1</f>
        <v>2025895493.0507159</v>
      </c>
      <c r="DD9" s="20">
        <f>+MOP_Mes_Corriente!DD10*MOP_Mes_Constante!$DC$1</f>
        <v>2025895493.0507159</v>
      </c>
      <c r="DE9" s="20">
        <f>+MOP_Mes_Corriente!DE10*MOP_Mes_Constante!$DC$1</f>
        <v>2025895493.0507159</v>
      </c>
      <c r="DF9" s="20">
        <f>+MOP_Mes_Corriente!DF10*MOP_Mes_Constante!$DC$1</f>
        <v>2025895493.0507159</v>
      </c>
      <c r="DG9" s="20">
        <f>+MOP_Mes_Corriente!DG10*MOP_Mes_Constante!$DC$1</f>
        <v>2025895493.0507159</v>
      </c>
      <c r="DH9" s="20">
        <f>+MOP_Mes_Corriente!DH10*MOP_Mes_Constante!$DC$1</f>
        <v>2025895493.0507159</v>
      </c>
      <c r="DI9" s="20">
        <f>+MOP_Mes_Corriente!DI10*MOP_Mes_Constante!$DC$1</f>
        <v>2025895493.0507159</v>
      </c>
      <c r="DJ9" s="20">
        <f>+MOP_Mes_Corriente!DJ10*MOP_Mes_Constante!$DC$1</f>
        <v>2025895493.0507159</v>
      </c>
      <c r="DK9" s="20">
        <f>+MOP_Mes_Corriente!DK10*MOP_Mes_Constante!$DC$1</f>
        <v>2025895493.0507159</v>
      </c>
      <c r="DL9" s="20">
        <f>+MOP_Mes_Corriente!DL10*MOP_Mes_Constante!$DC$1</f>
        <v>2025895493.0507159</v>
      </c>
      <c r="DM9" s="20">
        <f>+MOP_Mes_Corriente!DM10*MOP_Mes_Constante!$DC$1</f>
        <v>2025895493.0507159</v>
      </c>
      <c r="DN9" s="20">
        <f>+MOP_Mes_Corriente!DN10*MOP_Mes_Constante!$DC$1</f>
        <v>2025895493.0507159</v>
      </c>
      <c r="DO9" s="20">
        <f t="shared" ref="DO9:DO14" si="8">DN9</f>
        <v>2025895493.0507159</v>
      </c>
      <c r="DP9" s="20">
        <f>+MOP_Mes_Corriente!DP10*MOP_Mes_Constante!$DP$1</f>
        <v>2069554753.2523756</v>
      </c>
      <c r="DQ9" s="20">
        <f>+MOP_Mes_Corriente!DQ10*MOP_Mes_Constante!$DP$1</f>
        <v>2069554753.2523756</v>
      </c>
      <c r="DR9" s="20">
        <f>+MOP_Mes_Corriente!DR10*MOP_Mes_Constante!$DP$1</f>
        <v>2069554753.2523756</v>
      </c>
      <c r="DS9" s="20">
        <f>+MOP_Mes_Corriente!DS10*MOP_Mes_Constante!$DP$1</f>
        <v>2069554753.2523756</v>
      </c>
      <c r="DT9" s="20">
        <f>+MOP_Mes_Corriente!DT10*MOP_Mes_Constante!$DP$1</f>
        <v>2069554753.2523756</v>
      </c>
      <c r="DU9" s="20">
        <f>+MOP_Mes_Corriente!DU10*MOP_Mes_Constante!$DP$1</f>
        <v>2069554753.2523756</v>
      </c>
      <c r="DV9" s="20">
        <f>+MOP_Mes_Corriente!DV10*MOP_Mes_Constante!$DP$1</f>
        <v>2069554753.2523756</v>
      </c>
      <c r="DW9" s="20">
        <f>+MOP_Mes_Corriente!DW10*MOP_Mes_Constante!$DP$1</f>
        <v>2069554753.2523756</v>
      </c>
      <c r="DX9" s="20">
        <f>+MOP_Mes_Corriente!DX10*MOP_Mes_Constante!$DP$1</f>
        <v>2069554753.2523756</v>
      </c>
      <c r="DY9" s="20">
        <f>+MOP_Mes_Corriente!DY10*MOP_Mes_Constante!$DP$1</f>
        <v>2069554753.2523756</v>
      </c>
      <c r="DZ9" s="20">
        <f>+MOP_Mes_Corriente!DZ10*MOP_Mes_Constante!$DP$1</f>
        <v>2069554753.2523756</v>
      </c>
      <c r="EA9" s="20">
        <f>+MOP_Mes_Corriente!EA10*MOP_Mes_Constante!$DP$1</f>
        <v>2069554753.2523756</v>
      </c>
      <c r="EB9" s="20">
        <f t="shared" ref="EB9:EB14" si="9">EA9</f>
        <v>2069554753.2523756</v>
      </c>
      <c r="EC9" s="20">
        <f>+MOP_Mes_Corriente!EC10*MOP_Mes_Constante!$EC$1</f>
        <v>2082048173.989774</v>
      </c>
      <c r="ED9" s="20">
        <f>+MOP_Mes_Corriente!ED10*MOP_Mes_Constante!$EC$1</f>
        <v>2082048173.989774</v>
      </c>
      <c r="EE9" s="20">
        <f>+MOP_Mes_Corriente!EE10*MOP_Mes_Constante!$EC$1</f>
        <v>2082048173.989774</v>
      </c>
      <c r="EF9" s="20">
        <f>+MOP_Mes_Corriente!EF10*MOP_Mes_Constante!$EC$1</f>
        <v>2082048173.989774</v>
      </c>
      <c r="EG9" s="20">
        <f>+MOP_Mes_Corriente!EG10*MOP_Mes_Constante!$EC$1</f>
        <v>2082048173.989774</v>
      </c>
      <c r="EH9" s="20">
        <f>+MOP_Mes_Corriente!EH10*MOP_Mes_Constante!$EC$1</f>
        <v>2082048173.989774</v>
      </c>
      <c r="EI9" s="20">
        <f>+MOP_Mes_Corriente!EI10*MOP_Mes_Constante!$EC$1</f>
        <v>2082048173.989774</v>
      </c>
      <c r="EJ9" s="20">
        <f>+MOP_Mes_Corriente!EJ10*MOP_Mes_Constante!$EC$1</f>
        <v>2082048173.989774</v>
      </c>
      <c r="EK9" s="20">
        <f>+MOP_Mes_Corriente!EK10*MOP_Mes_Constante!$EC$1</f>
        <v>2082048173.989774</v>
      </c>
      <c r="EL9" s="20">
        <f>+MOP_Mes_Corriente!EL10*MOP_Mes_Constante!$EC$1</f>
        <v>2082048173.989774</v>
      </c>
      <c r="EM9" s="20">
        <f>+MOP_Mes_Corriente!EM10*MOP_Mes_Constante!$EC$1</f>
        <v>2082048173.989774</v>
      </c>
      <c r="EN9" s="20">
        <f>+MOP_Mes_Corriente!EN10*MOP_Mes_Constante!$EC$1</f>
        <v>2082048173.989774</v>
      </c>
      <c r="EO9" s="20">
        <f t="shared" ref="EO9:EO14" si="10">EN9</f>
        <v>2082048173.989774</v>
      </c>
      <c r="EP9" s="20">
        <f>+MOP_Mes_Corriente!EP10*MOP_Mes_Constante!$EP$1</f>
        <v>2083103023</v>
      </c>
      <c r="EQ9" s="20">
        <f>+MOP_Mes_Corriente!EQ10*MOP_Mes_Constante!$EP$1</f>
        <v>2083103023</v>
      </c>
      <c r="ER9" s="20">
        <f>+MOP_Mes_Corriente!ER10*MOP_Mes_Constante!$EP$1</f>
        <v>2083103023</v>
      </c>
      <c r="ES9" s="20">
        <f>+MOP_Mes_Corriente!ES10*MOP_Mes_Constante!$EP$1</f>
        <v>2083103023</v>
      </c>
      <c r="ET9" s="20">
        <f>+MOP_Mes_Corriente!ET10*MOP_Mes_Constante!$EP$1</f>
        <v>2083103023</v>
      </c>
      <c r="EU9" s="20">
        <f>+MOP_Mes_Corriente!EU10*MOP_Mes_Constante!$EP$1</f>
        <v>2083103023</v>
      </c>
      <c r="EV9" s="20">
        <f>+MOP_Mes_Corriente!EV10*MOP_Mes_Constante!$EP$1</f>
        <v>2083103023</v>
      </c>
      <c r="EW9" s="20">
        <f>+MOP_Mes_Corriente!EW10*MOP_Mes_Constante!$EP$1</f>
        <v>2083103023</v>
      </c>
      <c r="EX9" s="20">
        <f>+MOP_Mes_Corriente!EX10*MOP_Mes_Constante!$EP$1</f>
        <v>2083103023</v>
      </c>
      <c r="EY9" s="20">
        <f>+MOP_Mes_Corriente!EY10*MOP_Mes_Constante!$EP$1</f>
        <v>2083103023</v>
      </c>
      <c r="EZ9" s="20">
        <f>+MOP_Mes_Corriente!EZ10*MOP_Mes_Constante!$EP$1</f>
        <v>2083103023</v>
      </c>
      <c r="FA9" s="20">
        <f>+MOP_Mes_Corriente!FA10*MOP_Mes_Constante!$EP$1</f>
        <v>2083103023</v>
      </c>
      <c r="FB9" s="20">
        <f t="shared" ref="FB9:FB14" si="11">FA9</f>
        <v>2083103023</v>
      </c>
      <c r="FC9" s="20">
        <f>+MOP_Mes_Corriente!FC10*MOP_Mes_Constante!$FC$1</f>
        <v>1951485600</v>
      </c>
      <c r="FD9" s="20">
        <f>+MOP_Mes_Corriente!FD10*MOP_Mes_Constante!$FC$1</f>
        <v>1951485600</v>
      </c>
      <c r="FE9" s="20">
        <f>+MOP_Mes_Corriente!FE10*MOP_Mes_Constante!$FC$1</f>
        <v>1951485600</v>
      </c>
      <c r="FF9" s="20">
        <f>+MOP_Mes_Corriente!FF10*MOP_Mes_Constante!$FC$1</f>
        <v>1951485600</v>
      </c>
      <c r="FG9" s="20">
        <f>+MOP_Mes_Corriente!FG10*MOP_Mes_Constante!$FC$1</f>
        <v>1951485600</v>
      </c>
      <c r="FH9" s="20">
        <f>+MOP_Mes_Corriente!FH10*MOP_Mes_Constante!$FC$1</f>
        <v>1951485600</v>
      </c>
      <c r="FI9" s="20">
        <f>+MOP_Mes_Corriente!FI10*MOP_Mes_Constante!$FC$1</f>
        <v>1951485600</v>
      </c>
      <c r="FJ9" s="10"/>
      <c r="FK9" s="10"/>
      <c r="FL9" s="10"/>
      <c r="FM9" s="10"/>
      <c r="FN9" s="10"/>
      <c r="FO9" s="20">
        <f t="shared" ref="FO9:FO14" si="12">FI9</f>
        <v>1951485600</v>
      </c>
    </row>
    <row r="10" spans="1:171" ht="27.75" customHeight="1">
      <c r="A10" s="10"/>
      <c r="B10" s="19" t="s">
        <v>44</v>
      </c>
      <c r="C10" s="20">
        <f>+MOP_Mes_Corriente!C11*MOP_Mes_Constante!$C$1</f>
        <v>164038595.54441646</v>
      </c>
      <c r="D10" s="20">
        <f>+MOP_Mes_Corriente!D11*MOP_Mes_Constante!$C$1</f>
        <v>164038595.54441646</v>
      </c>
      <c r="E10" s="20">
        <f>+MOP_Mes_Corriente!E11*MOP_Mes_Constante!$C$1</f>
        <v>164038595.54441646</v>
      </c>
      <c r="F10" s="20">
        <f>+MOP_Mes_Corriente!F11*MOP_Mes_Constante!$C$1</f>
        <v>164038595.54441646</v>
      </c>
      <c r="G10" s="20">
        <f>+MOP_Mes_Corriente!G11*MOP_Mes_Constante!$C$1</f>
        <v>164038595.54441646</v>
      </c>
      <c r="H10" s="20">
        <f>+MOP_Mes_Corriente!H11*MOP_Mes_Constante!$C$1</f>
        <v>164038595.54441646</v>
      </c>
      <c r="I10" s="20">
        <f>+MOP_Mes_Corriente!I11*MOP_Mes_Constante!$C$1</f>
        <v>164038595.54441646</v>
      </c>
      <c r="J10" s="20">
        <f>+MOP_Mes_Corriente!J11*MOP_Mes_Constante!$C$1</f>
        <v>164038595.54441646</v>
      </c>
      <c r="K10" s="20">
        <f>+MOP_Mes_Corriente!K11*MOP_Mes_Constante!$C$1</f>
        <v>164038595.54441646</v>
      </c>
      <c r="L10" s="20">
        <f>+MOP_Mes_Corriente!L11*MOP_Mes_Constante!$C$1</f>
        <v>164038595.54441646</v>
      </c>
      <c r="M10" s="20">
        <f>+MOP_Mes_Corriente!M11*MOP_Mes_Constante!$C$1</f>
        <v>164038595.54441646</v>
      </c>
      <c r="N10" s="20">
        <f>+MOP_Mes_Corriente!N11*MOP_Mes_Constante!$C$1</f>
        <v>164038595.54441646</v>
      </c>
      <c r="O10" s="20">
        <f t="shared" si="0"/>
        <v>164038595.54441646</v>
      </c>
      <c r="P10" s="20">
        <f>+MOP_Mes_Corriente!P11*MOP_Mes_Constante!$P$1</f>
        <v>182226508.66515124</v>
      </c>
      <c r="Q10" s="20">
        <f>+MOP_Mes_Corriente!Q11*MOP_Mes_Constante!$P$1</f>
        <v>182226508.66515124</v>
      </c>
      <c r="R10" s="20">
        <f>+MOP_Mes_Corriente!R11*MOP_Mes_Constante!$P$1</f>
        <v>182226508.66515124</v>
      </c>
      <c r="S10" s="20">
        <f>+MOP_Mes_Corriente!S11*MOP_Mes_Constante!$P$1</f>
        <v>182226508.66515124</v>
      </c>
      <c r="T10" s="20">
        <f>+MOP_Mes_Corriente!T11*MOP_Mes_Constante!$P$1</f>
        <v>182226508.66515124</v>
      </c>
      <c r="U10" s="20">
        <f>+MOP_Mes_Corriente!U11*MOP_Mes_Constante!$P$1</f>
        <v>182226508.66515124</v>
      </c>
      <c r="V10" s="20">
        <f>+MOP_Mes_Corriente!V11*MOP_Mes_Constante!$P$1</f>
        <v>182226508.66515124</v>
      </c>
      <c r="W10" s="20">
        <f>+MOP_Mes_Corriente!W11*MOP_Mes_Constante!$P$1</f>
        <v>182226508.66515124</v>
      </c>
      <c r="X10" s="20">
        <f>+MOP_Mes_Corriente!X11*MOP_Mes_Constante!$P$1</f>
        <v>182226508.66515124</v>
      </c>
      <c r="Y10" s="20">
        <f>+MOP_Mes_Corriente!Y11*MOP_Mes_Constante!$P$1</f>
        <v>182226508.66515124</v>
      </c>
      <c r="Z10" s="20">
        <f>+MOP_Mes_Corriente!Z11*MOP_Mes_Constante!$P$1</f>
        <v>182226508.66515124</v>
      </c>
      <c r="AA10" s="20">
        <f>+MOP_Mes_Corriente!AA11*MOP_Mes_Constante!$P$1</f>
        <v>182226508.66515124</v>
      </c>
      <c r="AB10" s="20">
        <f t="shared" si="1"/>
        <v>182226508.66515124</v>
      </c>
      <c r="AC10" s="20">
        <f>+MOP_Mes_Corriente!AC11*MOP_Mes_Constante!$AC$1</f>
        <v>192392099.54682529</v>
      </c>
      <c r="AD10" s="20">
        <f>+MOP_Mes_Corriente!AD11*MOP_Mes_Constante!$AC$1</f>
        <v>192392099.54682529</v>
      </c>
      <c r="AE10" s="20">
        <f>+MOP_Mes_Corriente!AE11*MOP_Mes_Constante!$AC$1</f>
        <v>192392099.54682529</v>
      </c>
      <c r="AF10" s="20">
        <f>+MOP_Mes_Corriente!AF11*MOP_Mes_Constante!$AC$1</f>
        <v>192392099.54682529</v>
      </c>
      <c r="AG10" s="20">
        <f>+MOP_Mes_Corriente!AG11*MOP_Mes_Constante!$AC$1</f>
        <v>192392099.54682529</v>
      </c>
      <c r="AH10" s="20">
        <f>+MOP_Mes_Corriente!AH11*MOP_Mes_Constante!$AC$1</f>
        <v>192392099.54682529</v>
      </c>
      <c r="AI10" s="20">
        <f>+MOP_Mes_Corriente!AI11*MOP_Mes_Constante!$AC$1</f>
        <v>192392099.54682529</v>
      </c>
      <c r="AJ10" s="20">
        <f>+MOP_Mes_Corriente!AJ11*MOP_Mes_Constante!$AC$1</f>
        <v>192392099.54682529</v>
      </c>
      <c r="AK10" s="20">
        <f>+MOP_Mes_Corriente!AK11*MOP_Mes_Constante!$AC$1</f>
        <v>192392099.54682529</v>
      </c>
      <c r="AL10" s="20">
        <f>+MOP_Mes_Corriente!AL11*MOP_Mes_Constante!$AC$1</f>
        <v>192392099.54682529</v>
      </c>
      <c r="AM10" s="20">
        <f>+MOP_Mes_Corriente!AM11*MOP_Mes_Constante!$AC$1</f>
        <v>192392099.54682529</v>
      </c>
      <c r="AN10" s="20">
        <f>+MOP_Mes_Corriente!AN11*MOP_Mes_Constante!$AC$1</f>
        <v>192392099.54682529</v>
      </c>
      <c r="AO10" s="20">
        <f t="shared" si="2"/>
        <v>192392099.54682529</v>
      </c>
      <c r="AP10" s="20">
        <f>+MOP_Mes_Corriente!AP11*MOP_Mes_Constante!$AP$1</f>
        <v>179763533.10401729</v>
      </c>
      <c r="AQ10" s="20">
        <f>+MOP_Mes_Corriente!AQ11*MOP_Mes_Constante!$AP$1</f>
        <v>179763533.10401729</v>
      </c>
      <c r="AR10" s="20">
        <f>+MOP_Mes_Corriente!AR11*MOP_Mes_Constante!$AP$1</f>
        <v>179763533.10401729</v>
      </c>
      <c r="AS10" s="20">
        <f>+MOP_Mes_Corriente!AS11*MOP_Mes_Constante!$AP$1</f>
        <v>179763533.10401729</v>
      </c>
      <c r="AT10" s="20">
        <f>+MOP_Mes_Corriente!AT11*MOP_Mes_Constante!$AP$1</f>
        <v>179763533.10401729</v>
      </c>
      <c r="AU10" s="20">
        <f>+MOP_Mes_Corriente!AU11*MOP_Mes_Constante!$AP$1</f>
        <v>179763533.10401729</v>
      </c>
      <c r="AV10" s="20">
        <f>+MOP_Mes_Corriente!AV11*MOP_Mes_Constante!$AP$1</f>
        <v>179763533.10401729</v>
      </c>
      <c r="AW10" s="20">
        <f>+MOP_Mes_Corriente!AW11*MOP_Mes_Constante!$AP$1</f>
        <v>179763533.10401729</v>
      </c>
      <c r="AX10" s="20">
        <f>+MOP_Mes_Corriente!AX11*MOP_Mes_Constante!$AP$1</f>
        <v>179763533.10401729</v>
      </c>
      <c r="AY10" s="20">
        <f>+MOP_Mes_Corriente!AY11*MOP_Mes_Constante!$AP$1</f>
        <v>179763533.10401729</v>
      </c>
      <c r="AZ10" s="20">
        <f>+MOP_Mes_Corriente!AZ11*MOP_Mes_Constante!$AP$1</f>
        <v>179763533.10401729</v>
      </c>
      <c r="BA10" s="20">
        <f>+MOP_Mes_Corriente!BA11*MOP_Mes_Constante!$AP$1</f>
        <v>179763533.10401729</v>
      </c>
      <c r="BB10" s="20">
        <f t="shared" si="3"/>
        <v>179763533.10401729</v>
      </c>
      <c r="BC10" s="20">
        <f>+MOP_Mes_Corriente!BC11*MOP_Mes_Constante!$BC$1</f>
        <v>172593271.50257158</v>
      </c>
      <c r="BD10" s="20">
        <f>+MOP_Mes_Corriente!BD11*MOP_Mes_Constante!$BC$1</f>
        <v>172593271.50257158</v>
      </c>
      <c r="BE10" s="20">
        <f>+MOP_Mes_Corriente!BE11*MOP_Mes_Constante!$BC$1</f>
        <v>172593271.50257158</v>
      </c>
      <c r="BF10" s="20">
        <f>+MOP_Mes_Corriente!BF11*MOP_Mes_Constante!$BC$1</f>
        <v>172593271.50257158</v>
      </c>
      <c r="BG10" s="20">
        <f>+MOP_Mes_Corriente!BG11*MOP_Mes_Constante!$BC$1</f>
        <v>172593271.50257158</v>
      </c>
      <c r="BH10" s="20">
        <f>+MOP_Mes_Corriente!BH11*MOP_Mes_Constante!$BC$1</f>
        <v>172593271.50257158</v>
      </c>
      <c r="BI10" s="20">
        <f>+MOP_Mes_Corriente!BI11*MOP_Mes_Constante!$BC$1</f>
        <v>172593271.50257158</v>
      </c>
      <c r="BJ10" s="20">
        <f>+MOP_Mes_Corriente!BJ11*MOP_Mes_Constante!$BC$1</f>
        <v>172593271.50257158</v>
      </c>
      <c r="BK10" s="20">
        <f>+MOP_Mes_Corriente!BK11*MOP_Mes_Constante!$BC$1</f>
        <v>172593271.50257158</v>
      </c>
      <c r="BL10" s="20">
        <f>+MOP_Mes_Corriente!BL11*MOP_Mes_Constante!$BC$1</f>
        <v>172593271.50257158</v>
      </c>
      <c r="BM10" s="20">
        <f>+MOP_Mes_Corriente!BM11*MOP_Mes_Constante!$BC$1</f>
        <v>172593271.50257158</v>
      </c>
      <c r="BN10" s="20">
        <f>+MOP_Mes_Corriente!BN11*MOP_Mes_Constante!$BC$1</f>
        <v>172593271.50257158</v>
      </c>
      <c r="BO10" s="20">
        <f t="shared" si="4"/>
        <v>172593271.50257158</v>
      </c>
      <c r="BP10" s="20">
        <f>+MOP_Mes_Corriente!BP11*MOP_Mes_Constante!$BP$1</f>
        <v>180723317.47144687</v>
      </c>
      <c r="BQ10" s="20">
        <f>+MOP_Mes_Corriente!BQ11*MOP_Mes_Constante!$BP$1</f>
        <v>180723317.47144687</v>
      </c>
      <c r="BR10" s="20">
        <f>+MOP_Mes_Corriente!BR11*MOP_Mes_Constante!$BP$1</f>
        <v>180723317.47144687</v>
      </c>
      <c r="BS10" s="20">
        <f>+MOP_Mes_Corriente!BS11*MOP_Mes_Constante!$BP$1</f>
        <v>180723317.47144687</v>
      </c>
      <c r="BT10" s="20">
        <f>+MOP_Mes_Corriente!BT11*MOP_Mes_Constante!$BP$1</f>
        <v>180723317.47144687</v>
      </c>
      <c r="BU10" s="20">
        <f>+MOP_Mes_Corriente!BU11*MOP_Mes_Constante!$BP$1</f>
        <v>180723317.47144687</v>
      </c>
      <c r="BV10" s="20">
        <f>+MOP_Mes_Corriente!BV11*MOP_Mes_Constante!$BP$1</f>
        <v>180723317.47144687</v>
      </c>
      <c r="BW10" s="20">
        <f>+MOP_Mes_Corriente!BW11*MOP_Mes_Constante!$BP$1</f>
        <v>180723317.47144687</v>
      </c>
      <c r="BX10" s="20">
        <f>+MOP_Mes_Corriente!BX11*MOP_Mes_Constante!$BP$1</f>
        <v>180723317.47144687</v>
      </c>
      <c r="BY10" s="20">
        <f>+MOP_Mes_Corriente!BY11*MOP_Mes_Constante!$BP$1</f>
        <v>180723317.47144687</v>
      </c>
      <c r="BZ10" s="20">
        <f>+MOP_Mes_Corriente!BZ11*MOP_Mes_Constante!$BP$1</f>
        <v>180723317.47144687</v>
      </c>
      <c r="CA10" s="20">
        <f>+MOP_Mes_Corriente!CA11*MOP_Mes_Constante!$BP$1</f>
        <v>180723317.47144687</v>
      </c>
      <c r="CB10" s="20">
        <f t="shared" si="5"/>
        <v>180723317.47144687</v>
      </c>
      <c r="CC10" s="20">
        <f>+MOP_Mes_Corriente!CC11*MOP_Mes_Constante!$CC$1</f>
        <v>187019416.89668036</v>
      </c>
      <c r="CD10" s="20">
        <f>+MOP_Mes_Corriente!CD11*MOP_Mes_Constante!$CC$1</f>
        <v>187019416.89668036</v>
      </c>
      <c r="CE10" s="20">
        <f>+MOP_Mes_Corriente!CE11*MOP_Mes_Constante!$CC$1</f>
        <v>187019416.89668036</v>
      </c>
      <c r="CF10" s="20">
        <f>+MOP_Mes_Corriente!CF11*MOP_Mes_Constante!$CC$1</f>
        <v>187019416.89668036</v>
      </c>
      <c r="CG10" s="20">
        <f>+MOP_Mes_Corriente!CG11*MOP_Mes_Constante!$CC$1</f>
        <v>187019416.89668036</v>
      </c>
      <c r="CH10" s="20">
        <f>+MOP_Mes_Corriente!CH11*MOP_Mes_Constante!$CC$1</f>
        <v>187019416.89668036</v>
      </c>
      <c r="CI10" s="20">
        <f>+MOP_Mes_Corriente!CI11*MOP_Mes_Constante!$CC$1</f>
        <v>187019416.89668036</v>
      </c>
      <c r="CJ10" s="20">
        <f>+MOP_Mes_Corriente!CJ11*MOP_Mes_Constante!$CC$1</f>
        <v>187019416.89668036</v>
      </c>
      <c r="CK10" s="20">
        <f>+MOP_Mes_Corriente!CK11*MOP_Mes_Constante!$CC$1</f>
        <v>187019416.89668036</v>
      </c>
      <c r="CL10" s="20">
        <f>+MOP_Mes_Corriente!CL11*MOP_Mes_Constante!$CC$1</f>
        <v>187019416.89668036</v>
      </c>
      <c r="CM10" s="20">
        <f>+MOP_Mes_Corriente!CM11*MOP_Mes_Constante!$CC$1</f>
        <v>187019416.89668036</v>
      </c>
      <c r="CN10" s="20">
        <f>+MOP_Mes_Corriente!CN11*MOP_Mes_Constante!$CC$1</f>
        <v>187019416.89668036</v>
      </c>
      <c r="CO10" s="20">
        <f t="shared" si="6"/>
        <v>187019416.89668036</v>
      </c>
      <c r="CP10" s="20">
        <f>+MOP_Mes_Corriente!CP11*MOP_Mes_Constante!$CP$1</f>
        <v>306108675.73294657</v>
      </c>
      <c r="CQ10" s="20">
        <f>+MOP_Mes_Corriente!CQ11*MOP_Mes_Constante!$CP$1</f>
        <v>306108675.73294657</v>
      </c>
      <c r="CR10" s="20">
        <f>+MOP_Mes_Corriente!CR11*MOP_Mes_Constante!$CP$1</f>
        <v>306108675.73294657</v>
      </c>
      <c r="CS10" s="20">
        <f>+MOP_Mes_Corriente!CS11*MOP_Mes_Constante!$CP$1</f>
        <v>306108675.73294657</v>
      </c>
      <c r="CT10" s="20">
        <f>+MOP_Mes_Corriente!CT11*MOP_Mes_Constante!$CP$1</f>
        <v>306108675.73294657</v>
      </c>
      <c r="CU10" s="20">
        <f>+MOP_Mes_Corriente!CU11*MOP_Mes_Constante!$CP$1</f>
        <v>306108675.73294657</v>
      </c>
      <c r="CV10" s="20">
        <f>+MOP_Mes_Corriente!CV11*MOP_Mes_Constante!$CP$1</f>
        <v>306108675.73294657</v>
      </c>
      <c r="CW10" s="20">
        <f>+MOP_Mes_Corriente!CW11*MOP_Mes_Constante!$CP$1</f>
        <v>306108675.73294657</v>
      </c>
      <c r="CX10" s="20">
        <f>+MOP_Mes_Corriente!CX11*MOP_Mes_Constante!$CP$1</f>
        <v>306108675.73294657</v>
      </c>
      <c r="CY10" s="20">
        <f>+MOP_Mes_Corriente!CY11*MOP_Mes_Constante!$CP$1</f>
        <v>306108675.73294657</v>
      </c>
      <c r="CZ10" s="20">
        <f>+MOP_Mes_Corriente!CZ11*MOP_Mes_Constante!$CP$1</f>
        <v>306108675.73294657</v>
      </c>
      <c r="DA10" s="20">
        <f>+MOP_Mes_Corriente!DA11*MOP_Mes_Constante!$CP$1</f>
        <v>306108675.73294657</v>
      </c>
      <c r="DB10" s="20">
        <f t="shared" si="7"/>
        <v>306108675.73294657</v>
      </c>
      <c r="DC10" s="20">
        <f>+MOP_Mes_Corriente!DC11*MOP_Mes_Constante!$DC$1</f>
        <v>312275448.51661366</v>
      </c>
      <c r="DD10" s="20">
        <f>+MOP_Mes_Corriente!DD11*MOP_Mes_Constante!$DC$1</f>
        <v>312275448.51661366</v>
      </c>
      <c r="DE10" s="20">
        <f>+MOP_Mes_Corriente!DE11*MOP_Mes_Constante!$DC$1</f>
        <v>312275448.51661366</v>
      </c>
      <c r="DF10" s="20">
        <f>+MOP_Mes_Corriente!DF11*MOP_Mes_Constante!$DC$1</f>
        <v>312275448.51661366</v>
      </c>
      <c r="DG10" s="20">
        <f>+MOP_Mes_Corriente!DG11*MOP_Mes_Constante!$DC$1</f>
        <v>312275448.51661366</v>
      </c>
      <c r="DH10" s="20">
        <f>+MOP_Mes_Corriente!DH11*MOP_Mes_Constante!$DC$1</f>
        <v>312275448.51661366</v>
      </c>
      <c r="DI10" s="20">
        <f>+MOP_Mes_Corriente!DI11*MOP_Mes_Constante!$DC$1</f>
        <v>312275448.51661366</v>
      </c>
      <c r="DJ10" s="20">
        <f>+MOP_Mes_Corriente!DJ11*MOP_Mes_Constante!$DC$1</f>
        <v>312275448.51661366</v>
      </c>
      <c r="DK10" s="20">
        <f>+MOP_Mes_Corriente!DK11*MOP_Mes_Constante!$DC$1</f>
        <v>312275448.51661366</v>
      </c>
      <c r="DL10" s="20">
        <f>+MOP_Mes_Corriente!DL11*MOP_Mes_Constante!$DC$1</f>
        <v>312275448.51661366</v>
      </c>
      <c r="DM10" s="20">
        <f>+MOP_Mes_Corriente!DM11*MOP_Mes_Constante!$DC$1</f>
        <v>312275448.51661366</v>
      </c>
      <c r="DN10" s="20">
        <f>+MOP_Mes_Corriente!DN11*MOP_Mes_Constante!$DC$1</f>
        <v>312275448.51661366</v>
      </c>
      <c r="DO10" s="20">
        <f t="shared" si="8"/>
        <v>312275448.51661366</v>
      </c>
      <c r="DP10" s="20">
        <f>+MOP_Mes_Corriente!DP11*MOP_Mes_Constante!$DP$1</f>
        <v>317476648.99346799</v>
      </c>
      <c r="DQ10" s="20">
        <f>+MOP_Mes_Corriente!DQ11*MOP_Mes_Constante!$DP$1</f>
        <v>317476648.99346799</v>
      </c>
      <c r="DR10" s="20">
        <f>+MOP_Mes_Corriente!DR11*MOP_Mes_Constante!$DP$1</f>
        <v>317476648.99346799</v>
      </c>
      <c r="DS10" s="20">
        <f>+MOP_Mes_Corriente!DS11*MOP_Mes_Constante!$DP$1</f>
        <v>317476648.99346799</v>
      </c>
      <c r="DT10" s="20">
        <f>+MOP_Mes_Corriente!DT11*MOP_Mes_Constante!$DP$1</f>
        <v>317476648.99346799</v>
      </c>
      <c r="DU10" s="20">
        <f>+MOP_Mes_Corriente!DU11*MOP_Mes_Constante!$DP$1</f>
        <v>317476648.99346799</v>
      </c>
      <c r="DV10" s="20">
        <f>+MOP_Mes_Corriente!DV11*MOP_Mes_Constante!$DP$1</f>
        <v>317476648.99346799</v>
      </c>
      <c r="DW10" s="20">
        <f>+MOP_Mes_Corriente!DW11*MOP_Mes_Constante!$DP$1</f>
        <v>317476648.99346799</v>
      </c>
      <c r="DX10" s="20">
        <f>+MOP_Mes_Corriente!DX11*MOP_Mes_Constante!$DP$1</f>
        <v>317476648.99346799</v>
      </c>
      <c r="DY10" s="20">
        <f>+MOP_Mes_Corriente!DY11*MOP_Mes_Constante!$DP$1</f>
        <v>317476648.99346799</v>
      </c>
      <c r="DZ10" s="20">
        <f>+MOP_Mes_Corriente!DZ11*MOP_Mes_Constante!$DP$1</f>
        <v>317476648.99346799</v>
      </c>
      <c r="EA10" s="20">
        <f>+MOP_Mes_Corriente!EA11*MOP_Mes_Constante!$DP$1</f>
        <v>317476648.99346799</v>
      </c>
      <c r="EB10" s="20">
        <f t="shared" si="9"/>
        <v>317476648.99346799</v>
      </c>
      <c r="EC10" s="20">
        <f>+MOP_Mes_Corriente!EC11*MOP_Mes_Constante!$EC$1</f>
        <v>305892773.42567688</v>
      </c>
      <c r="ED10" s="20">
        <f>+MOP_Mes_Corriente!ED11*MOP_Mes_Constante!$EC$1</f>
        <v>305892773.42567688</v>
      </c>
      <c r="EE10" s="20">
        <f>+MOP_Mes_Corriente!EE11*MOP_Mes_Constante!$EC$1</f>
        <v>305892773.42567688</v>
      </c>
      <c r="EF10" s="20">
        <f>+MOP_Mes_Corriente!EF11*MOP_Mes_Constante!$EC$1</f>
        <v>305892773.42567688</v>
      </c>
      <c r="EG10" s="20">
        <f>+MOP_Mes_Corriente!EG11*MOP_Mes_Constante!$EC$1</f>
        <v>305892773.42567688</v>
      </c>
      <c r="EH10" s="20">
        <f>+MOP_Mes_Corriente!EH11*MOP_Mes_Constante!$EC$1</f>
        <v>305892773.42567688</v>
      </c>
      <c r="EI10" s="20">
        <f>+MOP_Mes_Corriente!EI11*MOP_Mes_Constante!$EC$1</f>
        <v>305892773.42567688</v>
      </c>
      <c r="EJ10" s="20">
        <f>+MOP_Mes_Corriente!EJ11*MOP_Mes_Constante!$EC$1</f>
        <v>305892773.42567688</v>
      </c>
      <c r="EK10" s="20">
        <f>+MOP_Mes_Corriente!EK11*MOP_Mes_Constante!$EC$1</f>
        <v>305892773.42567688</v>
      </c>
      <c r="EL10" s="20">
        <f>+MOP_Mes_Corriente!EL11*MOP_Mes_Constante!$EC$1</f>
        <v>305892773.42567688</v>
      </c>
      <c r="EM10" s="20">
        <f>+MOP_Mes_Corriente!EM11*MOP_Mes_Constante!$EC$1</f>
        <v>305892773.42567688</v>
      </c>
      <c r="EN10" s="20">
        <f>+MOP_Mes_Corriente!EN11*MOP_Mes_Constante!$EC$1</f>
        <v>305892773.42567688</v>
      </c>
      <c r="EO10" s="20">
        <f t="shared" si="10"/>
        <v>305892773.42567688</v>
      </c>
      <c r="EP10" s="20">
        <f>+MOP_Mes_Corriente!EP11*MOP_Mes_Constante!$EP$1</f>
        <v>308121429</v>
      </c>
      <c r="EQ10" s="20">
        <f>+MOP_Mes_Corriente!EQ11*MOP_Mes_Constante!$EP$1</f>
        <v>308121429</v>
      </c>
      <c r="ER10" s="20">
        <f>+MOP_Mes_Corriente!ER11*MOP_Mes_Constante!$EP$1</f>
        <v>308121429</v>
      </c>
      <c r="ES10" s="20">
        <f>+MOP_Mes_Corriente!ES11*MOP_Mes_Constante!$EP$1</f>
        <v>308121429</v>
      </c>
      <c r="ET10" s="20">
        <f>+MOP_Mes_Corriente!ET11*MOP_Mes_Constante!$EP$1</f>
        <v>308121429</v>
      </c>
      <c r="EU10" s="20">
        <f>+MOP_Mes_Corriente!EU11*MOP_Mes_Constante!$EP$1</f>
        <v>308121429</v>
      </c>
      <c r="EV10" s="20">
        <f>+MOP_Mes_Corriente!EV11*MOP_Mes_Constante!$EP$1</f>
        <v>308121429</v>
      </c>
      <c r="EW10" s="20">
        <f>+MOP_Mes_Corriente!EW11*MOP_Mes_Constante!$EP$1</f>
        <v>308121429</v>
      </c>
      <c r="EX10" s="20">
        <f>+MOP_Mes_Corriente!EX11*MOP_Mes_Constante!$EP$1</f>
        <v>308121429</v>
      </c>
      <c r="EY10" s="20">
        <f>+MOP_Mes_Corriente!EY11*MOP_Mes_Constante!$EP$1</f>
        <v>308121429</v>
      </c>
      <c r="EZ10" s="20">
        <f>+MOP_Mes_Corriente!EZ11*MOP_Mes_Constante!$EP$1</f>
        <v>308121429</v>
      </c>
      <c r="FA10" s="20">
        <f>+MOP_Mes_Corriente!FA11*MOP_Mes_Constante!$EP$1</f>
        <v>308121429</v>
      </c>
      <c r="FB10" s="20">
        <f t="shared" si="11"/>
        <v>308121429</v>
      </c>
      <c r="FC10" s="20">
        <f>+MOP_Mes_Corriente!FC11*MOP_Mes_Constante!$FC$1</f>
        <v>195906100</v>
      </c>
      <c r="FD10" s="20">
        <f>+MOP_Mes_Corriente!FD11*MOP_Mes_Constante!$FC$1</f>
        <v>195906100</v>
      </c>
      <c r="FE10" s="20">
        <f>+MOP_Mes_Corriente!FE11*MOP_Mes_Constante!$FC$1</f>
        <v>195906100</v>
      </c>
      <c r="FF10" s="20">
        <f>+MOP_Mes_Corriente!FF11*MOP_Mes_Constante!$FC$1</f>
        <v>195906100</v>
      </c>
      <c r="FG10" s="20">
        <f>+MOP_Mes_Corriente!FG11*MOP_Mes_Constante!$FC$1</f>
        <v>195906100</v>
      </c>
      <c r="FH10" s="20">
        <f>+MOP_Mes_Corriente!FH11*MOP_Mes_Constante!$FC$1</f>
        <v>195906100</v>
      </c>
      <c r="FI10" s="20">
        <f>+MOP_Mes_Corriente!FI11*MOP_Mes_Constante!$FC$1</f>
        <v>195906100</v>
      </c>
      <c r="FJ10" s="10"/>
      <c r="FK10" s="10"/>
      <c r="FL10" s="10"/>
      <c r="FM10" s="10"/>
      <c r="FN10" s="10"/>
      <c r="FO10" s="20">
        <f t="shared" si="12"/>
        <v>195906100</v>
      </c>
    </row>
    <row r="11" spans="1:171" ht="27.75" customHeight="1">
      <c r="A11" s="10"/>
      <c r="B11" s="19" t="s">
        <v>45</v>
      </c>
      <c r="C11" s="20">
        <f>+MOP_Mes_Corriente!C12*MOP_Mes_Constante!$C$1</f>
        <v>80058020.009194732</v>
      </c>
      <c r="D11" s="20">
        <f>+MOP_Mes_Corriente!D12*MOP_Mes_Constante!$C$1</f>
        <v>80058020.009194732</v>
      </c>
      <c r="E11" s="20">
        <f>+MOP_Mes_Corriente!E12*MOP_Mes_Constante!$C$1</f>
        <v>80058020.009194732</v>
      </c>
      <c r="F11" s="20">
        <f>+MOP_Mes_Corriente!F12*MOP_Mes_Constante!$C$1</f>
        <v>80058020.009194732</v>
      </c>
      <c r="G11" s="20">
        <f>+MOP_Mes_Corriente!G12*MOP_Mes_Constante!$C$1</f>
        <v>80058020.009194732</v>
      </c>
      <c r="H11" s="20">
        <f>+MOP_Mes_Corriente!H12*MOP_Mes_Constante!$C$1</f>
        <v>80058020.009194732</v>
      </c>
      <c r="I11" s="20">
        <f>+MOP_Mes_Corriente!I12*MOP_Mes_Constante!$C$1</f>
        <v>80058020.009194732</v>
      </c>
      <c r="J11" s="20">
        <f>+MOP_Mes_Corriente!J12*MOP_Mes_Constante!$C$1</f>
        <v>80058020.009194732</v>
      </c>
      <c r="K11" s="20">
        <f>+MOP_Mes_Corriente!K12*MOP_Mes_Constante!$C$1</f>
        <v>80058020.009194732</v>
      </c>
      <c r="L11" s="20">
        <f>+MOP_Mes_Corriente!L12*MOP_Mes_Constante!$C$1</f>
        <v>80058020.009194732</v>
      </c>
      <c r="M11" s="20">
        <f>+MOP_Mes_Corriente!M12*MOP_Mes_Constante!$C$1</f>
        <v>80058020.009194732</v>
      </c>
      <c r="N11" s="20">
        <f>+MOP_Mes_Corriente!N12*MOP_Mes_Constante!$C$1</f>
        <v>80058020.009194732</v>
      </c>
      <c r="O11" s="20">
        <f t="shared" si="0"/>
        <v>80058020.009194732</v>
      </c>
      <c r="P11" s="20">
        <f>+MOP_Mes_Corriente!P12*MOP_Mes_Constante!$P$1</f>
        <v>106923540.32561439</v>
      </c>
      <c r="Q11" s="20">
        <f>+MOP_Mes_Corriente!Q12*MOP_Mes_Constante!$P$1</f>
        <v>106923540.32561439</v>
      </c>
      <c r="R11" s="20">
        <f>+MOP_Mes_Corriente!R12*MOP_Mes_Constante!$P$1</f>
        <v>106923540.32561439</v>
      </c>
      <c r="S11" s="20">
        <f>+MOP_Mes_Corriente!S12*MOP_Mes_Constante!$P$1</f>
        <v>106923540.32561439</v>
      </c>
      <c r="T11" s="20">
        <f>+MOP_Mes_Corriente!T12*MOP_Mes_Constante!$P$1</f>
        <v>106923540.32561439</v>
      </c>
      <c r="U11" s="20">
        <f>+MOP_Mes_Corriente!U12*MOP_Mes_Constante!$P$1</f>
        <v>106923540.32561439</v>
      </c>
      <c r="V11" s="20">
        <f>+MOP_Mes_Corriente!V12*MOP_Mes_Constante!$P$1</f>
        <v>106923540.32561439</v>
      </c>
      <c r="W11" s="20">
        <f>+MOP_Mes_Corriente!W12*MOP_Mes_Constante!$P$1</f>
        <v>106923540.32561439</v>
      </c>
      <c r="X11" s="20">
        <f>+MOP_Mes_Corriente!X12*MOP_Mes_Constante!$P$1</f>
        <v>106923540.32561439</v>
      </c>
      <c r="Y11" s="20">
        <f>+MOP_Mes_Corriente!Y12*MOP_Mes_Constante!$P$1</f>
        <v>106923540.32561439</v>
      </c>
      <c r="Z11" s="20">
        <f>+MOP_Mes_Corriente!Z12*MOP_Mes_Constante!$P$1</f>
        <v>106923540.32561439</v>
      </c>
      <c r="AA11" s="20">
        <f>+MOP_Mes_Corriente!AA12*MOP_Mes_Constante!$P$1</f>
        <v>106923540.32561439</v>
      </c>
      <c r="AB11" s="20">
        <f t="shared" si="1"/>
        <v>106923540.32561439</v>
      </c>
      <c r="AC11" s="20">
        <f>+MOP_Mes_Corriente!AC12*MOP_Mes_Constante!$AC$1</f>
        <v>108069569.30031817</v>
      </c>
      <c r="AD11" s="20">
        <f>+MOP_Mes_Corriente!AD12*MOP_Mes_Constante!$AC$1</f>
        <v>108069569.30031817</v>
      </c>
      <c r="AE11" s="20">
        <f>+MOP_Mes_Corriente!AE12*MOP_Mes_Constante!$AC$1</f>
        <v>108069569.30031817</v>
      </c>
      <c r="AF11" s="20">
        <f>+MOP_Mes_Corriente!AF12*MOP_Mes_Constante!$AC$1</f>
        <v>108069569.30031817</v>
      </c>
      <c r="AG11" s="20">
        <f>+MOP_Mes_Corriente!AG12*MOP_Mes_Constante!$AC$1</f>
        <v>108069569.30031817</v>
      </c>
      <c r="AH11" s="20">
        <f>+MOP_Mes_Corriente!AH12*MOP_Mes_Constante!$AC$1</f>
        <v>108069569.30031817</v>
      </c>
      <c r="AI11" s="20">
        <f>+MOP_Mes_Corriente!AI12*MOP_Mes_Constante!$AC$1</f>
        <v>108069569.30031817</v>
      </c>
      <c r="AJ11" s="20">
        <f>+MOP_Mes_Corriente!AJ12*MOP_Mes_Constante!$AC$1</f>
        <v>108069569.30031817</v>
      </c>
      <c r="AK11" s="20">
        <f>+MOP_Mes_Corriente!AK12*MOP_Mes_Constante!$AC$1</f>
        <v>108069569.30031817</v>
      </c>
      <c r="AL11" s="20">
        <f>+MOP_Mes_Corriente!AL12*MOP_Mes_Constante!$AC$1</f>
        <v>108069569.30031817</v>
      </c>
      <c r="AM11" s="20">
        <f>+MOP_Mes_Corriente!AM12*MOP_Mes_Constante!$AC$1</f>
        <v>108069569.30031817</v>
      </c>
      <c r="AN11" s="20">
        <f>+MOP_Mes_Corriente!AN12*MOP_Mes_Constante!$AC$1</f>
        <v>108069569.30031817</v>
      </c>
      <c r="AO11" s="20">
        <f t="shared" si="2"/>
        <v>108069569.30031817</v>
      </c>
      <c r="AP11" s="20">
        <f>+MOP_Mes_Corriente!AP12*MOP_Mes_Constante!$AP$1</f>
        <v>132997016.53699444</v>
      </c>
      <c r="AQ11" s="20">
        <f>+MOP_Mes_Corriente!AQ12*MOP_Mes_Constante!$AP$1</f>
        <v>132997016.53699444</v>
      </c>
      <c r="AR11" s="20">
        <f>+MOP_Mes_Corriente!AR12*MOP_Mes_Constante!$AP$1</f>
        <v>132997016.53699444</v>
      </c>
      <c r="AS11" s="20">
        <f>+MOP_Mes_Corriente!AS12*MOP_Mes_Constante!$AP$1</f>
        <v>132997016.53699444</v>
      </c>
      <c r="AT11" s="20">
        <f>+MOP_Mes_Corriente!AT12*MOP_Mes_Constante!$AP$1</f>
        <v>132997016.53699444</v>
      </c>
      <c r="AU11" s="20">
        <f>+MOP_Mes_Corriente!AU12*MOP_Mes_Constante!$AP$1</f>
        <v>132997016.53699444</v>
      </c>
      <c r="AV11" s="20">
        <f>+MOP_Mes_Corriente!AV12*MOP_Mes_Constante!$AP$1</f>
        <v>132997016.53699444</v>
      </c>
      <c r="AW11" s="20">
        <f>+MOP_Mes_Corriente!AW12*MOP_Mes_Constante!$AP$1</f>
        <v>132997016.53699444</v>
      </c>
      <c r="AX11" s="20">
        <f>+MOP_Mes_Corriente!AX12*MOP_Mes_Constante!$AP$1</f>
        <v>132997016.53699444</v>
      </c>
      <c r="AY11" s="20">
        <f>+MOP_Mes_Corriente!AY12*MOP_Mes_Constante!$AP$1</f>
        <v>132997016.53699444</v>
      </c>
      <c r="AZ11" s="20">
        <f>+MOP_Mes_Corriente!AZ12*MOP_Mes_Constante!$AP$1</f>
        <v>132997016.53699444</v>
      </c>
      <c r="BA11" s="20">
        <f>+MOP_Mes_Corriente!BA12*MOP_Mes_Constante!$AP$1</f>
        <v>132997016.53699444</v>
      </c>
      <c r="BB11" s="20">
        <f t="shared" si="3"/>
        <v>132997016.53699444</v>
      </c>
      <c r="BC11" s="20">
        <f>+MOP_Mes_Corriente!BC12*MOP_Mes_Constante!$BC$1</f>
        <v>147592207.53343007</v>
      </c>
      <c r="BD11" s="20">
        <f>+MOP_Mes_Corriente!BD12*MOP_Mes_Constante!$BC$1</f>
        <v>147592207.53343007</v>
      </c>
      <c r="BE11" s="20">
        <f>+MOP_Mes_Corriente!BE12*MOP_Mes_Constante!$BC$1</f>
        <v>147592207.53343007</v>
      </c>
      <c r="BF11" s="20">
        <f>+MOP_Mes_Corriente!BF12*MOP_Mes_Constante!$BC$1</f>
        <v>147592207.53343007</v>
      </c>
      <c r="BG11" s="20">
        <f>+MOP_Mes_Corriente!BG12*MOP_Mes_Constante!$BC$1</f>
        <v>147592207.53343007</v>
      </c>
      <c r="BH11" s="20">
        <f>+MOP_Mes_Corriente!BH12*MOP_Mes_Constante!$BC$1</f>
        <v>147592207.53343007</v>
      </c>
      <c r="BI11" s="20">
        <f>+MOP_Mes_Corriente!BI12*MOP_Mes_Constante!$BC$1</f>
        <v>147592207.53343007</v>
      </c>
      <c r="BJ11" s="20">
        <f>+MOP_Mes_Corriente!BJ12*MOP_Mes_Constante!$BC$1</f>
        <v>147592207.53343007</v>
      </c>
      <c r="BK11" s="20">
        <f>+MOP_Mes_Corriente!BK12*MOP_Mes_Constante!$BC$1</f>
        <v>147592207.53343007</v>
      </c>
      <c r="BL11" s="20">
        <f>+MOP_Mes_Corriente!BL12*MOP_Mes_Constante!$BC$1</f>
        <v>147592207.53343007</v>
      </c>
      <c r="BM11" s="20">
        <f>+MOP_Mes_Corriente!BM12*MOP_Mes_Constante!$BC$1</f>
        <v>147592207.53343007</v>
      </c>
      <c r="BN11" s="20">
        <f>+MOP_Mes_Corriente!BN12*MOP_Mes_Constante!$BC$1</f>
        <v>147592207.53343007</v>
      </c>
      <c r="BO11" s="20">
        <f t="shared" si="4"/>
        <v>147592207.53343007</v>
      </c>
      <c r="BP11" s="20">
        <f>+MOP_Mes_Corriente!BP12*MOP_Mes_Constante!$BP$1</f>
        <v>160450857.53469911</v>
      </c>
      <c r="BQ11" s="20">
        <f>+MOP_Mes_Corriente!BQ12*MOP_Mes_Constante!$BP$1</f>
        <v>160450857.53469911</v>
      </c>
      <c r="BR11" s="20">
        <f>+MOP_Mes_Corriente!BR12*MOP_Mes_Constante!$BP$1</f>
        <v>160450857.53469911</v>
      </c>
      <c r="BS11" s="20">
        <f>+MOP_Mes_Corriente!BS12*MOP_Mes_Constante!$BP$1</f>
        <v>160450857.53469911</v>
      </c>
      <c r="BT11" s="20">
        <f>+MOP_Mes_Corriente!BT12*MOP_Mes_Constante!$BP$1</f>
        <v>160450857.53469911</v>
      </c>
      <c r="BU11" s="20">
        <f>+MOP_Mes_Corriente!BU12*MOP_Mes_Constante!$BP$1</f>
        <v>160450857.53469911</v>
      </c>
      <c r="BV11" s="20">
        <f>+MOP_Mes_Corriente!BV12*MOP_Mes_Constante!$BP$1</f>
        <v>160450857.53469911</v>
      </c>
      <c r="BW11" s="20">
        <f>+MOP_Mes_Corriente!BW12*MOP_Mes_Constante!$BP$1</f>
        <v>160450857.53469911</v>
      </c>
      <c r="BX11" s="20">
        <f>+MOP_Mes_Corriente!BX12*MOP_Mes_Constante!$BP$1</f>
        <v>160450857.53469911</v>
      </c>
      <c r="BY11" s="20">
        <f>+MOP_Mes_Corriente!BY12*MOP_Mes_Constante!$BP$1</f>
        <v>160450857.53469911</v>
      </c>
      <c r="BZ11" s="20">
        <f>+MOP_Mes_Corriente!BZ12*MOP_Mes_Constante!$BP$1</f>
        <v>160450857.53469911</v>
      </c>
      <c r="CA11" s="20">
        <f>+MOP_Mes_Corriente!CA12*MOP_Mes_Constante!$BP$1</f>
        <v>160450857.53469911</v>
      </c>
      <c r="CB11" s="20">
        <f t="shared" si="5"/>
        <v>160450857.53469911</v>
      </c>
      <c r="CC11" s="20">
        <f>+MOP_Mes_Corriente!CC12*MOP_Mes_Constante!$CC$1</f>
        <v>183850569.88735548</v>
      </c>
      <c r="CD11" s="20">
        <f>+MOP_Mes_Corriente!CD12*MOP_Mes_Constante!$CC$1</f>
        <v>183850569.88735548</v>
      </c>
      <c r="CE11" s="20">
        <f>+MOP_Mes_Corriente!CE12*MOP_Mes_Constante!$CC$1</f>
        <v>183850569.88735548</v>
      </c>
      <c r="CF11" s="20">
        <f>+MOP_Mes_Corriente!CF12*MOP_Mes_Constante!$CC$1</f>
        <v>183850569.88735548</v>
      </c>
      <c r="CG11" s="20">
        <f>+MOP_Mes_Corriente!CG12*MOP_Mes_Constante!$CC$1</f>
        <v>183850569.88735548</v>
      </c>
      <c r="CH11" s="20">
        <f>+MOP_Mes_Corriente!CH12*MOP_Mes_Constante!$CC$1</f>
        <v>183850569.88735548</v>
      </c>
      <c r="CI11" s="20">
        <f>+MOP_Mes_Corriente!CI12*MOP_Mes_Constante!$CC$1</f>
        <v>183850569.88735548</v>
      </c>
      <c r="CJ11" s="20">
        <f>+MOP_Mes_Corriente!CJ12*MOP_Mes_Constante!$CC$1</f>
        <v>183850569.88735548</v>
      </c>
      <c r="CK11" s="20">
        <f>+MOP_Mes_Corriente!CK12*MOP_Mes_Constante!$CC$1</f>
        <v>183850569.88735548</v>
      </c>
      <c r="CL11" s="20">
        <f>+MOP_Mes_Corriente!CL12*MOP_Mes_Constante!$CC$1</f>
        <v>183850569.88735548</v>
      </c>
      <c r="CM11" s="20">
        <f>+MOP_Mes_Corriente!CM12*MOP_Mes_Constante!$CC$1</f>
        <v>183850569.88735548</v>
      </c>
      <c r="CN11" s="20">
        <f>+MOP_Mes_Corriente!CN12*MOP_Mes_Constante!$CC$1</f>
        <v>183850569.88735548</v>
      </c>
      <c r="CO11" s="20">
        <f t="shared" si="6"/>
        <v>183850569.88735548</v>
      </c>
      <c r="CP11" s="20">
        <f>+MOP_Mes_Corriente!CP12*MOP_Mes_Constante!$CP$1</f>
        <v>312559609.2160092</v>
      </c>
      <c r="CQ11" s="20">
        <f>+MOP_Mes_Corriente!CQ12*MOP_Mes_Constante!$CP$1</f>
        <v>312559609.2160092</v>
      </c>
      <c r="CR11" s="20">
        <f>+MOP_Mes_Corriente!CR12*MOP_Mes_Constante!$CP$1</f>
        <v>312559609.2160092</v>
      </c>
      <c r="CS11" s="20">
        <f>+MOP_Mes_Corriente!CS12*MOP_Mes_Constante!$CP$1</f>
        <v>312559609.2160092</v>
      </c>
      <c r="CT11" s="20">
        <f>+MOP_Mes_Corriente!CT12*MOP_Mes_Constante!$CP$1</f>
        <v>312559609.2160092</v>
      </c>
      <c r="CU11" s="20">
        <f>+MOP_Mes_Corriente!CU12*MOP_Mes_Constante!$CP$1</f>
        <v>312559609.2160092</v>
      </c>
      <c r="CV11" s="20">
        <f>+MOP_Mes_Corriente!CV12*MOP_Mes_Constante!$CP$1</f>
        <v>312559609.2160092</v>
      </c>
      <c r="CW11" s="20">
        <f>+MOP_Mes_Corriente!CW12*MOP_Mes_Constante!$CP$1</f>
        <v>312559609.2160092</v>
      </c>
      <c r="CX11" s="20">
        <f>+MOP_Mes_Corriente!CX12*MOP_Mes_Constante!$CP$1</f>
        <v>312559609.2160092</v>
      </c>
      <c r="CY11" s="20">
        <f>+MOP_Mes_Corriente!CY12*MOP_Mes_Constante!$CP$1</f>
        <v>312559609.2160092</v>
      </c>
      <c r="CZ11" s="20">
        <f>+MOP_Mes_Corriente!CZ12*MOP_Mes_Constante!$CP$1</f>
        <v>312559609.2160092</v>
      </c>
      <c r="DA11" s="20">
        <f>+MOP_Mes_Corriente!DA12*MOP_Mes_Constante!$CP$1</f>
        <v>312559609.2160092</v>
      </c>
      <c r="DB11" s="20">
        <f t="shared" si="7"/>
        <v>312559609.2160092</v>
      </c>
      <c r="DC11" s="20">
        <f>+MOP_Mes_Corriente!DC12*MOP_Mes_Constante!$DC$1</f>
        <v>312851531.16736978</v>
      </c>
      <c r="DD11" s="20">
        <f>+MOP_Mes_Corriente!DD12*MOP_Mes_Constante!$DC$1</f>
        <v>312851531.16736978</v>
      </c>
      <c r="DE11" s="20">
        <f>+MOP_Mes_Corriente!DE12*MOP_Mes_Constante!$DC$1</f>
        <v>312851531.16736978</v>
      </c>
      <c r="DF11" s="20">
        <f>+MOP_Mes_Corriente!DF12*MOP_Mes_Constante!$DC$1</f>
        <v>312851531.16736978</v>
      </c>
      <c r="DG11" s="20">
        <f>+MOP_Mes_Corriente!DG12*MOP_Mes_Constante!$DC$1</f>
        <v>312851531.16736978</v>
      </c>
      <c r="DH11" s="20">
        <f>+MOP_Mes_Corriente!DH12*MOP_Mes_Constante!$DC$1</f>
        <v>312851531.16736978</v>
      </c>
      <c r="DI11" s="20">
        <f>+MOP_Mes_Corriente!DI12*MOP_Mes_Constante!$DC$1</f>
        <v>312851531.16736978</v>
      </c>
      <c r="DJ11" s="20">
        <f>+MOP_Mes_Corriente!DJ12*MOP_Mes_Constante!$DC$1</f>
        <v>312851531.16736978</v>
      </c>
      <c r="DK11" s="20">
        <f>+MOP_Mes_Corriente!DK12*MOP_Mes_Constante!$DC$1</f>
        <v>312851531.16736978</v>
      </c>
      <c r="DL11" s="20">
        <f>+MOP_Mes_Corriente!DL12*MOP_Mes_Constante!$DC$1</f>
        <v>312851531.16736978</v>
      </c>
      <c r="DM11" s="20">
        <f>+MOP_Mes_Corriente!DM12*MOP_Mes_Constante!$DC$1</f>
        <v>312851531.16736978</v>
      </c>
      <c r="DN11" s="20">
        <f>+MOP_Mes_Corriente!DN12*MOP_Mes_Constante!$DC$1</f>
        <v>312851531.16736978</v>
      </c>
      <c r="DO11" s="20">
        <f t="shared" si="8"/>
        <v>312851531.16736978</v>
      </c>
      <c r="DP11" s="20">
        <f>+MOP_Mes_Corriente!DP12*MOP_Mes_Constante!$DP$1</f>
        <v>319843570.51959622</v>
      </c>
      <c r="DQ11" s="20">
        <f>+MOP_Mes_Corriente!DQ12*MOP_Mes_Constante!$DP$1</f>
        <v>319843570.51959622</v>
      </c>
      <c r="DR11" s="20">
        <f>+MOP_Mes_Corriente!DR12*MOP_Mes_Constante!$DP$1</f>
        <v>319843570.51959622</v>
      </c>
      <c r="DS11" s="20">
        <f>+MOP_Mes_Corriente!DS12*MOP_Mes_Constante!$DP$1</f>
        <v>319843570.51959622</v>
      </c>
      <c r="DT11" s="20">
        <f>+MOP_Mes_Corriente!DT12*MOP_Mes_Constante!$DP$1</f>
        <v>319843570.51959622</v>
      </c>
      <c r="DU11" s="20">
        <f>+MOP_Mes_Corriente!DU12*MOP_Mes_Constante!$DP$1</f>
        <v>319843570.51959622</v>
      </c>
      <c r="DV11" s="20">
        <f>+MOP_Mes_Corriente!DV12*MOP_Mes_Constante!$DP$1</f>
        <v>319843570.51959622</v>
      </c>
      <c r="DW11" s="20">
        <f>+MOP_Mes_Corriente!DW12*MOP_Mes_Constante!$DP$1</f>
        <v>319843570.51959622</v>
      </c>
      <c r="DX11" s="20">
        <f>+MOP_Mes_Corriente!DX12*MOP_Mes_Constante!$DP$1</f>
        <v>319843570.51959622</v>
      </c>
      <c r="DY11" s="20">
        <f>+MOP_Mes_Corriente!DY12*MOP_Mes_Constante!$DP$1</f>
        <v>319843570.51959622</v>
      </c>
      <c r="DZ11" s="20">
        <f>+MOP_Mes_Corriente!DZ12*MOP_Mes_Constante!$DP$1</f>
        <v>319843570.51959622</v>
      </c>
      <c r="EA11" s="20">
        <f>+MOP_Mes_Corriente!EA12*MOP_Mes_Constante!$DP$1</f>
        <v>319843570.51959622</v>
      </c>
      <c r="EB11" s="20">
        <f t="shared" si="9"/>
        <v>319843570.51959622</v>
      </c>
      <c r="EC11" s="20">
        <f>+MOP_Mes_Corriente!EC12*MOP_Mes_Constante!$EC$1</f>
        <v>326576548.99564469</v>
      </c>
      <c r="ED11" s="20">
        <f>+MOP_Mes_Corriente!ED12*MOP_Mes_Constante!$EC$1</f>
        <v>326576548.99564469</v>
      </c>
      <c r="EE11" s="20">
        <f>+MOP_Mes_Corriente!EE12*MOP_Mes_Constante!$EC$1</f>
        <v>326576548.99564469</v>
      </c>
      <c r="EF11" s="20">
        <f>+MOP_Mes_Corriente!EF12*MOP_Mes_Constante!$EC$1</f>
        <v>326576548.99564469</v>
      </c>
      <c r="EG11" s="20">
        <f>+MOP_Mes_Corriente!EG12*MOP_Mes_Constante!$EC$1</f>
        <v>326576548.99564469</v>
      </c>
      <c r="EH11" s="20">
        <f>+MOP_Mes_Corriente!EH12*MOP_Mes_Constante!$EC$1</f>
        <v>326576548.99564469</v>
      </c>
      <c r="EI11" s="20">
        <f>+MOP_Mes_Corriente!EI12*MOP_Mes_Constante!$EC$1</f>
        <v>326576548.99564469</v>
      </c>
      <c r="EJ11" s="20">
        <f>+MOP_Mes_Corriente!EJ12*MOP_Mes_Constante!$EC$1</f>
        <v>326576548.99564469</v>
      </c>
      <c r="EK11" s="20">
        <f>+MOP_Mes_Corriente!EK12*MOP_Mes_Constante!$EC$1</f>
        <v>326576548.99564469</v>
      </c>
      <c r="EL11" s="20">
        <f>+MOP_Mes_Corriente!EL12*MOP_Mes_Constante!$EC$1</f>
        <v>326576548.99564469</v>
      </c>
      <c r="EM11" s="20">
        <f>+MOP_Mes_Corriente!EM12*MOP_Mes_Constante!$EC$1</f>
        <v>326576548.99564469</v>
      </c>
      <c r="EN11" s="20">
        <f>+MOP_Mes_Corriente!EN12*MOP_Mes_Constante!$EC$1</f>
        <v>326576548.99564469</v>
      </c>
      <c r="EO11" s="20">
        <f t="shared" si="10"/>
        <v>326576548.99564469</v>
      </c>
      <c r="EP11" s="20">
        <f>+MOP_Mes_Corriente!EP12*MOP_Mes_Constante!$EP$1</f>
        <v>329603442</v>
      </c>
      <c r="EQ11" s="20">
        <f>+MOP_Mes_Corriente!EQ12*MOP_Mes_Constante!$EP$1</f>
        <v>329603442</v>
      </c>
      <c r="ER11" s="20">
        <f>+MOP_Mes_Corriente!ER12*MOP_Mes_Constante!$EP$1</f>
        <v>329603442</v>
      </c>
      <c r="ES11" s="20">
        <f>+MOP_Mes_Corriente!ES12*MOP_Mes_Constante!$EP$1</f>
        <v>329603442</v>
      </c>
      <c r="ET11" s="20">
        <f>+MOP_Mes_Corriente!ET12*MOP_Mes_Constante!$EP$1</f>
        <v>329603442</v>
      </c>
      <c r="EU11" s="20">
        <f>+MOP_Mes_Corriente!EU12*MOP_Mes_Constante!$EP$1</f>
        <v>329603442</v>
      </c>
      <c r="EV11" s="20">
        <f>+MOP_Mes_Corriente!EV12*MOP_Mes_Constante!$EP$1</f>
        <v>329603442</v>
      </c>
      <c r="EW11" s="20">
        <f>+MOP_Mes_Corriente!EW12*MOP_Mes_Constante!$EP$1</f>
        <v>329603442</v>
      </c>
      <c r="EX11" s="20">
        <f>+MOP_Mes_Corriente!EX12*MOP_Mes_Constante!$EP$1</f>
        <v>329603442</v>
      </c>
      <c r="EY11" s="20">
        <f>+MOP_Mes_Corriente!EY12*MOP_Mes_Constante!$EP$1</f>
        <v>329603442</v>
      </c>
      <c r="EZ11" s="20">
        <f>+MOP_Mes_Corriente!EZ12*MOP_Mes_Constante!$EP$1</f>
        <v>329603442</v>
      </c>
      <c r="FA11" s="20">
        <f>+MOP_Mes_Corriente!FA12*MOP_Mes_Constante!$EP$1</f>
        <v>329603442</v>
      </c>
      <c r="FB11" s="20">
        <f t="shared" si="11"/>
        <v>329603442</v>
      </c>
      <c r="FC11" s="20">
        <f>+MOP_Mes_Corriente!FC12*MOP_Mes_Constante!$FC$1</f>
        <v>290113797</v>
      </c>
      <c r="FD11" s="20">
        <f>+MOP_Mes_Corriente!FD12*MOP_Mes_Constante!$FC$1</f>
        <v>290113797</v>
      </c>
      <c r="FE11" s="20">
        <f>+MOP_Mes_Corriente!FE12*MOP_Mes_Constante!$FC$1</f>
        <v>290113797</v>
      </c>
      <c r="FF11" s="20">
        <f>+MOP_Mes_Corriente!FF12*MOP_Mes_Constante!$FC$1</f>
        <v>290113797</v>
      </c>
      <c r="FG11" s="20">
        <f>+MOP_Mes_Corriente!FG12*MOP_Mes_Constante!$FC$1</f>
        <v>290113797</v>
      </c>
      <c r="FH11" s="20">
        <f>+MOP_Mes_Corriente!FH12*MOP_Mes_Constante!$FC$1</f>
        <v>290113797</v>
      </c>
      <c r="FI11" s="20">
        <f>+MOP_Mes_Corriente!FI12*MOP_Mes_Constante!$FC$1</f>
        <v>290113797</v>
      </c>
      <c r="FJ11" s="10"/>
      <c r="FK11" s="10"/>
      <c r="FL11" s="10"/>
      <c r="FM11" s="10"/>
      <c r="FN11" s="10"/>
      <c r="FO11" s="20">
        <f t="shared" si="12"/>
        <v>290113797</v>
      </c>
    </row>
    <row r="12" spans="1:171" ht="27.75" customHeight="1">
      <c r="A12" s="10"/>
      <c r="B12" s="19" t="s">
        <v>46</v>
      </c>
      <c r="C12" s="20">
        <f>+MOP_Mes_Corriente!C13*MOP_Mes_Constante!$C$1</f>
        <v>89181550.837905988</v>
      </c>
      <c r="D12" s="20">
        <f>+MOP_Mes_Corriente!D13*MOP_Mes_Constante!$C$1</f>
        <v>89181550.837905988</v>
      </c>
      <c r="E12" s="20">
        <f>+MOP_Mes_Corriente!E13*MOP_Mes_Constante!$C$1</f>
        <v>89181550.837905988</v>
      </c>
      <c r="F12" s="20">
        <f>+MOP_Mes_Corriente!F13*MOP_Mes_Constante!$C$1</f>
        <v>89181550.837905988</v>
      </c>
      <c r="G12" s="20">
        <f>+MOP_Mes_Corriente!G13*MOP_Mes_Constante!$C$1</f>
        <v>89181550.837905988</v>
      </c>
      <c r="H12" s="20">
        <f>+MOP_Mes_Corriente!H13*MOP_Mes_Constante!$C$1</f>
        <v>89181550.837905988</v>
      </c>
      <c r="I12" s="20">
        <f>+MOP_Mes_Corriente!I13*MOP_Mes_Constante!$C$1</f>
        <v>89181550.837905988</v>
      </c>
      <c r="J12" s="20">
        <f>+MOP_Mes_Corriente!J13*MOP_Mes_Constante!$C$1</f>
        <v>89181550.837905988</v>
      </c>
      <c r="K12" s="20">
        <f>+MOP_Mes_Corriente!K13*MOP_Mes_Constante!$C$1</f>
        <v>89181550.837905988</v>
      </c>
      <c r="L12" s="20">
        <f>+MOP_Mes_Corriente!L13*MOP_Mes_Constante!$C$1</f>
        <v>89181550.837905988</v>
      </c>
      <c r="M12" s="20">
        <f>+MOP_Mes_Corriente!M13*MOP_Mes_Constante!$C$1</f>
        <v>89181550.837905988</v>
      </c>
      <c r="N12" s="20">
        <f>+MOP_Mes_Corriente!N13*MOP_Mes_Constante!$C$1</f>
        <v>89181550.837905988</v>
      </c>
      <c r="O12" s="20">
        <f t="shared" si="0"/>
        <v>89181550.837905988</v>
      </c>
      <c r="P12" s="20">
        <f>+MOP_Mes_Corriente!P13*MOP_Mes_Constante!$P$1</f>
        <v>98933635.457593367</v>
      </c>
      <c r="Q12" s="20">
        <f>+MOP_Mes_Corriente!Q13*MOP_Mes_Constante!$P$1</f>
        <v>98933635.457593367</v>
      </c>
      <c r="R12" s="20">
        <f>+MOP_Mes_Corriente!R13*MOP_Mes_Constante!$P$1</f>
        <v>98933635.457593367</v>
      </c>
      <c r="S12" s="20">
        <f>+MOP_Mes_Corriente!S13*MOP_Mes_Constante!$P$1</f>
        <v>98933635.457593367</v>
      </c>
      <c r="T12" s="20">
        <f>+MOP_Mes_Corriente!T13*MOP_Mes_Constante!$P$1</f>
        <v>98933635.457593367</v>
      </c>
      <c r="U12" s="20">
        <f>+MOP_Mes_Corriente!U13*MOP_Mes_Constante!$P$1</f>
        <v>98933635.457593367</v>
      </c>
      <c r="V12" s="20">
        <f>+MOP_Mes_Corriente!V13*MOP_Mes_Constante!$P$1</f>
        <v>98933635.457593367</v>
      </c>
      <c r="W12" s="20">
        <f>+MOP_Mes_Corriente!W13*MOP_Mes_Constante!$P$1</f>
        <v>98933635.457593367</v>
      </c>
      <c r="X12" s="20">
        <f>+MOP_Mes_Corriente!X13*MOP_Mes_Constante!$P$1</f>
        <v>98933635.457593367</v>
      </c>
      <c r="Y12" s="20">
        <f>+MOP_Mes_Corriente!Y13*MOP_Mes_Constante!$P$1</f>
        <v>98933635.457593367</v>
      </c>
      <c r="Z12" s="20">
        <f>+MOP_Mes_Corriente!Z13*MOP_Mes_Constante!$P$1</f>
        <v>98933635.457593367</v>
      </c>
      <c r="AA12" s="20">
        <f>+MOP_Mes_Corriente!AA13*MOP_Mes_Constante!$P$1</f>
        <v>98933635.457593367</v>
      </c>
      <c r="AB12" s="20">
        <f t="shared" si="1"/>
        <v>98933635.457593367</v>
      </c>
      <c r="AC12" s="20">
        <f>+MOP_Mes_Corriente!AC13*MOP_Mes_Constante!$AC$1</f>
        <v>99761288.6659289</v>
      </c>
      <c r="AD12" s="20">
        <f>+MOP_Mes_Corriente!AD13*MOP_Mes_Constante!$AC$1</f>
        <v>99761288.6659289</v>
      </c>
      <c r="AE12" s="20">
        <f>+MOP_Mes_Corriente!AE13*MOP_Mes_Constante!$AC$1</f>
        <v>99761288.6659289</v>
      </c>
      <c r="AF12" s="20">
        <f>+MOP_Mes_Corriente!AF13*MOP_Mes_Constante!$AC$1</f>
        <v>99761288.6659289</v>
      </c>
      <c r="AG12" s="20">
        <f>+MOP_Mes_Corriente!AG13*MOP_Mes_Constante!$AC$1</f>
        <v>99761288.6659289</v>
      </c>
      <c r="AH12" s="20">
        <f>+MOP_Mes_Corriente!AH13*MOP_Mes_Constante!$AC$1</f>
        <v>99761288.6659289</v>
      </c>
      <c r="AI12" s="20">
        <f>+MOP_Mes_Corriente!AI13*MOP_Mes_Constante!$AC$1</f>
        <v>99761288.6659289</v>
      </c>
      <c r="AJ12" s="20">
        <f>+MOP_Mes_Corriente!AJ13*MOP_Mes_Constante!$AC$1</f>
        <v>99761288.6659289</v>
      </c>
      <c r="AK12" s="20">
        <f>+MOP_Mes_Corriente!AK13*MOP_Mes_Constante!$AC$1</f>
        <v>99761288.6659289</v>
      </c>
      <c r="AL12" s="20">
        <f>+MOP_Mes_Corriente!AL13*MOP_Mes_Constante!$AC$1</f>
        <v>99761288.6659289</v>
      </c>
      <c r="AM12" s="20">
        <f>+MOP_Mes_Corriente!AM13*MOP_Mes_Constante!$AC$1</f>
        <v>99761288.6659289</v>
      </c>
      <c r="AN12" s="20">
        <f>+MOP_Mes_Corriente!AN13*MOP_Mes_Constante!$AC$1</f>
        <v>99761288.6659289</v>
      </c>
      <c r="AO12" s="20">
        <f t="shared" si="2"/>
        <v>99761288.6659289</v>
      </c>
      <c r="AP12" s="20">
        <f>+MOP_Mes_Corriente!AP13*MOP_Mes_Constante!$AP$1</f>
        <v>100721316.96009739</v>
      </c>
      <c r="AQ12" s="20">
        <f>+MOP_Mes_Corriente!AQ13*MOP_Mes_Constante!$AP$1</f>
        <v>100721316.96009739</v>
      </c>
      <c r="AR12" s="20">
        <f>+MOP_Mes_Corriente!AR13*MOP_Mes_Constante!$AP$1</f>
        <v>100721316.96009739</v>
      </c>
      <c r="AS12" s="20">
        <f>+MOP_Mes_Corriente!AS13*MOP_Mes_Constante!$AP$1</f>
        <v>100721316.96009739</v>
      </c>
      <c r="AT12" s="20">
        <f>+MOP_Mes_Corriente!AT13*MOP_Mes_Constante!$AP$1</f>
        <v>100721316.96009739</v>
      </c>
      <c r="AU12" s="20">
        <f>+MOP_Mes_Corriente!AU13*MOP_Mes_Constante!$AP$1</f>
        <v>100721316.96009739</v>
      </c>
      <c r="AV12" s="20">
        <f>+MOP_Mes_Corriente!AV13*MOP_Mes_Constante!$AP$1</f>
        <v>100721316.96009739</v>
      </c>
      <c r="AW12" s="20">
        <f>+MOP_Mes_Corriente!AW13*MOP_Mes_Constante!$AP$1</f>
        <v>100721316.96009739</v>
      </c>
      <c r="AX12" s="20">
        <f>+MOP_Mes_Corriente!AX13*MOP_Mes_Constante!$AP$1</f>
        <v>100721316.96009739</v>
      </c>
      <c r="AY12" s="20">
        <f>+MOP_Mes_Corriente!AY13*MOP_Mes_Constante!$AP$1</f>
        <v>100721316.96009739</v>
      </c>
      <c r="AZ12" s="20">
        <f>+MOP_Mes_Corriente!AZ13*MOP_Mes_Constante!$AP$1</f>
        <v>100721316.96009739</v>
      </c>
      <c r="BA12" s="20">
        <f>+MOP_Mes_Corriente!BA13*MOP_Mes_Constante!$AP$1</f>
        <v>100721316.96009739</v>
      </c>
      <c r="BB12" s="20">
        <f t="shared" si="3"/>
        <v>100721316.96009739</v>
      </c>
      <c r="BC12" s="20">
        <f>+MOP_Mes_Corriente!BC13*MOP_Mes_Constante!$BC$1</f>
        <v>99559868.959250987</v>
      </c>
      <c r="BD12" s="20">
        <f>+MOP_Mes_Corriente!BD13*MOP_Mes_Constante!$BC$1</f>
        <v>99559868.959250987</v>
      </c>
      <c r="BE12" s="20">
        <f>+MOP_Mes_Corriente!BE13*MOP_Mes_Constante!$BC$1</f>
        <v>99559868.959250987</v>
      </c>
      <c r="BF12" s="20">
        <f>+MOP_Mes_Corriente!BF13*MOP_Mes_Constante!$BC$1</f>
        <v>99559868.959250987</v>
      </c>
      <c r="BG12" s="20">
        <f>+MOP_Mes_Corriente!BG13*MOP_Mes_Constante!$BC$1</f>
        <v>99559868.959250987</v>
      </c>
      <c r="BH12" s="20">
        <f>+MOP_Mes_Corriente!BH13*MOP_Mes_Constante!$BC$1</f>
        <v>99559868.959250987</v>
      </c>
      <c r="BI12" s="20">
        <f>+MOP_Mes_Corriente!BI13*MOP_Mes_Constante!$BC$1</f>
        <v>99559868.959250987</v>
      </c>
      <c r="BJ12" s="20">
        <f>+MOP_Mes_Corriente!BJ13*MOP_Mes_Constante!$BC$1</f>
        <v>99559868.959250987</v>
      </c>
      <c r="BK12" s="20">
        <f>+MOP_Mes_Corriente!BK13*MOP_Mes_Constante!$BC$1</f>
        <v>99559868.959250987</v>
      </c>
      <c r="BL12" s="20">
        <f>+MOP_Mes_Corriente!BL13*MOP_Mes_Constante!$BC$1</f>
        <v>99559868.959250987</v>
      </c>
      <c r="BM12" s="20">
        <f>+MOP_Mes_Corriente!BM13*MOP_Mes_Constante!$BC$1</f>
        <v>99559868.959250987</v>
      </c>
      <c r="BN12" s="20">
        <f>+MOP_Mes_Corriente!BN13*MOP_Mes_Constante!$BC$1</f>
        <v>99559868.959250987</v>
      </c>
      <c r="BO12" s="20">
        <f t="shared" si="4"/>
        <v>99559868.959250987</v>
      </c>
      <c r="BP12" s="20">
        <f>+MOP_Mes_Corriente!BP13*MOP_Mes_Constante!$BP$1</f>
        <v>97772416.190781057</v>
      </c>
      <c r="BQ12" s="20">
        <f>+MOP_Mes_Corriente!BQ13*MOP_Mes_Constante!$BP$1</f>
        <v>97772416.190781057</v>
      </c>
      <c r="BR12" s="20">
        <f>+MOP_Mes_Corriente!BR13*MOP_Mes_Constante!$BP$1</f>
        <v>97772416.190781057</v>
      </c>
      <c r="BS12" s="20">
        <f>+MOP_Mes_Corriente!BS13*MOP_Mes_Constante!$BP$1</f>
        <v>97772416.190781057</v>
      </c>
      <c r="BT12" s="20">
        <f>+MOP_Mes_Corriente!BT13*MOP_Mes_Constante!$BP$1</f>
        <v>97772416.190781057</v>
      </c>
      <c r="BU12" s="20">
        <f>+MOP_Mes_Corriente!BU13*MOP_Mes_Constante!$BP$1</f>
        <v>97772416.190781057</v>
      </c>
      <c r="BV12" s="20">
        <f>+MOP_Mes_Corriente!BV13*MOP_Mes_Constante!$BP$1</f>
        <v>97772416.190781057</v>
      </c>
      <c r="BW12" s="20">
        <f>+MOP_Mes_Corriente!BW13*MOP_Mes_Constante!$BP$1</f>
        <v>97772416.190781057</v>
      </c>
      <c r="BX12" s="20">
        <f>+MOP_Mes_Corriente!BX13*MOP_Mes_Constante!$BP$1</f>
        <v>97772416.190781057</v>
      </c>
      <c r="BY12" s="20">
        <f>+MOP_Mes_Corriente!BY13*MOP_Mes_Constante!$BP$1</f>
        <v>97772416.190781057</v>
      </c>
      <c r="BZ12" s="20">
        <f>+MOP_Mes_Corriente!BZ13*MOP_Mes_Constante!$BP$1</f>
        <v>97772416.190781057</v>
      </c>
      <c r="CA12" s="20">
        <f>+MOP_Mes_Corriente!CA13*MOP_Mes_Constante!$BP$1</f>
        <v>97772416.190781057</v>
      </c>
      <c r="CB12" s="20">
        <f t="shared" si="5"/>
        <v>97772416.190781057</v>
      </c>
      <c r="CC12" s="20">
        <f>+MOP_Mes_Corriente!CC13*MOP_Mes_Constante!$CC$1</f>
        <v>97408456.543080956</v>
      </c>
      <c r="CD12" s="20">
        <f>+MOP_Mes_Corriente!CD13*MOP_Mes_Constante!$CC$1</f>
        <v>97408456.543080956</v>
      </c>
      <c r="CE12" s="20">
        <f>+MOP_Mes_Corriente!CE13*MOP_Mes_Constante!$CC$1</f>
        <v>97408456.543080956</v>
      </c>
      <c r="CF12" s="20">
        <f>+MOP_Mes_Corriente!CF13*MOP_Mes_Constante!$CC$1</f>
        <v>97408456.543080956</v>
      </c>
      <c r="CG12" s="20">
        <f>+MOP_Mes_Corriente!CG13*MOP_Mes_Constante!$CC$1</f>
        <v>97408456.543080956</v>
      </c>
      <c r="CH12" s="20">
        <f>+MOP_Mes_Corriente!CH13*MOP_Mes_Constante!$CC$1</f>
        <v>97408456.543080956</v>
      </c>
      <c r="CI12" s="20">
        <f>+MOP_Mes_Corriente!CI13*MOP_Mes_Constante!$CC$1</f>
        <v>97408456.543080956</v>
      </c>
      <c r="CJ12" s="20">
        <f>+MOP_Mes_Corriente!CJ13*MOP_Mes_Constante!$CC$1</f>
        <v>97408456.543080956</v>
      </c>
      <c r="CK12" s="20">
        <f>+MOP_Mes_Corriente!CK13*MOP_Mes_Constante!$CC$1</f>
        <v>97408456.543080956</v>
      </c>
      <c r="CL12" s="20">
        <f>+MOP_Mes_Corriente!CL13*MOP_Mes_Constante!$CC$1</f>
        <v>97408456.543080956</v>
      </c>
      <c r="CM12" s="20">
        <f>+MOP_Mes_Corriente!CM13*MOP_Mes_Constante!$CC$1</f>
        <v>97408456.543080956</v>
      </c>
      <c r="CN12" s="20">
        <f>+MOP_Mes_Corriente!CN13*MOP_Mes_Constante!$CC$1</f>
        <v>97408456.543080956</v>
      </c>
      <c r="CO12" s="20">
        <f t="shared" si="6"/>
        <v>97408456.543080956</v>
      </c>
      <c r="CP12" s="20">
        <f>+MOP_Mes_Corriente!CP13*MOP_Mes_Constante!$CP$1</f>
        <v>106697404.29883988</v>
      </c>
      <c r="CQ12" s="20">
        <f>+MOP_Mes_Corriente!CQ13*MOP_Mes_Constante!$CP$1</f>
        <v>106697404.29883988</v>
      </c>
      <c r="CR12" s="20">
        <f>+MOP_Mes_Corriente!CR13*MOP_Mes_Constante!$CP$1</f>
        <v>106697404.29883988</v>
      </c>
      <c r="CS12" s="20">
        <f>+MOP_Mes_Corriente!CS13*MOP_Mes_Constante!$CP$1</f>
        <v>106697404.29883988</v>
      </c>
      <c r="CT12" s="20">
        <f>+MOP_Mes_Corriente!CT13*MOP_Mes_Constante!$CP$1</f>
        <v>106697404.29883988</v>
      </c>
      <c r="CU12" s="20">
        <f>+MOP_Mes_Corriente!CU13*MOP_Mes_Constante!$CP$1</f>
        <v>106697404.29883988</v>
      </c>
      <c r="CV12" s="20">
        <f>+MOP_Mes_Corriente!CV13*MOP_Mes_Constante!$CP$1</f>
        <v>106697404.29883988</v>
      </c>
      <c r="CW12" s="20">
        <f>+MOP_Mes_Corriente!CW13*MOP_Mes_Constante!$CP$1</f>
        <v>106697404.29883988</v>
      </c>
      <c r="CX12" s="20">
        <f>+MOP_Mes_Corriente!CX13*MOP_Mes_Constante!$CP$1</f>
        <v>106697404.29883988</v>
      </c>
      <c r="CY12" s="20">
        <f>+MOP_Mes_Corriente!CY13*MOP_Mes_Constante!$CP$1</f>
        <v>106697404.29883988</v>
      </c>
      <c r="CZ12" s="20">
        <f>+MOP_Mes_Corriente!CZ13*MOP_Mes_Constante!$CP$1</f>
        <v>106697404.29883988</v>
      </c>
      <c r="DA12" s="20">
        <f>+MOP_Mes_Corriente!DA13*MOP_Mes_Constante!$CP$1</f>
        <v>106697404.29883988</v>
      </c>
      <c r="DB12" s="20">
        <f t="shared" si="7"/>
        <v>106697404.29883988</v>
      </c>
      <c r="DC12" s="20">
        <f>+MOP_Mes_Corriente!DC13*MOP_Mes_Constante!$DC$1</f>
        <v>112457553.86318286</v>
      </c>
      <c r="DD12" s="20">
        <f>+MOP_Mes_Corriente!DD13*MOP_Mes_Constante!$DC$1</f>
        <v>112457553.86318286</v>
      </c>
      <c r="DE12" s="20">
        <f>+MOP_Mes_Corriente!DE13*MOP_Mes_Constante!$DC$1</f>
        <v>112457553.86318286</v>
      </c>
      <c r="DF12" s="20">
        <f>+MOP_Mes_Corriente!DF13*MOP_Mes_Constante!$DC$1</f>
        <v>112457553.86318286</v>
      </c>
      <c r="DG12" s="20">
        <f>+MOP_Mes_Corriente!DG13*MOP_Mes_Constante!$DC$1</f>
        <v>112457553.86318286</v>
      </c>
      <c r="DH12" s="20">
        <f>+MOP_Mes_Corriente!DH13*MOP_Mes_Constante!$DC$1</f>
        <v>112457553.86318286</v>
      </c>
      <c r="DI12" s="20">
        <f>+MOP_Mes_Corriente!DI13*MOP_Mes_Constante!$DC$1</f>
        <v>112457553.86318286</v>
      </c>
      <c r="DJ12" s="20">
        <f>+MOP_Mes_Corriente!DJ13*MOP_Mes_Constante!$DC$1</f>
        <v>112457553.86318286</v>
      </c>
      <c r="DK12" s="20">
        <f>+MOP_Mes_Corriente!DK13*MOP_Mes_Constante!$DC$1</f>
        <v>112457553.86318286</v>
      </c>
      <c r="DL12" s="20">
        <f>+MOP_Mes_Corriente!DL13*MOP_Mes_Constante!$DC$1</f>
        <v>112457553.86318286</v>
      </c>
      <c r="DM12" s="20">
        <f>+MOP_Mes_Corriente!DM13*MOP_Mes_Constante!$DC$1</f>
        <v>112457553.86318286</v>
      </c>
      <c r="DN12" s="20">
        <f>+MOP_Mes_Corriente!DN13*MOP_Mes_Constante!$DC$1</f>
        <v>112457553.86318286</v>
      </c>
      <c r="DO12" s="20">
        <f t="shared" si="8"/>
        <v>112457553.86318286</v>
      </c>
      <c r="DP12" s="20">
        <f>+MOP_Mes_Corriente!DP13*MOP_Mes_Constante!$DP$1</f>
        <v>124541209.14014253</v>
      </c>
      <c r="DQ12" s="20">
        <f>+MOP_Mes_Corriente!DQ13*MOP_Mes_Constante!$DP$1</f>
        <v>124541209.14014253</v>
      </c>
      <c r="DR12" s="20">
        <f>+MOP_Mes_Corriente!DR13*MOP_Mes_Constante!$DP$1</f>
        <v>124541209.14014253</v>
      </c>
      <c r="DS12" s="20">
        <f>+MOP_Mes_Corriente!DS13*MOP_Mes_Constante!$DP$1</f>
        <v>124541209.14014253</v>
      </c>
      <c r="DT12" s="20">
        <f>+MOP_Mes_Corriente!DT13*MOP_Mes_Constante!$DP$1</f>
        <v>124541209.14014253</v>
      </c>
      <c r="DU12" s="20">
        <f>+MOP_Mes_Corriente!DU13*MOP_Mes_Constante!$DP$1</f>
        <v>124541209.14014253</v>
      </c>
      <c r="DV12" s="20">
        <f>+MOP_Mes_Corriente!DV13*MOP_Mes_Constante!$DP$1</f>
        <v>124541209.14014253</v>
      </c>
      <c r="DW12" s="20">
        <f>+MOP_Mes_Corriente!DW13*MOP_Mes_Constante!$DP$1</f>
        <v>124541209.14014253</v>
      </c>
      <c r="DX12" s="20">
        <f>+MOP_Mes_Corriente!DX13*MOP_Mes_Constante!$DP$1</f>
        <v>124541209.14014253</v>
      </c>
      <c r="DY12" s="20">
        <f>+MOP_Mes_Corriente!DY13*MOP_Mes_Constante!$DP$1</f>
        <v>124541209.14014253</v>
      </c>
      <c r="DZ12" s="20">
        <f>+MOP_Mes_Corriente!DZ13*MOP_Mes_Constante!$DP$1</f>
        <v>124541209.14014253</v>
      </c>
      <c r="EA12" s="20">
        <f>+MOP_Mes_Corriente!EA13*MOP_Mes_Constante!$DP$1</f>
        <v>124541209.14014253</v>
      </c>
      <c r="EB12" s="20">
        <f t="shared" si="9"/>
        <v>124541209.14014253</v>
      </c>
      <c r="EC12" s="20">
        <f>+MOP_Mes_Corriente!EC13*MOP_Mes_Constante!$EC$1</f>
        <v>131498780.60689259</v>
      </c>
      <c r="ED12" s="20">
        <f>+MOP_Mes_Corriente!ED13*MOP_Mes_Constante!$EC$1</f>
        <v>131498780.60689259</v>
      </c>
      <c r="EE12" s="20">
        <f>+MOP_Mes_Corriente!EE13*MOP_Mes_Constante!$EC$1</f>
        <v>131498780.60689259</v>
      </c>
      <c r="EF12" s="20">
        <f>+MOP_Mes_Corriente!EF13*MOP_Mes_Constante!$EC$1</f>
        <v>131498780.60689259</v>
      </c>
      <c r="EG12" s="20">
        <f>+MOP_Mes_Corriente!EG13*MOP_Mes_Constante!$EC$1</f>
        <v>131498780.60689259</v>
      </c>
      <c r="EH12" s="20">
        <f>+MOP_Mes_Corriente!EH13*MOP_Mes_Constante!$EC$1</f>
        <v>131498780.60689259</v>
      </c>
      <c r="EI12" s="20">
        <f>+MOP_Mes_Corriente!EI13*MOP_Mes_Constante!$EC$1</f>
        <v>131498780.60689259</v>
      </c>
      <c r="EJ12" s="20">
        <f>+MOP_Mes_Corriente!EJ13*MOP_Mes_Constante!$EC$1</f>
        <v>131498780.60689259</v>
      </c>
      <c r="EK12" s="20">
        <f>+MOP_Mes_Corriente!EK13*MOP_Mes_Constante!$EC$1</f>
        <v>131498780.60689259</v>
      </c>
      <c r="EL12" s="20">
        <f>+MOP_Mes_Corriente!EL13*MOP_Mes_Constante!$EC$1</f>
        <v>131498780.60689259</v>
      </c>
      <c r="EM12" s="20">
        <f>+MOP_Mes_Corriente!EM13*MOP_Mes_Constante!$EC$1</f>
        <v>131498780.60689259</v>
      </c>
      <c r="EN12" s="20">
        <f>+MOP_Mes_Corriente!EN13*MOP_Mes_Constante!$EC$1</f>
        <v>131498780.60689259</v>
      </c>
      <c r="EO12" s="20">
        <f t="shared" si="10"/>
        <v>131498780.60689259</v>
      </c>
      <c r="EP12" s="20">
        <f>+MOP_Mes_Corriente!EP13*MOP_Mes_Constante!$EP$1</f>
        <v>125417585</v>
      </c>
      <c r="EQ12" s="20">
        <f>+MOP_Mes_Corriente!EQ13*MOP_Mes_Constante!$EP$1</f>
        <v>125417585</v>
      </c>
      <c r="ER12" s="20">
        <f>+MOP_Mes_Corriente!ER13*MOP_Mes_Constante!$EP$1</f>
        <v>125417585</v>
      </c>
      <c r="ES12" s="20">
        <f>+MOP_Mes_Corriente!ES13*MOP_Mes_Constante!$EP$1</f>
        <v>125417585</v>
      </c>
      <c r="ET12" s="20">
        <f>+MOP_Mes_Corriente!ET13*MOP_Mes_Constante!$EP$1</f>
        <v>125417585</v>
      </c>
      <c r="EU12" s="20">
        <f>+MOP_Mes_Corriente!EU13*MOP_Mes_Constante!$EP$1</f>
        <v>125417585</v>
      </c>
      <c r="EV12" s="20">
        <f>+MOP_Mes_Corriente!EV13*MOP_Mes_Constante!$EP$1</f>
        <v>125417585</v>
      </c>
      <c r="EW12" s="20">
        <f>+MOP_Mes_Corriente!EW13*MOP_Mes_Constante!$EP$1</f>
        <v>125417585</v>
      </c>
      <c r="EX12" s="20">
        <f>+MOP_Mes_Corriente!EX13*MOP_Mes_Constante!$EP$1</f>
        <v>125417585</v>
      </c>
      <c r="EY12" s="20">
        <f>+MOP_Mes_Corriente!EY13*MOP_Mes_Constante!$EP$1</f>
        <v>125417585</v>
      </c>
      <c r="EZ12" s="20">
        <f>+MOP_Mes_Corriente!EZ13*MOP_Mes_Constante!$EP$1</f>
        <v>125417585</v>
      </c>
      <c r="FA12" s="20">
        <f>+MOP_Mes_Corriente!FA13*MOP_Mes_Constante!$EP$1</f>
        <v>125417585</v>
      </c>
      <c r="FB12" s="20">
        <f t="shared" si="11"/>
        <v>125417585</v>
      </c>
      <c r="FC12" s="20">
        <f>+MOP_Mes_Corriente!FC13*MOP_Mes_Constante!$FC$1</f>
        <v>109909690</v>
      </c>
      <c r="FD12" s="20">
        <f>+MOP_Mes_Corriente!FD13*MOP_Mes_Constante!$FC$1</f>
        <v>109909690</v>
      </c>
      <c r="FE12" s="20">
        <f>+MOP_Mes_Corriente!FE13*MOP_Mes_Constante!$FC$1</f>
        <v>109909690</v>
      </c>
      <c r="FF12" s="20">
        <f>+MOP_Mes_Corriente!FF13*MOP_Mes_Constante!$FC$1</f>
        <v>109909690</v>
      </c>
      <c r="FG12" s="20">
        <f>+MOP_Mes_Corriente!FG13*MOP_Mes_Constante!$FC$1</f>
        <v>109909690</v>
      </c>
      <c r="FH12" s="20">
        <f>+MOP_Mes_Corriente!FH13*MOP_Mes_Constante!$FC$1</f>
        <v>109909690</v>
      </c>
      <c r="FI12" s="20">
        <f>+MOP_Mes_Corriente!FI13*MOP_Mes_Constante!$FC$1</f>
        <v>109909690</v>
      </c>
      <c r="FJ12" s="10"/>
      <c r="FK12" s="10"/>
      <c r="FL12" s="10"/>
      <c r="FM12" s="10"/>
      <c r="FN12" s="10"/>
      <c r="FO12" s="20">
        <f t="shared" si="12"/>
        <v>109909690</v>
      </c>
    </row>
    <row r="13" spans="1:171" ht="27.75" customHeight="1">
      <c r="A13" s="10"/>
      <c r="B13" s="19" t="s">
        <v>47</v>
      </c>
      <c r="C13" s="20">
        <f>+MOP_Mes_Corriente!C14*MOP_Mes_Constante!$C$1</f>
        <v>66897104.521726243</v>
      </c>
      <c r="D13" s="20">
        <f>+MOP_Mes_Corriente!D14*MOP_Mes_Constante!$C$1</f>
        <v>66897104.521726243</v>
      </c>
      <c r="E13" s="20">
        <f>+MOP_Mes_Corriente!E14*MOP_Mes_Constante!$C$1</f>
        <v>66897104.521726243</v>
      </c>
      <c r="F13" s="20">
        <f>+MOP_Mes_Corriente!F14*MOP_Mes_Constante!$C$1</f>
        <v>66897104.521726243</v>
      </c>
      <c r="G13" s="20">
        <f>+MOP_Mes_Corriente!G14*MOP_Mes_Constante!$C$1</f>
        <v>66897104.521726243</v>
      </c>
      <c r="H13" s="20">
        <f>+MOP_Mes_Corriente!H14*MOP_Mes_Constante!$C$1</f>
        <v>66897104.521726243</v>
      </c>
      <c r="I13" s="20">
        <f>+MOP_Mes_Corriente!I14*MOP_Mes_Constante!$C$1</f>
        <v>66897104.521726243</v>
      </c>
      <c r="J13" s="20">
        <f>+MOP_Mes_Corriente!J14*MOP_Mes_Constante!$C$1</f>
        <v>66897104.521726243</v>
      </c>
      <c r="K13" s="20">
        <f>+MOP_Mes_Corriente!K14*MOP_Mes_Constante!$C$1</f>
        <v>66897104.521726243</v>
      </c>
      <c r="L13" s="20">
        <f>+MOP_Mes_Corriente!L14*MOP_Mes_Constante!$C$1</f>
        <v>66897104.521726243</v>
      </c>
      <c r="M13" s="20">
        <f>+MOP_Mes_Corriente!M14*MOP_Mes_Constante!$C$1</f>
        <v>66897104.521726243</v>
      </c>
      <c r="N13" s="20">
        <f>+MOP_Mes_Corriente!N14*MOP_Mes_Constante!$C$1</f>
        <v>66897104.521726243</v>
      </c>
      <c r="O13" s="20">
        <f t="shared" si="0"/>
        <v>66897104.521726243</v>
      </c>
      <c r="P13" s="20">
        <f>+MOP_Mes_Corriente!P14*MOP_Mes_Constante!$P$1</f>
        <v>63655487.570393495</v>
      </c>
      <c r="Q13" s="20">
        <f>+MOP_Mes_Corriente!Q14*MOP_Mes_Constante!$P$1</f>
        <v>63655487.570393495</v>
      </c>
      <c r="R13" s="20">
        <f>+MOP_Mes_Corriente!R14*MOP_Mes_Constante!$P$1</f>
        <v>63655487.570393495</v>
      </c>
      <c r="S13" s="20">
        <f>+MOP_Mes_Corriente!S14*MOP_Mes_Constante!$P$1</f>
        <v>63655487.570393495</v>
      </c>
      <c r="T13" s="20">
        <f>+MOP_Mes_Corriente!T14*MOP_Mes_Constante!$P$1</f>
        <v>63655487.570393495</v>
      </c>
      <c r="U13" s="20">
        <f>+MOP_Mes_Corriente!U14*MOP_Mes_Constante!$P$1</f>
        <v>63655487.570393495</v>
      </c>
      <c r="V13" s="20">
        <f>+MOP_Mes_Corriente!V14*MOP_Mes_Constante!$P$1</f>
        <v>63655487.570393495</v>
      </c>
      <c r="W13" s="20">
        <f>+MOP_Mes_Corriente!W14*MOP_Mes_Constante!$P$1</f>
        <v>63655487.570393495</v>
      </c>
      <c r="X13" s="20">
        <f>+MOP_Mes_Corriente!X14*MOP_Mes_Constante!$P$1</f>
        <v>63655487.570393495</v>
      </c>
      <c r="Y13" s="20">
        <f>+MOP_Mes_Corriente!Y14*MOP_Mes_Constante!$P$1</f>
        <v>63655487.570393495</v>
      </c>
      <c r="Z13" s="20">
        <f>+MOP_Mes_Corriente!Z14*MOP_Mes_Constante!$P$1</f>
        <v>63655487.570393495</v>
      </c>
      <c r="AA13" s="20">
        <f>+MOP_Mes_Corriente!AA14*MOP_Mes_Constante!$P$1</f>
        <v>63655487.570393495</v>
      </c>
      <c r="AB13" s="20">
        <f t="shared" si="1"/>
        <v>63655487.570393495</v>
      </c>
      <c r="AC13" s="20">
        <f>+MOP_Mes_Corriente!AC14*MOP_Mes_Constante!$AC$1</f>
        <v>66431632.22050076</v>
      </c>
      <c r="AD13" s="20">
        <f>+MOP_Mes_Corriente!AD14*MOP_Mes_Constante!$AC$1</f>
        <v>66431632.22050076</v>
      </c>
      <c r="AE13" s="20">
        <f>+MOP_Mes_Corriente!AE14*MOP_Mes_Constante!$AC$1</f>
        <v>66431632.22050076</v>
      </c>
      <c r="AF13" s="20">
        <f>+MOP_Mes_Corriente!AF14*MOP_Mes_Constante!$AC$1</f>
        <v>66431632.22050076</v>
      </c>
      <c r="AG13" s="20">
        <f>+MOP_Mes_Corriente!AG14*MOP_Mes_Constante!$AC$1</f>
        <v>66431632.22050076</v>
      </c>
      <c r="AH13" s="20">
        <f>+MOP_Mes_Corriente!AH14*MOP_Mes_Constante!$AC$1</f>
        <v>66431632.22050076</v>
      </c>
      <c r="AI13" s="20">
        <f>+MOP_Mes_Corriente!AI14*MOP_Mes_Constante!$AC$1</f>
        <v>66431632.22050076</v>
      </c>
      <c r="AJ13" s="20">
        <f>+MOP_Mes_Corriente!AJ14*MOP_Mes_Constante!$AC$1</f>
        <v>66431632.22050076</v>
      </c>
      <c r="AK13" s="20">
        <f>+MOP_Mes_Corriente!AK14*MOP_Mes_Constante!$AC$1</f>
        <v>66431632.22050076</v>
      </c>
      <c r="AL13" s="20">
        <f>+MOP_Mes_Corriente!AL14*MOP_Mes_Constante!$AC$1</f>
        <v>66431632.22050076</v>
      </c>
      <c r="AM13" s="20">
        <f>+MOP_Mes_Corriente!AM14*MOP_Mes_Constante!$AC$1</f>
        <v>66431632.22050076</v>
      </c>
      <c r="AN13" s="20">
        <f>+MOP_Mes_Corriente!AN14*MOP_Mes_Constante!$AC$1</f>
        <v>66431632.22050076</v>
      </c>
      <c r="AO13" s="20">
        <f t="shared" si="2"/>
        <v>66431632.22050076</v>
      </c>
      <c r="AP13" s="20">
        <f>+MOP_Mes_Corriente!AP14*MOP_Mes_Constante!$AP$1</f>
        <v>66906708.09170837</v>
      </c>
      <c r="AQ13" s="20">
        <f>+MOP_Mes_Corriente!AQ14*MOP_Mes_Constante!$AP$1</f>
        <v>66906708.09170837</v>
      </c>
      <c r="AR13" s="20">
        <f>+MOP_Mes_Corriente!AR14*MOP_Mes_Constante!$AP$1</f>
        <v>66906708.09170837</v>
      </c>
      <c r="AS13" s="20">
        <f>+MOP_Mes_Corriente!AS14*MOP_Mes_Constante!$AP$1</f>
        <v>66906708.09170837</v>
      </c>
      <c r="AT13" s="20">
        <f>+MOP_Mes_Corriente!AT14*MOP_Mes_Constante!$AP$1</f>
        <v>66906708.09170837</v>
      </c>
      <c r="AU13" s="20">
        <f>+MOP_Mes_Corriente!AU14*MOP_Mes_Constante!$AP$1</f>
        <v>66906708.09170837</v>
      </c>
      <c r="AV13" s="20">
        <f>+MOP_Mes_Corriente!AV14*MOP_Mes_Constante!$AP$1</f>
        <v>66906708.09170837</v>
      </c>
      <c r="AW13" s="20">
        <f>+MOP_Mes_Corriente!AW14*MOP_Mes_Constante!$AP$1</f>
        <v>66906708.09170837</v>
      </c>
      <c r="AX13" s="20">
        <f>+MOP_Mes_Corriente!AX14*MOP_Mes_Constante!$AP$1</f>
        <v>66906708.09170837</v>
      </c>
      <c r="AY13" s="20">
        <f>+MOP_Mes_Corriente!AY14*MOP_Mes_Constante!$AP$1</f>
        <v>66906708.09170837</v>
      </c>
      <c r="AZ13" s="20">
        <f>+MOP_Mes_Corriente!AZ14*MOP_Mes_Constante!$AP$1</f>
        <v>66906708.09170837</v>
      </c>
      <c r="BA13" s="20">
        <f>+MOP_Mes_Corriente!BA14*MOP_Mes_Constante!$AP$1</f>
        <v>66906708.09170837</v>
      </c>
      <c r="BB13" s="20">
        <f t="shared" si="3"/>
        <v>66906708.09170837</v>
      </c>
      <c r="BC13" s="20">
        <f>+MOP_Mes_Corriente!BC14*MOP_Mes_Constante!$BC$1</f>
        <v>51297787.569036014</v>
      </c>
      <c r="BD13" s="20">
        <f>+MOP_Mes_Corriente!BD14*MOP_Mes_Constante!$BC$1</f>
        <v>51297787.569036014</v>
      </c>
      <c r="BE13" s="20">
        <f>+MOP_Mes_Corriente!BE14*MOP_Mes_Constante!$BC$1</f>
        <v>51297787.569036014</v>
      </c>
      <c r="BF13" s="20">
        <f>+MOP_Mes_Corriente!BF14*MOP_Mes_Constante!$BC$1</f>
        <v>51297787.569036014</v>
      </c>
      <c r="BG13" s="20">
        <f>+MOP_Mes_Corriente!BG14*MOP_Mes_Constante!$BC$1</f>
        <v>51297787.569036014</v>
      </c>
      <c r="BH13" s="20">
        <f>+MOP_Mes_Corriente!BH14*MOP_Mes_Constante!$BC$1</f>
        <v>51297787.569036014</v>
      </c>
      <c r="BI13" s="20">
        <f>+MOP_Mes_Corriente!BI14*MOP_Mes_Constante!$BC$1</f>
        <v>51297787.569036014</v>
      </c>
      <c r="BJ13" s="20">
        <f>+MOP_Mes_Corriente!BJ14*MOP_Mes_Constante!$BC$1</f>
        <v>51297787.569036014</v>
      </c>
      <c r="BK13" s="20">
        <f>+MOP_Mes_Corriente!BK14*MOP_Mes_Constante!$BC$1</f>
        <v>51297787.569036014</v>
      </c>
      <c r="BL13" s="20">
        <f>+MOP_Mes_Corriente!BL14*MOP_Mes_Constante!$BC$1</f>
        <v>51297787.569036014</v>
      </c>
      <c r="BM13" s="20">
        <f>+MOP_Mes_Corriente!BM14*MOP_Mes_Constante!$BC$1</f>
        <v>51297787.569036014</v>
      </c>
      <c r="BN13" s="20">
        <f>+MOP_Mes_Corriente!BN14*MOP_Mes_Constante!$BC$1</f>
        <v>51297787.569036014</v>
      </c>
      <c r="BO13" s="20">
        <f t="shared" si="4"/>
        <v>51297787.569036014</v>
      </c>
      <c r="BP13" s="20">
        <f>+MOP_Mes_Corriente!BP14*MOP_Mes_Constante!$BP$1</f>
        <v>74241539.061971843</v>
      </c>
      <c r="BQ13" s="20">
        <f>+MOP_Mes_Corriente!BQ14*MOP_Mes_Constante!$BP$1</f>
        <v>74241539.061971843</v>
      </c>
      <c r="BR13" s="20">
        <f>+MOP_Mes_Corriente!BR14*MOP_Mes_Constante!$BP$1</f>
        <v>74241539.061971843</v>
      </c>
      <c r="BS13" s="20">
        <f>+MOP_Mes_Corriente!BS14*MOP_Mes_Constante!$BP$1</f>
        <v>74241539.061971843</v>
      </c>
      <c r="BT13" s="20">
        <f>+MOP_Mes_Corriente!BT14*MOP_Mes_Constante!$BP$1</f>
        <v>74241539.061971843</v>
      </c>
      <c r="BU13" s="20">
        <f>+MOP_Mes_Corriente!BU14*MOP_Mes_Constante!$BP$1</f>
        <v>74241539.061971843</v>
      </c>
      <c r="BV13" s="20">
        <f>+MOP_Mes_Corriente!BV14*MOP_Mes_Constante!$BP$1</f>
        <v>74241539.061971843</v>
      </c>
      <c r="BW13" s="20">
        <f>+MOP_Mes_Corriente!BW14*MOP_Mes_Constante!$BP$1</f>
        <v>74241539.061971843</v>
      </c>
      <c r="BX13" s="20">
        <f>+MOP_Mes_Corriente!BX14*MOP_Mes_Constante!$BP$1</f>
        <v>74241539.061971843</v>
      </c>
      <c r="BY13" s="20">
        <f>+MOP_Mes_Corriente!BY14*MOP_Mes_Constante!$BP$1</f>
        <v>74241539.061971843</v>
      </c>
      <c r="BZ13" s="20">
        <f>+MOP_Mes_Corriente!BZ14*MOP_Mes_Constante!$BP$1</f>
        <v>74241539.061971843</v>
      </c>
      <c r="CA13" s="20">
        <f>+MOP_Mes_Corriente!CA14*MOP_Mes_Constante!$BP$1</f>
        <v>74241539.061971843</v>
      </c>
      <c r="CB13" s="20">
        <f t="shared" si="5"/>
        <v>74241539.061971843</v>
      </c>
      <c r="CC13" s="20">
        <f>+MOP_Mes_Corriente!CC14*MOP_Mes_Constante!$CC$1</f>
        <v>79584151.271167487</v>
      </c>
      <c r="CD13" s="20">
        <f>+MOP_Mes_Corriente!CD14*MOP_Mes_Constante!$CC$1</f>
        <v>79584151.271167487</v>
      </c>
      <c r="CE13" s="20">
        <f>+MOP_Mes_Corriente!CE14*MOP_Mes_Constante!$CC$1</f>
        <v>79584151.271167487</v>
      </c>
      <c r="CF13" s="20">
        <f>+MOP_Mes_Corriente!CF14*MOP_Mes_Constante!$CC$1</f>
        <v>79584151.271167487</v>
      </c>
      <c r="CG13" s="20">
        <f>+MOP_Mes_Corriente!CG14*MOP_Mes_Constante!$CC$1</f>
        <v>79584151.271167487</v>
      </c>
      <c r="CH13" s="20">
        <f>+MOP_Mes_Corriente!CH14*MOP_Mes_Constante!$CC$1</f>
        <v>79584151.271167487</v>
      </c>
      <c r="CI13" s="20">
        <f>+MOP_Mes_Corriente!CI14*MOP_Mes_Constante!$CC$1</f>
        <v>79584151.271167487</v>
      </c>
      <c r="CJ13" s="20">
        <f>+MOP_Mes_Corriente!CJ14*MOP_Mes_Constante!$CC$1</f>
        <v>79584151.271167487</v>
      </c>
      <c r="CK13" s="20">
        <f>+MOP_Mes_Corriente!CK14*MOP_Mes_Constante!$CC$1</f>
        <v>79584151.271167487</v>
      </c>
      <c r="CL13" s="20">
        <f>+MOP_Mes_Corriente!CL14*MOP_Mes_Constante!$CC$1</f>
        <v>79584151.271167487</v>
      </c>
      <c r="CM13" s="20">
        <f>+MOP_Mes_Corriente!CM14*MOP_Mes_Constante!$CC$1</f>
        <v>79584151.271167487</v>
      </c>
      <c r="CN13" s="20">
        <f>+MOP_Mes_Corriente!CN14*MOP_Mes_Constante!$CC$1</f>
        <v>79584151.271167487</v>
      </c>
      <c r="CO13" s="20">
        <f t="shared" si="6"/>
        <v>79584151.271167487</v>
      </c>
      <c r="CP13" s="20">
        <f>+MOP_Mes_Corriente!CP14*MOP_Mes_Constante!$CP$1</f>
        <v>135592032.65011597</v>
      </c>
      <c r="CQ13" s="20">
        <f>+MOP_Mes_Corriente!CQ14*MOP_Mes_Constante!$CP$1</f>
        <v>135592032.65011597</v>
      </c>
      <c r="CR13" s="20">
        <f>+MOP_Mes_Corriente!CR14*MOP_Mes_Constante!$CP$1</f>
        <v>135592032.65011597</v>
      </c>
      <c r="CS13" s="20">
        <f>+MOP_Mes_Corriente!CS14*MOP_Mes_Constante!$CP$1</f>
        <v>135592032.65011597</v>
      </c>
      <c r="CT13" s="20">
        <f>+MOP_Mes_Corriente!CT14*MOP_Mes_Constante!$CP$1</f>
        <v>135592032.65011597</v>
      </c>
      <c r="CU13" s="20">
        <f>+MOP_Mes_Corriente!CU14*MOP_Mes_Constante!$CP$1</f>
        <v>135592032.65011597</v>
      </c>
      <c r="CV13" s="20">
        <f>+MOP_Mes_Corriente!CV14*MOP_Mes_Constante!$CP$1</f>
        <v>135592032.65011597</v>
      </c>
      <c r="CW13" s="20">
        <f>+MOP_Mes_Corriente!CW14*MOP_Mes_Constante!$CP$1</f>
        <v>135592032.65011597</v>
      </c>
      <c r="CX13" s="20">
        <f>+MOP_Mes_Corriente!CX14*MOP_Mes_Constante!$CP$1</f>
        <v>135592032.65011597</v>
      </c>
      <c r="CY13" s="20">
        <f>+MOP_Mes_Corriente!CY14*MOP_Mes_Constante!$CP$1</f>
        <v>135592032.65011597</v>
      </c>
      <c r="CZ13" s="20">
        <f>+MOP_Mes_Corriente!CZ14*MOP_Mes_Constante!$CP$1</f>
        <v>135592032.65011597</v>
      </c>
      <c r="DA13" s="20">
        <f>+MOP_Mes_Corriente!DA14*MOP_Mes_Constante!$CP$1</f>
        <v>135592032.65011597</v>
      </c>
      <c r="DB13" s="20">
        <f t="shared" si="7"/>
        <v>135592032.65011597</v>
      </c>
      <c r="DC13" s="20">
        <f>+MOP_Mes_Corriente!DC14*MOP_Mes_Constante!$DC$1</f>
        <v>132437541.51074998</v>
      </c>
      <c r="DD13" s="20">
        <f>+MOP_Mes_Corriente!DD14*MOP_Mes_Constante!$DC$1</f>
        <v>132437541.51074998</v>
      </c>
      <c r="DE13" s="20">
        <f>+MOP_Mes_Corriente!DE14*MOP_Mes_Constante!$DC$1</f>
        <v>132437541.51074998</v>
      </c>
      <c r="DF13" s="20">
        <f>+MOP_Mes_Corriente!DF14*MOP_Mes_Constante!$DC$1</f>
        <v>132437541.51074998</v>
      </c>
      <c r="DG13" s="20">
        <f>+MOP_Mes_Corriente!DG14*MOP_Mes_Constante!$DC$1</f>
        <v>132437541.51074998</v>
      </c>
      <c r="DH13" s="20">
        <f>+MOP_Mes_Corriente!DH14*MOP_Mes_Constante!$DC$1</f>
        <v>132437541.51074998</v>
      </c>
      <c r="DI13" s="20">
        <f>+MOP_Mes_Corriente!DI14*MOP_Mes_Constante!$DC$1</f>
        <v>132437541.51074998</v>
      </c>
      <c r="DJ13" s="20">
        <f>+MOP_Mes_Corriente!DJ14*MOP_Mes_Constante!$DC$1</f>
        <v>132437541.51074998</v>
      </c>
      <c r="DK13" s="20">
        <f>+MOP_Mes_Corriente!DK14*MOP_Mes_Constante!$DC$1</f>
        <v>132437541.51074998</v>
      </c>
      <c r="DL13" s="20">
        <f>+MOP_Mes_Corriente!DL14*MOP_Mes_Constante!$DC$1</f>
        <v>132437541.51074998</v>
      </c>
      <c r="DM13" s="20">
        <f>+MOP_Mes_Corriente!DM14*MOP_Mes_Constante!$DC$1</f>
        <v>132437541.51074998</v>
      </c>
      <c r="DN13" s="20">
        <f>+MOP_Mes_Corriente!DN14*MOP_Mes_Constante!$DC$1</f>
        <v>132437541.51074998</v>
      </c>
      <c r="DO13" s="20">
        <f t="shared" si="8"/>
        <v>132437541.51074998</v>
      </c>
      <c r="DP13" s="20">
        <f>+MOP_Mes_Corriente!DP14*MOP_Mes_Constante!$DP$1</f>
        <v>146326938.36520192</v>
      </c>
      <c r="DQ13" s="20">
        <f>+MOP_Mes_Corriente!DQ14*MOP_Mes_Constante!$DP$1</f>
        <v>146326938.36520192</v>
      </c>
      <c r="DR13" s="20">
        <f>+MOP_Mes_Corriente!DR14*MOP_Mes_Constante!$DP$1</f>
        <v>146326938.36520192</v>
      </c>
      <c r="DS13" s="20">
        <f>+MOP_Mes_Corriente!DS14*MOP_Mes_Constante!$DP$1</f>
        <v>146326938.36520192</v>
      </c>
      <c r="DT13" s="20">
        <f>+MOP_Mes_Corriente!DT14*MOP_Mes_Constante!$DP$1</f>
        <v>146326938.36520192</v>
      </c>
      <c r="DU13" s="20">
        <f>+MOP_Mes_Corriente!DU14*MOP_Mes_Constante!$DP$1</f>
        <v>146326938.36520192</v>
      </c>
      <c r="DV13" s="20">
        <f>+MOP_Mes_Corriente!DV14*MOP_Mes_Constante!$DP$1</f>
        <v>146326938.36520192</v>
      </c>
      <c r="DW13" s="20">
        <f>+MOP_Mes_Corriente!DW14*MOP_Mes_Constante!$DP$1</f>
        <v>146326938.36520192</v>
      </c>
      <c r="DX13" s="20">
        <f>+MOP_Mes_Corriente!DX14*MOP_Mes_Constante!$DP$1</f>
        <v>146326938.36520192</v>
      </c>
      <c r="DY13" s="20">
        <f>+MOP_Mes_Corriente!DY14*MOP_Mes_Constante!$DP$1</f>
        <v>146326938.36520192</v>
      </c>
      <c r="DZ13" s="20">
        <f>+MOP_Mes_Corriente!DZ14*MOP_Mes_Constante!$DP$1</f>
        <v>146326938.36520192</v>
      </c>
      <c r="EA13" s="20">
        <f>+MOP_Mes_Corriente!EA14*MOP_Mes_Constante!$DP$1</f>
        <v>146326938.36520192</v>
      </c>
      <c r="EB13" s="20">
        <f t="shared" si="9"/>
        <v>146326938.36520192</v>
      </c>
      <c r="EC13" s="20">
        <f>+MOP_Mes_Corriente!EC14*MOP_Mes_Constante!$EC$1</f>
        <v>142488652.50085208</v>
      </c>
      <c r="ED13" s="20">
        <f>+MOP_Mes_Corriente!ED14*MOP_Mes_Constante!$EC$1</f>
        <v>142488652.50085208</v>
      </c>
      <c r="EE13" s="20">
        <f>+MOP_Mes_Corriente!EE14*MOP_Mes_Constante!$EC$1</f>
        <v>142488652.50085208</v>
      </c>
      <c r="EF13" s="20">
        <f>+MOP_Mes_Corriente!EF14*MOP_Mes_Constante!$EC$1</f>
        <v>142488652.50085208</v>
      </c>
      <c r="EG13" s="20">
        <f>+MOP_Mes_Corriente!EG14*MOP_Mes_Constante!$EC$1</f>
        <v>142488652.50085208</v>
      </c>
      <c r="EH13" s="20">
        <f>+MOP_Mes_Corriente!EH14*MOP_Mes_Constante!$EC$1</f>
        <v>142488652.50085208</v>
      </c>
      <c r="EI13" s="20">
        <f>+MOP_Mes_Corriente!EI14*MOP_Mes_Constante!$EC$1</f>
        <v>142488652.50085208</v>
      </c>
      <c r="EJ13" s="20">
        <f>+MOP_Mes_Corriente!EJ14*MOP_Mes_Constante!$EC$1</f>
        <v>142488652.50085208</v>
      </c>
      <c r="EK13" s="20">
        <f>+MOP_Mes_Corriente!EK14*MOP_Mes_Constante!$EC$1</f>
        <v>142488652.50085208</v>
      </c>
      <c r="EL13" s="20">
        <f>+MOP_Mes_Corriente!EL14*MOP_Mes_Constante!$EC$1</f>
        <v>142488652.50085208</v>
      </c>
      <c r="EM13" s="20">
        <f>+MOP_Mes_Corriente!EM14*MOP_Mes_Constante!$EC$1</f>
        <v>142488652.50085208</v>
      </c>
      <c r="EN13" s="20">
        <f>+MOP_Mes_Corriente!EN14*MOP_Mes_Constante!$EC$1</f>
        <v>142488652.50085208</v>
      </c>
      <c r="EO13" s="20">
        <f t="shared" si="10"/>
        <v>142488652.50085208</v>
      </c>
      <c r="EP13" s="20">
        <f>+MOP_Mes_Corriente!EP14*MOP_Mes_Constante!$EP$1</f>
        <v>141825431</v>
      </c>
      <c r="EQ13" s="20">
        <f>+MOP_Mes_Corriente!EQ14*MOP_Mes_Constante!$EP$1</f>
        <v>141825431</v>
      </c>
      <c r="ER13" s="20">
        <f>+MOP_Mes_Corriente!ER14*MOP_Mes_Constante!$EP$1</f>
        <v>141825431</v>
      </c>
      <c r="ES13" s="20">
        <f>+MOP_Mes_Corriente!ES14*MOP_Mes_Constante!$EP$1</f>
        <v>141825431</v>
      </c>
      <c r="ET13" s="20">
        <f>+MOP_Mes_Corriente!ET14*MOP_Mes_Constante!$EP$1</f>
        <v>141825431</v>
      </c>
      <c r="EU13" s="20">
        <f>+MOP_Mes_Corriente!EU14*MOP_Mes_Constante!$EP$1</f>
        <v>141825431</v>
      </c>
      <c r="EV13" s="20">
        <f>+MOP_Mes_Corriente!EV14*MOP_Mes_Constante!$EP$1</f>
        <v>141825431</v>
      </c>
      <c r="EW13" s="20">
        <f>+MOP_Mes_Corriente!EW14*MOP_Mes_Constante!$EP$1</f>
        <v>141825431</v>
      </c>
      <c r="EX13" s="20">
        <f>+MOP_Mes_Corriente!EX14*MOP_Mes_Constante!$EP$1</f>
        <v>141825431</v>
      </c>
      <c r="EY13" s="20">
        <f>+MOP_Mes_Corriente!EY14*MOP_Mes_Constante!$EP$1</f>
        <v>141825431</v>
      </c>
      <c r="EZ13" s="20">
        <f>+MOP_Mes_Corriente!EZ14*MOP_Mes_Constante!$EP$1</f>
        <v>141825431</v>
      </c>
      <c r="FA13" s="20">
        <f>+MOP_Mes_Corriente!FA14*MOP_Mes_Constante!$EP$1</f>
        <v>141825431</v>
      </c>
      <c r="FB13" s="20">
        <f t="shared" si="11"/>
        <v>141825431</v>
      </c>
      <c r="FC13" s="20">
        <f>+MOP_Mes_Corriente!FC14*MOP_Mes_Constante!$FC$1</f>
        <v>127610750</v>
      </c>
      <c r="FD13" s="20">
        <f>+MOP_Mes_Corriente!FD14*MOP_Mes_Constante!$FC$1</f>
        <v>127610750</v>
      </c>
      <c r="FE13" s="20">
        <f>+MOP_Mes_Corriente!FE14*MOP_Mes_Constante!$FC$1</f>
        <v>127610750</v>
      </c>
      <c r="FF13" s="20">
        <f>+MOP_Mes_Corriente!FF14*MOP_Mes_Constante!$FC$1</f>
        <v>127610750</v>
      </c>
      <c r="FG13" s="20">
        <f>+MOP_Mes_Corriente!FG14*MOP_Mes_Constante!$FC$1</f>
        <v>127610750</v>
      </c>
      <c r="FH13" s="20">
        <f>+MOP_Mes_Corriente!FH14*MOP_Mes_Constante!$FC$1</f>
        <v>127610750</v>
      </c>
      <c r="FI13" s="20">
        <f>+MOP_Mes_Corriente!FI14*MOP_Mes_Constante!$FC$1</f>
        <v>127610750</v>
      </c>
      <c r="FJ13" s="10"/>
      <c r="FK13" s="10"/>
      <c r="FL13" s="10"/>
      <c r="FM13" s="10"/>
      <c r="FN13" s="10"/>
      <c r="FO13" s="20">
        <f t="shared" si="12"/>
        <v>127610750</v>
      </c>
    </row>
    <row r="14" spans="1:171" ht="27.75" customHeight="1">
      <c r="A14" s="10"/>
      <c r="B14" s="19" t="s">
        <v>48</v>
      </c>
      <c r="C14" s="20">
        <f>+MOP_Mes_Corriente!C15*MOP_Mes_Constante!$C$1</f>
        <v>42570669.336793721</v>
      </c>
      <c r="D14" s="20">
        <f>+MOP_Mes_Corriente!D15*MOP_Mes_Constante!$C$1</f>
        <v>42570669.336793721</v>
      </c>
      <c r="E14" s="20">
        <f>+MOP_Mes_Corriente!E15*MOP_Mes_Constante!$C$1</f>
        <v>42570669.336793721</v>
      </c>
      <c r="F14" s="20">
        <f>+MOP_Mes_Corriente!F15*MOP_Mes_Constante!$C$1</f>
        <v>42570669.336793721</v>
      </c>
      <c r="G14" s="20">
        <f>+MOP_Mes_Corriente!G15*MOP_Mes_Constante!$C$1</f>
        <v>42570669.336793721</v>
      </c>
      <c r="H14" s="20">
        <f>+MOP_Mes_Corriente!H15*MOP_Mes_Constante!$C$1</f>
        <v>42570669.336793721</v>
      </c>
      <c r="I14" s="20">
        <f>+MOP_Mes_Corriente!I15*MOP_Mes_Constante!$C$1</f>
        <v>42570669.336793721</v>
      </c>
      <c r="J14" s="20">
        <f>+MOP_Mes_Corriente!J15*MOP_Mes_Constante!$C$1</f>
        <v>42570669.336793721</v>
      </c>
      <c r="K14" s="20">
        <f>+MOP_Mes_Corriente!K15*MOP_Mes_Constante!$C$1</f>
        <v>42570669.336793721</v>
      </c>
      <c r="L14" s="20">
        <f>+MOP_Mes_Corriente!L15*MOP_Mes_Constante!$C$1</f>
        <v>42570669.336793721</v>
      </c>
      <c r="M14" s="20">
        <f>+MOP_Mes_Corriente!M15*MOP_Mes_Constante!$C$1</f>
        <v>42570669.336793721</v>
      </c>
      <c r="N14" s="20">
        <f>+MOP_Mes_Corriente!N15*MOP_Mes_Constante!$C$1</f>
        <v>42570669.336793721</v>
      </c>
      <c r="O14" s="20">
        <f t="shared" si="0"/>
        <v>42570669.336793721</v>
      </c>
      <c r="P14" s="20">
        <f>+MOP_Mes_Corriente!P15*MOP_Mes_Constante!$P$1</f>
        <v>43777854.109958783</v>
      </c>
      <c r="Q14" s="20">
        <f>+MOP_Mes_Corriente!Q15*MOP_Mes_Constante!$P$1</f>
        <v>43777854.109958783</v>
      </c>
      <c r="R14" s="20">
        <f>+MOP_Mes_Corriente!R15*MOP_Mes_Constante!$P$1</f>
        <v>43777854.109958783</v>
      </c>
      <c r="S14" s="20">
        <f>+MOP_Mes_Corriente!S15*MOP_Mes_Constante!$P$1</f>
        <v>43777854.109958783</v>
      </c>
      <c r="T14" s="20">
        <f>+MOP_Mes_Corriente!T15*MOP_Mes_Constante!$P$1</f>
        <v>43777854.109958783</v>
      </c>
      <c r="U14" s="20">
        <f>+MOP_Mes_Corriente!U15*MOP_Mes_Constante!$P$1</f>
        <v>43777854.109958783</v>
      </c>
      <c r="V14" s="20">
        <f>+MOP_Mes_Corriente!V15*MOP_Mes_Constante!$P$1</f>
        <v>43777854.109958783</v>
      </c>
      <c r="W14" s="20">
        <f>+MOP_Mes_Corriente!W15*MOP_Mes_Constante!$P$1</f>
        <v>43777854.109958783</v>
      </c>
      <c r="X14" s="20">
        <f>+MOP_Mes_Corriente!X15*MOP_Mes_Constante!$P$1</f>
        <v>43777854.109958783</v>
      </c>
      <c r="Y14" s="20">
        <f>+MOP_Mes_Corriente!Y15*MOP_Mes_Constante!$P$1</f>
        <v>43777854.109958783</v>
      </c>
      <c r="Z14" s="20">
        <f>+MOP_Mes_Corriente!Z15*MOP_Mes_Constante!$P$1</f>
        <v>43777854.109958783</v>
      </c>
      <c r="AA14" s="20">
        <f>+MOP_Mes_Corriente!AA15*MOP_Mes_Constante!$P$1</f>
        <v>43777854.109958783</v>
      </c>
      <c r="AB14" s="20">
        <f t="shared" si="1"/>
        <v>43777854.109958783</v>
      </c>
      <c r="AC14" s="20">
        <f>+MOP_Mes_Corriente!AC15*MOP_Mes_Constante!$AC$1</f>
        <v>38873335.637570895</v>
      </c>
      <c r="AD14" s="20">
        <f>+MOP_Mes_Corriente!AD15*MOP_Mes_Constante!$AC$1</f>
        <v>38873335.637570895</v>
      </c>
      <c r="AE14" s="20">
        <f>+MOP_Mes_Corriente!AE15*MOP_Mes_Constante!$AC$1</f>
        <v>38873335.637570895</v>
      </c>
      <c r="AF14" s="20">
        <f>+MOP_Mes_Corriente!AF15*MOP_Mes_Constante!$AC$1</f>
        <v>38873335.637570895</v>
      </c>
      <c r="AG14" s="20">
        <f>+MOP_Mes_Corriente!AG15*MOP_Mes_Constante!$AC$1</f>
        <v>38873335.637570895</v>
      </c>
      <c r="AH14" s="20">
        <f>+MOP_Mes_Corriente!AH15*MOP_Mes_Constante!$AC$1</f>
        <v>38873335.637570895</v>
      </c>
      <c r="AI14" s="20">
        <f>+MOP_Mes_Corriente!AI15*MOP_Mes_Constante!$AC$1</f>
        <v>38873335.637570895</v>
      </c>
      <c r="AJ14" s="20">
        <f>+MOP_Mes_Corriente!AJ15*MOP_Mes_Constante!$AC$1</f>
        <v>38873335.637570895</v>
      </c>
      <c r="AK14" s="20">
        <f>+MOP_Mes_Corriente!AK15*MOP_Mes_Constante!$AC$1</f>
        <v>38873335.637570895</v>
      </c>
      <c r="AL14" s="20">
        <f>+MOP_Mes_Corriente!AL15*MOP_Mes_Constante!$AC$1</f>
        <v>38873335.637570895</v>
      </c>
      <c r="AM14" s="20">
        <f>+MOP_Mes_Corriente!AM15*MOP_Mes_Constante!$AC$1</f>
        <v>38873335.637570895</v>
      </c>
      <c r="AN14" s="20">
        <f>+MOP_Mes_Corriente!AN15*MOP_Mes_Constante!$AC$1</f>
        <v>38873335.637570895</v>
      </c>
      <c r="AO14" s="20">
        <f t="shared" si="2"/>
        <v>38873335.637570895</v>
      </c>
      <c r="AP14" s="20">
        <f>+MOP_Mes_Corriente!AP15*MOP_Mes_Constante!$AP$1</f>
        <v>41800121.223319352</v>
      </c>
      <c r="AQ14" s="20">
        <f>+MOP_Mes_Corriente!AQ15*MOP_Mes_Constante!$AP$1</f>
        <v>41800121.223319352</v>
      </c>
      <c r="AR14" s="20">
        <f>+MOP_Mes_Corriente!AR15*MOP_Mes_Constante!$AP$1</f>
        <v>41800121.223319352</v>
      </c>
      <c r="AS14" s="20">
        <f>+MOP_Mes_Corriente!AS15*MOP_Mes_Constante!$AP$1</f>
        <v>41800121.223319352</v>
      </c>
      <c r="AT14" s="20">
        <f>+MOP_Mes_Corriente!AT15*MOP_Mes_Constante!$AP$1</f>
        <v>41800121.223319352</v>
      </c>
      <c r="AU14" s="20">
        <f>+MOP_Mes_Corriente!AU15*MOP_Mes_Constante!$AP$1</f>
        <v>41800121.223319352</v>
      </c>
      <c r="AV14" s="20">
        <f>+MOP_Mes_Corriente!AV15*MOP_Mes_Constante!$AP$1</f>
        <v>41800121.223319352</v>
      </c>
      <c r="AW14" s="20">
        <f>+MOP_Mes_Corriente!AW15*MOP_Mes_Constante!$AP$1</f>
        <v>41800121.223319352</v>
      </c>
      <c r="AX14" s="20">
        <f>+MOP_Mes_Corriente!AX15*MOP_Mes_Constante!$AP$1</f>
        <v>41800121.223319352</v>
      </c>
      <c r="AY14" s="20">
        <f>+MOP_Mes_Corriente!AY15*MOP_Mes_Constante!$AP$1</f>
        <v>41800121.223319352</v>
      </c>
      <c r="AZ14" s="20">
        <f>+MOP_Mes_Corriente!AZ15*MOP_Mes_Constante!$AP$1</f>
        <v>41800121.223319352</v>
      </c>
      <c r="BA14" s="20">
        <f>+MOP_Mes_Corriente!BA15*MOP_Mes_Constante!$AP$1</f>
        <v>41800121.223319352</v>
      </c>
      <c r="BB14" s="20">
        <f t="shared" si="3"/>
        <v>41800121.223319352</v>
      </c>
      <c r="BC14" s="20">
        <f>+MOP_Mes_Corriente!BC15*MOP_Mes_Constante!$BC$1</f>
        <v>43952106.507187143</v>
      </c>
      <c r="BD14" s="20">
        <f>+MOP_Mes_Corriente!BD15*MOP_Mes_Constante!$BC$1</f>
        <v>43952106.507187143</v>
      </c>
      <c r="BE14" s="20">
        <f>+MOP_Mes_Corriente!BE15*MOP_Mes_Constante!$BC$1</f>
        <v>43952106.507187143</v>
      </c>
      <c r="BF14" s="20">
        <f>+MOP_Mes_Corriente!BF15*MOP_Mes_Constante!$BC$1</f>
        <v>43952106.507187143</v>
      </c>
      <c r="BG14" s="20">
        <f>+MOP_Mes_Corriente!BG15*MOP_Mes_Constante!$BC$1</f>
        <v>43952106.507187143</v>
      </c>
      <c r="BH14" s="20">
        <f>+MOP_Mes_Corriente!BH15*MOP_Mes_Constante!$BC$1</f>
        <v>43952106.507187143</v>
      </c>
      <c r="BI14" s="20">
        <f>+MOP_Mes_Corriente!BI15*MOP_Mes_Constante!$BC$1</f>
        <v>43952106.507187143</v>
      </c>
      <c r="BJ14" s="20">
        <f>+MOP_Mes_Corriente!BJ15*MOP_Mes_Constante!$BC$1</f>
        <v>43952106.507187143</v>
      </c>
      <c r="BK14" s="20">
        <f>+MOP_Mes_Corriente!BK15*MOP_Mes_Constante!$BC$1</f>
        <v>43952106.507187143</v>
      </c>
      <c r="BL14" s="20">
        <f>+MOP_Mes_Corriente!BL15*MOP_Mes_Constante!$BC$1</f>
        <v>43952106.507187143</v>
      </c>
      <c r="BM14" s="20">
        <f>+MOP_Mes_Corriente!BM15*MOP_Mes_Constante!$BC$1</f>
        <v>43952106.507187143</v>
      </c>
      <c r="BN14" s="20">
        <f>+MOP_Mes_Corriente!BN15*MOP_Mes_Constante!$BC$1</f>
        <v>43952106.507187143</v>
      </c>
      <c r="BO14" s="20">
        <f t="shared" si="4"/>
        <v>43952106.507187143</v>
      </c>
      <c r="BP14" s="20">
        <f>+MOP_Mes_Corriente!BP15*MOP_Mes_Constante!$BP$1</f>
        <v>36168223.08399488</v>
      </c>
      <c r="BQ14" s="20">
        <f>+MOP_Mes_Corriente!BQ15*MOP_Mes_Constante!$BP$1</f>
        <v>36168223.08399488</v>
      </c>
      <c r="BR14" s="20">
        <f>+MOP_Mes_Corriente!BR15*MOP_Mes_Constante!$BP$1</f>
        <v>36168223.08399488</v>
      </c>
      <c r="BS14" s="20">
        <f>+MOP_Mes_Corriente!BS15*MOP_Mes_Constante!$BP$1</f>
        <v>36168223.08399488</v>
      </c>
      <c r="BT14" s="20">
        <f>+MOP_Mes_Corriente!BT15*MOP_Mes_Constante!$BP$1</f>
        <v>36168223.08399488</v>
      </c>
      <c r="BU14" s="20">
        <f>+MOP_Mes_Corriente!BU15*MOP_Mes_Constante!$BP$1</f>
        <v>36168223.08399488</v>
      </c>
      <c r="BV14" s="20">
        <f>+MOP_Mes_Corriente!BV15*MOP_Mes_Constante!$BP$1</f>
        <v>36168223.08399488</v>
      </c>
      <c r="BW14" s="20">
        <f>+MOP_Mes_Corriente!BW15*MOP_Mes_Constante!$BP$1</f>
        <v>36168223.08399488</v>
      </c>
      <c r="BX14" s="20">
        <f>+MOP_Mes_Corriente!BX15*MOP_Mes_Constante!$BP$1</f>
        <v>36168223.08399488</v>
      </c>
      <c r="BY14" s="20">
        <f>+MOP_Mes_Corriente!BY15*MOP_Mes_Constante!$BP$1</f>
        <v>36168223.08399488</v>
      </c>
      <c r="BZ14" s="20">
        <f>+MOP_Mes_Corriente!BZ15*MOP_Mes_Constante!$BP$1</f>
        <v>36168223.08399488</v>
      </c>
      <c r="CA14" s="20">
        <f>+MOP_Mes_Corriente!CA15*MOP_Mes_Constante!$BP$1</f>
        <v>36168223.08399488</v>
      </c>
      <c r="CB14" s="20">
        <f t="shared" si="5"/>
        <v>36168223.08399488</v>
      </c>
      <c r="CC14" s="20">
        <f>+MOP_Mes_Corriente!CC15*MOP_Mes_Constante!$CC$1</f>
        <v>30017330.0387915</v>
      </c>
      <c r="CD14" s="20">
        <f>+MOP_Mes_Corriente!CD15*MOP_Mes_Constante!$CC$1</f>
        <v>30017330.0387915</v>
      </c>
      <c r="CE14" s="20">
        <f>+MOP_Mes_Corriente!CE15*MOP_Mes_Constante!$CC$1</f>
        <v>30017330.0387915</v>
      </c>
      <c r="CF14" s="20">
        <f>+MOP_Mes_Corriente!CF15*MOP_Mes_Constante!$CC$1</f>
        <v>30017330.0387915</v>
      </c>
      <c r="CG14" s="20">
        <f>+MOP_Mes_Corriente!CG15*MOP_Mes_Constante!$CC$1</f>
        <v>30017330.0387915</v>
      </c>
      <c r="CH14" s="20">
        <f>+MOP_Mes_Corriente!CH15*MOP_Mes_Constante!$CC$1</f>
        <v>30017330.0387915</v>
      </c>
      <c r="CI14" s="20">
        <f>+MOP_Mes_Corriente!CI15*MOP_Mes_Constante!$CC$1</f>
        <v>30017330.0387915</v>
      </c>
      <c r="CJ14" s="20">
        <f>+MOP_Mes_Corriente!CJ15*MOP_Mes_Constante!$CC$1</f>
        <v>30017330.0387915</v>
      </c>
      <c r="CK14" s="20">
        <f>+MOP_Mes_Corriente!CK15*MOP_Mes_Constante!$CC$1</f>
        <v>30017330.0387915</v>
      </c>
      <c r="CL14" s="20">
        <f>+MOP_Mes_Corriente!CL15*MOP_Mes_Constante!$CC$1</f>
        <v>30017330.0387915</v>
      </c>
      <c r="CM14" s="20">
        <f>+MOP_Mes_Corriente!CM15*MOP_Mes_Constante!$CC$1</f>
        <v>30017330.0387915</v>
      </c>
      <c r="CN14" s="20">
        <f>+MOP_Mes_Corriente!CN15*MOP_Mes_Constante!$CC$1</f>
        <v>30017330.0387915</v>
      </c>
      <c r="CO14" s="20">
        <f t="shared" si="6"/>
        <v>30017330.0387915</v>
      </c>
      <c r="CP14" s="20">
        <f>+MOP_Mes_Corriente!CP15*MOP_Mes_Constante!$CP$1</f>
        <v>46854804.896519713</v>
      </c>
      <c r="CQ14" s="20">
        <f>+MOP_Mes_Corriente!CQ15*MOP_Mes_Constante!$CP$1</f>
        <v>46854804.896519713</v>
      </c>
      <c r="CR14" s="20">
        <f>+MOP_Mes_Corriente!CR15*MOP_Mes_Constante!$CP$1</f>
        <v>46854804.896519713</v>
      </c>
      <c r="CS14" s="20">
        <f>+MOP_Mes_Corriente!CS15*MOP_Mes_Constante!$CP$1</f>
        <v>46854804.896519713</v>
      </c>
      <c r="CT14" s="20">
        <f>+MOP_Mes_Corriente!CT15*MOP_Mes_Constante!$CP$1</f>
        <v>46854804.896519713</v>
      </c>
      <c r="CU14" s="20">
        <f>+MOP_Mes_Corriente!CU15*MOP_Mes_Constante!$CP$1</f>
        <v>46854804.896519713</v>
      </c>
      <c r="CV14" s="20">
        <f>+MOP_Mes_Corriente!CV15*MOP_Mes_Constante!$CP$1</f>
        <v>46854804.896519713</v>
      </c>
      <c r="CW14" s="20">
        <f>+MOP_Mes_Corriente!CW15*MOP_Mes_Constante!$CP$1</f>
        <v>46854804.896519713</v>
      </c>
      <c r="CX14" s="20">
        <f>+MOP_Mes_Corriente!CX15*MOP_Mes_Constante!$CP$1</f>
        <v>46854804.896519713</v>
      </c>
      <c r="CY14" s="20">
        <f>+MOP_Mes_Corriente!CY15*MOP_Mes_Constante!$CP$1</f>
        <v>46854804.896519713</v>
      </c>
      <c r="CZ14" s="20">
        <f>+MOP_Mes_Corriente!CZ15*MOP_Mes_Constante!$CP$1</f>
        <v>46854804.896519713</v>
      </c>
      <c r="DA14" s="20">
        <f>+MOP_Mes_Corriente!DA15*MOP_Mes_Constante!$CP$1</f>
        <v>46854804.896519713</v>
      </c>
      <c r="DB14" s="20">
        <f t="shared" si="7"/>
        <v>46854804.896519713</v>
      </c>
      <c r="DC14" s="20">
        <f>+MOP_Mes_Corriente!DC15*MOP_Mes_Constante!$DC$1</f>
        <v>46125960.721530728</v>
      </c>
      <c r="DD14" s="20">
        <f>+MOP_Mes_Corriente!DD15*MOP_Mes_Constante!$DC$1</f>
        <v>46125960.721530728</v>
      </c>
      <c r="DE14" s="20">
        <f>+MOP_Mes_Corriente!DE15*MOP_Mes_Constante!$DC$1</f>
        <v>46125960.721530728</v>
      </c>
      <c r="DF14" s="20">
        <f>+MOP_Mes_Corriente!DF15*MOP_Mes_Constante!$DC$1</f>
        <v>46125960.721530728</v>
      </c>
      <c r="DG14" s="20">
        <f>+MOP_Mes_Corriente!DG15*MOP_Mes_Constante!$DC$1</f>
        <v>46125960.721530728</v>
      </c>
      <c r="DH14" s="20">
        <f>+MOP_Mes_Corriente!DH15*MOP_Mes_Constante!$DC$1</f>
        <v>46125960.721530728</v>
      </c>
      <c r="DI14" s="20">
        <f>+MOP_Mes_Corriente!DI15*MOP_Mes_Constante!$DC$1</f>
        <v>46125960.721530728</v>
      </c>
      <c r="DJ14" s="20">
        <f>+MOP_Mes_Corriente!DJ15*MOP_Mes_Constante!$DC$1</f>
        <v>46125960.721530728</v>
      </c>
      <c r="DK14" s="20">
        <f>+MOP_Mes_Corriente!DK15*MOP_Mes_Constante!$DC$1</f>
        <v>46125960.721530728</v>
      </c>
      <c r="DL14" s="20">
        <f>+MOP_Mes_Corriente!DL15*MOP_Mes_Constante!$DC$1</f>
        <v>46125960.721530728</v>
      </c>
      <c r="DM14" s="20">
        <f>+MOP_Mes_Corriente!DM15*MOP_Mes_Constante!$DC$1</f>
        <v>46125960.721530728</v>
      </c>
      <c r="DN14" s="20">
        <f>+MOP_Mes_Corriente!DN15*MOP_Mes_Constante!$DC$1</f>
        <v>46125960.721530728</v>
      </c>
      <c r="DO14" s="20">
        <f t="shared" si="8"/>
        <v>46125960.721530728</v>
      </c>
      <c r="DP14" s="20">
        <f>+MOP_Mes_Corriente!DP15*MOP_Mes_Constante!$DP$1</f>
        <v>40648121.939429931</v>
      </c>
      <c r="DQ14" s="20">
        <f>+MOP_Mes_Corriente!DQ15*MOP_Mes_Constante!$DP$1</f>
        <v>40648121.939429931</v>
      </c>
      <c r="DR14" s="20">
        <f>+MOP_Mes_Corriente!DR15*MOP_Mes_Constante!$DP$1</f>
        <v>40648121.939429931</v>
      </c>
      <c r="DS14" s="20">
        <f>+MOP_Mes_Corriente!DS15*MOP_Mes_Constante!$DP$1</f>
        <v>40648121.939429931</v>
      </c>
      <c r="DT14" s="20">
        <f>+MOP_Mes_Corriente!DT15*MOP_Mes_Constante!$DP$1</f>
        <v>40648121.939429931</v>
      </c>
      <c r="DU14" s="20">
        <f>+MOP_Mes_Corriente!DU15*MOP_Mes_Constante!$DP$1</f>
        <v>40648121.939429931</v>
      </c>
      <c r="DV14" s="20">
        <f>+MOP_Mes_Corriente!DV15*MOP_Mes_Constante!$DP$1</f>
        <v>40648121.939429931</v>
      </c>
      <c r="DW14" s="20">
        <f>+MOP_Mes_Corriente!DW15*MOP_Mes_Constante!$DP$1</f>
        <v>40648121.939429931</v>
      </c>
      <c r="DX14" s="20">
        <f>+MOP_Mes_Corriente!DX15*MOP_Mes_Constante!$DP$1</f>
        <v>40648121.939429931</v>
      </c>
      <c r="DY14" s="20">
        <f>+MOP_Mes_Corriente!DY15*MOP_Mes_Constante!$DP$1</f>
        <v>40648121.939429931</v>
      </c>
      <c r="DZ14" s="20">
        <f>+MOP_Mes_Corriente!DZ15*MOP_Mes_Constante!$DP$1</f>
        <v>40648121.939429931</v>
      </c>
      <c r="EA14" s="20">
        <f>+MOP_Mes_Corriente!EA15*MOP_Mes_Constante!$DP$1</f>
        <v>40648121.939429931</v>
      </c>
      <c r="EB14" s="20">
        <f t="shared" si="9"/>
        <v>40648121.939429931</v>
      </c>
      <c r="EC14" s="20">
        <f>+MOP_Mes_Corriente!EC15*MOP_Mes_Constante!$EC$1</f>
        <v>46106166.236318864</v>
      </c>
      <c r="ED14" s="20">
        <f>+MOP_Mes_Corriente!ED15*MOP_Mes_Constante!$EC$1</f>
        <v>46106166.236318864</v>
      </c>
      <c r="EE14" s="20">
        <f>+MOP_Mes_Corriente!EE15*MOP_Mes_Constante!$EC$1</f>
        <v>46106166.236318864</v>
      </c>
      <c r="EF14" s="20">
        <f>+MOP_Mes_Corriente!EF15*MOP_Mes_Constante!$EC$1</f>
        <v>46106166.236318864</v>
      </c>
      <c r="EG14" s="20">
        <f>+MOP_Mes_Corriente!EG15*MOP_Mes_Constante!$EC$1</f>
        <v>46106166.236318864</v>
      </c>
      <c r="EH14" s="20">
        <f>+MOP_Mes_Corriente!EH15*MOP_Mes_Constante!$EC$1</f>
        <v>46106166.236318864</v>
      </c>
      <c r="EI14" s="20">
        <f>+MOP_Mes_Corriente!EI15*MOP_Mes_Constante!$EC$1</f>
        <v>46106166.236318864</v>
      </c>
      <c r="EJ14" s="20">
        <f>+MOP_Mes_Corriente!EJ15*MOP_Mes_Constante!$EC$1</f>
        <v>46106166.236318864</v>
      </c>
      <c r="EK14" s="20">
        <f>+MOP_Mes_Corriente!EK15*MOP_Mes_Constante!$EC$1</f>
        <v>46106166.236318864</v>
      </c>
      <c r="EL14" s="20">
        <f>+MOP_Mes_Corriente!EL15*MOP_Mes_Constante!$EC$1</f>
        <v>46106166.236318864</v>
      </c>
      <c r="EM14" s="20">
        <f>+MOP_Mes_Corriente!EM15*MOP_Mes_Constante!$EC$1</f>
        <v>46106166.236318864</v>
      </c>
      <c r="EN14" s="20">
        <f>+MOP_Mes_Corriente!EN15*MOP_Mes_Constante!$EC$1</f>
        <v>46106166.236318864</v>
      </c>
      <c r="EO14" s="20">
        <f t="shared" si="10"/>
        <v>46106166.236318864</v>
      </c>
      <c r="EP14" s="20">
        <f>+MOP_Mes_Corriente!EP15*MOP_Mes_Constante!$EP$1</f>
        <v>57109595</v>
      </c>
      <c r="EQ14" s="20">
        <f>+MOP_Mes_Corriente!EQ15*MOP_Mes_Constante!$EP$1</f>
        <v>57109595</v>
      </c>
      <c r="ER14" s="20">
        <f>+MOP_Mes_Corriente!ER15*MOP_Mes_Constante!$EP$1</f>
        <v>57109595</v>
      </c>
      <c r="ES14" s="20">
        <f>+MOP_Mes_Corriente!ES15*MOP_Mes_Constante!$EP$1</f>
        <v>57109595</v>
      </c>
      <c r="ET14" s="20">
        <f>+MOP_Mes_Corriente!ET15*MOP_Mes_Constante!$EP$1</f>
        <v>57109595</v>
      </c>
      <c r="EU14" s="20">
        <f>+MOP_Mes_Corriente!EU15*MOP_Mes_Constante!$EP$1</f>
        <v>57109595</v>
      </c>
      <c r="EV14" s="20">
        <f>+MOP_Mes_Corriente!EV15*MOP_Mes_Constante!$EP$1</f>
        <v>57109595</v>
      </c>
      <c r="EW14" s="20">
        <f>+MOP_Mes_Corriente!EW15*MOP_Mes_Constante!$EP$1</f>
        <v>57109595</v>
      </c>
      <c r="EX14" s="20">
        <f>+MOP_Mes_Corriente!EX15*MOP_Mes_Constante!$EP$1</f>
        <v>57109595</v>
      </c>
      <c r="EY14" s="20">
        <f>+MOP_Mes_Corriente!EY15*MOP_Mes_Constante!$EP$1</f>
        <v>57109595</v>
      </c>
      <c r="EZ14" s="20">
        <f>+MOP_Mes_Corriente!EZ15*MOP_Mes_Constante!$EP$1</f>
        <v>57109595</v>
      </c>
      <c r="FA14" s="20">
        <f>+MOP_Mes_Corriente!FA15*MOP_Mes_Constante!$EP$1</f>
        <v>57109595</v>
      </c>
      <c r="FB14" s="20">
        <f t="shared" si="11"/>
        <v>57109595</v>
      </c>
      <c r="FC14" s="20">
        <f>+MOP_Mes_Corriente!FC15*MOP_Mes_Constante!$FC$1</f>
        <v>30479549</v>
      </c>
      <c r="FD14" s="20">
        <f>+MOP_Mes_Corriente!FD15*MOP_Mes_Constante!$FC$1</f>
        <v>30479549</v>
      </c>
      <c r="FE14" s="20">
        <f>+MOP_Mes_Corriente!FE15*MOP_Mes_Constante!$FC$1</f>
        <v>30479549</v>
      </c>
      <c r="FF14" s="20">
        <f>+MOP_Mes_Corriente!FF15*MOP_Mes_Constante!$FC$1</f>
        <v>30479549</v>
      </c>
      <c r="FG14" s="20">
        <f>+MOP_Mes_Corriente!FG15*MOP_Mes_Constante!$FC$1</f>
        <v>30479549</v>
      </c>
      <c r="FH14" s="20">
        <f>+MOP_Mes_Corriente!FH15*MOP_Mes_Constante!$FC$1</f>
        <v>30479549</v>
      </c>
      <c r="FI14" s="20">
        <f>+MOP_Mes_Corriente!FI15*MOP_Mes_Constante!$FC$1</f>
        <v>30479549</v>
      </c>
      <c r="FJ14" s="10"/>
      <c r="FK14" s="10"/>
      <c r="FL14" s="10"/>
      <c r="FM14" s="10"/>
      <c r="FN14" s="10"/>
      <c r="FO14" s="20">
        <f t="shared" si="12"/>
        <v>30479549</v>
      </c>
    </row>
    <row r="15" spans="1:171" ht="21.75" customHeight="1">
      <c r="A15" s="10"/>
      <c r="B15" s="15" t="s">
        <v>49</v>
      </c>
      <c r="C15" s="38">
        <f t="shared" ref="C15:AH15" si="13">SUM(C9:C14)</f>
        <v>1750215667.838351</v>
      </c>
      <c r="D15" s="38">
        <f t="shared" si="13"/>
        <v>1750215667.838351</v>
      </c>
      <c r="E15" s="38">
        <f t="shared" si="13"/>
        <v>1750215667.838351</v>
      </c>
      <c r="F15" s="38">
        <f t="shared" si="13"/>
        <v>1750215667.838351</v>
      </c>
      <c r="G15" s="38">
        <f t="shared" si="13"/>
        <v>1750215667.838351</v>
      </c>
      <c r="H15" s="38">
        <f t="shared" si="13"/>
        <v>1750215667.838351</v>
      </c>
      <c r="I15" s="38">
        <f t="shared" si="13"/>
        <v>1750215667.838351</v>
      </c>
      <c r="J15" s="38">
        <f t="shared" si="13"/>
        <v>1750215667.838351</v>
      </c>
      <c r="K15" s="38">
        <f t="shared" si="13"/>
        <v>1750215667.838351</v>
      </c>
      <c r="L15" s="38">
        <f t="shared" si="13"/>
        <v>1750215667.838351</v>
      </c>
      <c r="M15" s="38">
        <f t="shared" si="13"/>
        <v>1750215667.838351</v>
      </c>
      <c r="N15" s="38">
        <f t="shared" si="13"/>
        <v>1750215667.838351</v>
      </c>
      <c r="O15" s="38">
        <f t="shared" si="13"/>
        <v>1750215667.838351</v>
      </c>
      <c r="P15" s="38">
        <f t="shared" si="13"/>
        <v>1981613921.9173172</v>
      </c>
      <c r="Q15" s="38">
        <f t="shared" si="13"/>
        <v>1981613921.9173172</v>
      </c>
      <c r="R15" s="38">
        <f t="shared" si="13"/>
        <v>1981613921.9173172</v>
      </c>
      <c r="S15" s="38">
        <f t="shared" si="13"/>
        <v>1981613921.9173172</v>
      </c>
      <c r="T15" s="38">
        <f t="shared" si="13"/>
        <v>1981613921.9173172</v>
      </c>
      <c r="U15" s="38">
        <f t="shared" si="13"/>
        <v>1981613921.9173172</v>
      </c>
      <c r="V15" s="38">
        <f t="shared" si="13"/>
        <v>1981613921.9173172</v>
      </c>
      <c r="W15" s="38">
        <f t="shared" si="13"/>
        <v>1981613921.9173172</v>
      </c>
      <c r="X15" s="38">
        <f t="shared" si="13"/>
        <v>1981613921.9173172</v>
      </c>
      <c r="Y15" s="38">
        <f t="shared" si="13"/>
        <v>1981613921.9173172</v>
      </c>
      <c r="Z15" s="38">
        <f t="shared" si="13"/>
        <v>1981613921.9173172</v>
      </c>
      <c r="AA15" s="38">
        <f t="shared" si="13"/>
        <v>1981613921.9173172</v>
      </c>
      <c r="AB15" s="38">
        <f t="shared" si="13"/>
        <v>1981613921.9173172</v>
      </c>
      <c r="AC15" s="38">
        <f t="shared" si="13"/>
        <v>1921958251.1860559</v>
      </c>
      <c r="AD15" s="38">
        <f t="shared" si="13"/>
        <v>1921958251.1860559</v>
      </c>
      <c r="AE15" s="38">
        <f t="shared" si="13"/>
        <v>1921958251.1860559</v>
      </c>
      <c r="AF15" s="38">
        <f t="shared" si="13"/>
        <v>1921958251.1860559</v>
      </c>
      <c r="AG15" s="38">
        <f t="shared" si="13"/>
        <v>1921958251.1860559</v>
      </c>
      <c r="AH15" s="38">
        <f t="shared" si="13"/>
        <v>1921958251.1860559</v>
      </c>
      <c r="AI15" s="38">
        <f t="shared" ref="AI15:BN15" si="14">SUM(AI9:AI14)</f>
        <v>1921958251.1860559</v>
      </c>
      <c r="AJ15" s="38">
        <f t="shared" si="14"/>
        <v>1921958251.1860559</v>
      </c>
      <c r="AK15" s="38">
        <f t="shared" si="14"/>
        <v>1921958251.1860559</v>
      </c>
      <c r="AL15" s="38">
        <f t="shared" si="14"/>
        <v>1921958251.1860559</v>
      </c>
      <c r="AM15" s="38">
        <f t="shared" si="14"/>
        <v>1921958251.1860559</v>
      </c>
      <c r="AN15" s="38">
        <f t="shared" si="14"/>
        <v>1921958251.1860559</v>
      </c>
      <c r="AO15" s="38">
        <f t="shared" si="14"/>
        <v>1921958251.1860559</v>
      </c>
      <c r="AP15" s="38">
        <f t="shared" si="14"/>
        <v>1974266984.5467331</v>
      </c>
      <c r="AQ15" s="38">
        <f t="shared" si="14"/>
        <v>1974266984.5467331</v>
      </c>
      <c r="AR15" s="38">
        <f t="shared" si="14"/>
        <v>1974266984.5467331</v>
      </c>
      <c r="AS15" s="38">
        <f t="shared" si="14"/>
        <v>1974266984.5467331</v>
      </c>
      <c r="AT15" s="38">
        <f t="shared" si="14"/>
        <v>1974266984.5467331</v>
      </c>
      <c r="AU15" s="38">
        <f t="shared" si="14"/>
        <v>1974266984.5467331</v>
      </c>
      <c r="AV15" s="38">
        <f t="shared" si="14"/>
        <v>1974266984.5467331</v>
      </c>
      <c r="AW15" s="38">
        <f t="shared" si="14"/>
        <v>1974266984.5467331</v>
      </c>
      <c r="AX15" s="38">
        <f t="shared" si="14"/>
        <v>1974266984.5467331</v>
      </c>
      <c r="AY15" s="38">
        <f t="shared" si="14"/>
        <v>1974266984.5467331</v>
      </c>
      <c r="AZ15" s="38">
        <f t="shared" si="14"/>
        <v>1974266984.5467331</v>
      </c>
      <c r="BA15" s="38">
        <f t="shared" si="14"/>
        <v>1974266984.5467331</v>
      </c>
      <c r="BB15" s="38">
        <f t="shared" si="14"/>
        <v>1974266984.5467331</v>
      </c>
      <c r="BC15" s="38">
        <f t="shared" si="14"/>
        <v>1953612516.9676914</v>
      </c>
      <c r="BD15" s="38">
        <f t="shared" si="14"/>
        <v>1953612516.9676914</v>
      </c>
      <c r="BE15" s="38">
        <f t="shared" si="14"/>
        <v>1953612516.9676914</v>
      </c>
      <c r="BF15" s="38">
        <f t="shared" si="14"/>
        <v>1953612516.9676914</v>
      </c>
      <c r="BG15" s="38">
        <f t="shared" si="14"/>
        <v>1953612516.9676914</v>
      </c>
      <c r="BH15" s="38">
        <f t="shared" si="14"/>
        <v>1953612516.9676914</v>
      </c>
      <c r="BI15" s="38">
        <f t="shared" si="14"/>
        <v>1953612516.9676914</v>
      </c>
      <c r="BJ15" s="38">
        <f t="shared" si="14"/>
        <v>1953612516.9676914</v>
      </c>
      <c r="BK15" s="38">
        <f t="shared" si="14"/>
        <v>1953612516.9676914</v>
      </c>
      <c r="BL15" s="38">
        <f t="shared" si="14"/>
        <v>1953612516.9676914</v>
      </c>
      <c r="BM15" s="38">
        <f t="shared" si="14"/>
        <v>1953612516.9676914</v>
      </c>
      <c r="BN15" s="38">
        <f t="shared" si="14"/>
        <v>1953612516.9676914</v>
      </c>
      <c r="BO15" s="38">
        <f t="shared" ref="BO15:CT15" si="15">SUM(BO9:BO14)</f>
        <v>1953612516.9676914</v>
      </c>
      <c r="BP15" s="38">
        <f t="shared" si="15"/>
        <v>2027232783.1475034</v>
      </c>
      <c r="BQ15" s="38">
        <f t="shared" si="15"/>
        <v>2027232783.1475034</v>
      </c>
      <c r="BR15" s="38">
        <f t="shared" si="15"/>
        <v>2027232783.1475034</v>
      </c>
      <c r="BS15" s="38">
        <f t="shared" si="15"/>
        <v>2027232783.1475034</v>
      </c>
      <c r="BT15" s="38">
        <f t="shared" si="15"/>
        <v>2027232783.1475034</v>
      </c>
      <c r="BU15" s="38">
        <f t="shared" si="15"/>
        <v>2027232783.1475034</v>
      </c>
      <c r="BV15" s="38">
        <f t="shared" si="15"/>
        <v>2027232783.1475034</v>
      </c>
      <c r="BW15" s="38">
        <f t="shared" si="15"/>
        <v>2027232783.1475034</v>
      </c>
      <c r="BX15" s="38">
        <f t="shared" si="15"/>
        <v>2027232783.1475034</v>
      </c>
      <c r="BY15" s="38">
        <f t="shared" si="15"/>
        <v>2027232783.1475034</v>
      </c>
      <c r="BZ15" s="38">
        <f t="shared" si="15"/>
        <v>2027232783.1475034</v>
      </c>
      <c r="CA15" s="38">
        <f t="shared" si="15"/>
        <v>2027232783.1475034</v>
      </c>
      <c r="CB15" s="38">
        <f t="shared" si="15"/>
        <v>2027232783.1475034</v>
      </c>
      <c r="CC15" s="38">
        <f t="shared" si="15"/>
        <v>2137866083.3979862</v>
      </c>
      <c r="CD15" s="38">
        <f t="shared" si="15"/>
        <v>2137866083.3979862</v>
      </c>
      <c r="CE15" s="38">
        <f t="shared" si="15"/>
        <v>2137866083.3979862</v>
      </c>
      <c r="CF15" s="38">
        <f t="shared" si="15"/>
        <v>2137866083.3979862</v>
      </c>
      <c r="CG15" s="38">
        <f t="shared" si="15"/>
        <v>2137866083.3979862</v>
      </c>
      <c r="CH15" s="38">
        <f t="shared" si="15"/>
        <v>2137866083.3979862</v>
      </c>
      <c r="CI15" s="38">
        <f t="shared" si="15"/>
        <v>2137866083.3979862</v>
      </c>
      <c r="CJ15" s="38">
        <f t="shared" si="15"/>
        <v>2137866083.3979862</v>
      </c>
      <c r="CK15" s="38">
        <f t="shared" si="15"/>
        <v>2137866083.3979862</v>
      </c>
      <c r="CL15" s="38">
        <f t="shared" si="15"/>
        <v>2137866083.3979862</v>
      </c>
      <c r="CM15" s="38">
        <f t="shared" si="15"/>
        <v>2137866083.3979862</v>
      </c>
      <c r="CN15" s="38">
        <f t="shared" si="15"/>
        <v>2137866083.3979862</v>
      </c>
      <c r="CO15" s="38">
        <f t="shared" si="15"/>
        <v>2137866083.3979862</v>
      </c>
      <c r="CP15" s="38">
        <f t="shared" si="15"/>
        <v>2942466112.167285</v>
      </c>
      <c r="CQ15" s="38">
        <f t="shared" si="15"/>
        <v>2942466112.167285</v>
      </c>
      <c r="CR15" s="38">
        <f t="shared" si="15"/>
        <v>2942466112.167285</v>
      </c>
      <c r="CS15" s="38">
        <f t="shared" si="15"/>
        <v>2942466112.167285</v>
      </c>
      <c r="CT15" s="38">
        <f t="shared" si="15"/>
        <v>2942466112.167285</v>
      </c>
      <c r="CU15" s="38">
        <f t="shared" ref="CU15:DZ15" si="16">SUM(CU9:CU14)</f>
        <v>2942466112.167285</v>
      </c>
      <c r="CV15" s="38">
        <f t="shared" si="16"/>
        <v>2942466112.167285</v>
      </c>
      <c r="CW15" s="38">
        <f t="shared" si="16"/>
        <v>2942466112.167285</v>
      </c>
      <c r="CX15" s="38">
        <f t="shared" si="16"/>
        <v>2942466112.167285</v>
      </c>
      <c r="CY15" s="38">
        <f t="shared" si="16"/>
        <v>2942466112.167285</v>
      </c>
      <c r="CZ15" s="38">
        <f t="shared" si="16"/>
        <v>2942466112.167285</v>
      </c>
      <c r="DA15" s="38">
        <f t="shared" si="16"/>
        <v>2942466112.167285</v>
      </c>
      <c r="DB15" s="38">
        <f t="shared" si="16"/>
        <v>2942466112.167285</v>
      </c>
      <c r="DC15" s="38">
        <f t="shared" si="16"/>
        <v>2942043528.830163</v>
      </c>
      <c r="DD15" s="38">
        <f t="shared" si="16"/>
        <v>2942043528.830163</v>
      </c>
      <c r="DE15" s="38">
        <f t="shared" si="16"/>
        <v>2942043528.830163</v>
      </c>
      <c r="DF15" s="38">
        <f t="shared" si="16"/>
        <v>2942043528.830163</v>
      </c>
      <c r="DG15" s="38">
        <f t="shared" si="16"/>
        <v>2942043528.830163</v>
      </c>
      <c r="DH15" s="38">
        <f t="shared" si="16"/>
        <v>2942043528.830163</v>
      </c>
      <c r="DI15" s="38">
        <f t="shared" si="16"/>
        <v>2942043528.830163</v>
      </c>
      <c r="DJ15" s="38">
        <f t="shared" si="16"/>
        <v>2942043528.830163</v>
      </c>
      <c r="DK15" s="38">
        <f t="shared" si="16"/>
        <v>2942043528.830163</v>
      </c>
      <c r="DL15" s="38">
        <f t="shared" si="16"/>
        <v>2942043528.830163</v>
      </c>
      <c r="DM15" s="38">
        <f t="shared" si="16"/>
        <v>2942043528.830163</v>
      </c>
      <c r="DN15" s="38">
        <f t="shared" si="16"/>
        <v>2942043528.830163</v>
      </c>
      <c r="DO15" s="38">
        <f t="shared" si="16"/>
        <v>2942043528.830163</v>
      </c>
      <c r="DP15" s="38">
        <f t="shared" si="16"/>
        <v>3018391242.2102137</v>
      </c>
      <c r="DQ15" s="38">
        <f t="shared" si="16"/>
        <v>3018391242.2102137</v>
      </c>
      <c r="DR15" s="38">
        <f t="shared" si="16"/>
        <v>3018391242.2102137</v>
      </c>
      <c r="DS15" s="38">
        <f t="shared" si="16"/>
        <v>3018391242.2102137</v>
      </c>
      <c r="DT15" s="38">
        <f t="shared" si="16"/>
        <v>3018391242.2102137</v>
      </c>
      <c r="DU15" s="38">
        <f t="shared" si="16"/>
        <v>3018391242.2102137</v>
      </c>
      <c r="DV15" s="38">
        <f t="shared" si="16"/>
        <v>3018391242.2102137</v>
      </c>
      <c r="DW15" s="38">
        <f t="shared" si="16"/>
        <v>3018391242.2102137</v>
      </c>
      <c r="DX15" s="38">
        <f t="shared" si="16"/>
        <v>3018391242.2102137</v>
      </c>
      <c r="DY15" s="38">
        <f t="shared" si="16"/>
        <v>3018391242.2102137</v>
      </c>
      <c r="DZ15" s="38">
        <f t="shared" si="16"/>
        <v>3018391242.2102137</v>
      </c>
      <c r="EA15" s="38">
        <f t="shared" ref="EA15:FF15" si="17">SUM(EA9:EA14)</f>
        <v>3018391242.2102137</v>
      </c>
      <c r="EB15" s="38">
        <f t="shared" si="17"/>
        <v>3018391242.2102137</v>
      </c>
      <c r="EC15" s="38">
        <f t="shared" si="17"/>
        <v>3034611095.7551594</v>
      </c>
      <c r="ED15" s="38">
        <f t="shared" si="17"/>
        <v>3034611095.7551594</v>
      </c>
      <c r="EE15" s="38">
        <f t="shared" si="17"/>
        <v>3034611095.7551594</v>
      </c>
      <c r="EF15" s="38">
        <f t="shared" si="17"/>
        <v>3034611095.7551594</v>
      </c>
      <c r="EG15" s="38">
        <f t="shared" si="17"/>
        <v>3034611095.7551594</v>
      </c>
      <c r="EH15" s="38">
        <f t="shared" si="17"/>
        <v>3034611095.7551594</v>
      </c>
      <c r="EI15" s="38">
        <f t="shared" si="17"/>
        <v>3034611095.7551594</v>
      </c>
      <c r="EJ15" s="38">
        <f t="shared" si="17"/>
        <v>3034611095.7551594</v>
      </c>
      <c r="EK15" s="38">
        <f t="shared" si="17"/>
        <v>3034611095.7551594</v>
      </c>
      <c r="EL15" s="38">
        <f t="shared" si="17"/>
        <v>3034611095.7551594</v>
      </c>
      <c r="EM15" s="38">
        <f t="shared" si="17"/>
        <v>3034611095.7551594</v>
      </c>
      <c r="EN15" s="38">
        <f t="shared" si="17"/>
        <v>3034611095.7551594</v>
      </c>
      <c r="EO15" s="38">
        <f t="shared" si="17"/>
        <v>3034611095.7551594</v>
      </c>
      <c r="EP15" s="38">
        <f t="shared" si="17"/>
        <v>3045180505</v>
      </c>
      <c r="EQ15" s="38">
        <f t="shared" si="17"/>
        <v>3045180505</v>
      </c>
      <c r="ER15" s="38">
        <f t="shared" si="17"/>
        <v>3045180505</v>
      </c>
      <c r="ES15" s="38">
        <f t="shared" si="17"/>
        <v>3045180505</v>
      </c>
      <c r="ET15" s="38">
        <f t="shared" si="17"/>
        <v>3045180505</v>
      </c>
      <c r="EU15" s="38">
        <f t="shared" si="17"/>
        <v>3045180505</v>
      </c>
      <c r="EV15" s="38">
        <f t="shared" si="17"/>
        <v>3045180505</v>
      </c>
      <c r="EW15" s="38">
        <f t="shared" si="17"/>
        <v>3045180505</v>
      </c>
      <c r="EX15" s="38">
        <f t="shared" si="17"/>
        <v>3045180505</v>
      </c>
      <c r="EY15" s="38">
        <f t="shared" si="17"/>
        <v>3045180505</v>
      </c>
      <c r="EZ15" s="38">
        <f t="shared" si="17"/>
        <v>3045180505</v>
      </c>
      <c r="FA15" s="38">
        <f t="shared" si="17"/>
        <v>3045180505</v>
      </c>
      <c r="FB15" s="38">
        <f t="shared" si="17"/>
        <v>3045180505</v>
      </c>
      <c r="FC15" s="38">
        <f t="shared" si="17"/>
        <v>2705505486</v>
      </c>
      <c r="FD15" s="38">
        <f t="shared" si="17"/>
        <v>2705505486</v>
      </c>
      <c r="FE15" s="38">
        <f t="shared" si="17"/>
        <v>2705505486</v>
      </c>
      <c r="FF15" s="38">
        <f t="shared" si="17"/>
        <v>2705505486</v>
      </c>
      <c r="FG15" s="38">
        <f t="shared" ref="FG15:GL15" si="18">SUM(FG9:FG14)</f>
        <v>2705505486</v>
      </c>
      <c r="FH15" s="38">
        <f t="shared" si="18"/>
        <v>2705505486</v>
      </c>
      <c r="FI15" s="38">
        <f t="shared" si="18"/>
        <v>2705505486</v>
      </c>
      <c r="FJ15" s="38">
        <f t="shared" si="18"/>
        <v>0</v>
      </c>
      <c r="FK15" s="38">
        <f t="shared" si="18"/>
        <v>0</v>
      </c>
      <c r="FL15" s="38">
        <f t="shared" si="18"/>
        <v>0</v>
      </c>
      <c r="FM15" s="38">
        <f t="shared" si="18"/>
        <v>0</v>
      </c>
      <c r="FN15" s="38">
        <f t="shared" si="18"/>
        <v>0</v>
      </c>
      <c r="FO15" s="38">
        <f t="shared" si="18"/>
        <v>2705505486</v>
      </c>
    </row>
    <row r="16" spans="1:171" ht="14.25" customHeight="1">
      <c r="A16" s="10"/>
      <c r="B16" s="18" t="s">
        <v>50</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row>
    <row r="17" spans="1:171" ht="14.2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row>
    <row r="18" spans="1:171" ht="15.75" customHeight="1">
      <c r="A18" s="10"/>
      <c r="B18" s="104" t="s">
        <v>51</v>
      </c>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c r="CA18" s="105"/>
      <c r="CB18" s="105"/>
      <c r="CC18" s="105"/>
      <c r="CD18" s="105"/>
      <c r="CE18" s="105"/>
      <c r="CF18" s="105"/>
      <c r="CG18" s="105"/>
      <c r="CH18" s="105"/>
      <c r="CI18" s="105"/>
      <c r="CJ18" s="105"/>
      <c r="CK18" s="105"/>
      <c r="CL18" s="105"/>
      <c r="CM18" s="105"/>
      <c r="CN18" s="105"/>
      <c r="CO18" s="105"/>
      <c r="CP18" s="105"/>
      <c r="CQ18" s="105"/>
      <c r="CR18" s="105"/>
      <c r="CS18" s="105"/>
      <c r="CT18" s="105"/>
      <c r="CU18" s="105"/>
      <c r="CV18" s="105"/>
      <c r="CW18" s="105"/>
      <c r="CX18" s="105"/>
      <c r="CY18" s="105"/>
      <c r="CZ18" s="105"/>
      <c r="DA18" s="105"/>
      <c r="DB18" s="105"/>
      <c r="DC18" s="105"/>
      <c r="DD18" s="105"/>
      <c r="DE18" s="105"/>
      <c r="DF18" s="105"/>
      <c r="DG18" s="105"/>
      <c r="DH18" s="105"/>
      <c r="DI18" s="105"/>
      <c r="DJ18" s="105"/>
      <c r="DK18" s="105"/>
      <c r="DL18" s="105"/>
      <c r="DM18" s="105"/>
      <c r="DN18" s="105"/>
      <c r="DO18" s="105"/>
      <c r="DP18" s="105"/>
      <c r="DQ18" s="105"/>
      <c r="DR18" s="105"/>
      <c r="DS18" s="105"/>
      <c r="DT18" s="105"/>
      <c r="DU18" s="105"/>
      <c r="DV18" s="105"/>
      <c r="DW18" s="105"/>
      <c r="DX18" s="105"/>
      <c r="DY18" s="105"/>
      <c r="DZ18" s="105"/>
      <c r="EA18" s="105"/>
      <c r="EB18" s="105"/>
      <c r="EC18" s="105"/>
      <c r="ED18" s="105"/>
      <c r="EE18" s="105"/>
      <c r="EF18" s="105"/>
      <c r="EG18" s="105"/>
      <c r="EH18" s="105"/>
      <c r="EI18" s="105"/>
      <c r="EJ18" s="105"/>
      <c r="EK18" s="105"/>
      <c r="EL18" s="105"/>
      <c r="EM18" s="105"/>
      <c r="EN18" s="105"/>
      <c r="EO18" s="105"/>
      <c r="EP18" s="105"/>
      <c r="EQ18" s="105"/>
      <c r="ER18" s="105"/>
      <c r="ES18" s="105"/>
      <c r="ET18" s="105"/>
      <c r="EU18" s="105"/>
      <c r="EV18" s="105"/>
      <c r="EW18" s="105"/>
      <c r="EX18" s="105"/>
      <c r="EY18" s="105"/>
      <c r="EZ18" s="105"/>
      <c r="FA18" s="105"/>
      <c r="FB18" s="105"/>
      <c r="FC18" s="105"/>
      <c r="FD18" s="105"/>
      <c r="FE18" s="105"/>
      <c r="FF18" s="105"/>
      <c r="FG18" s="105"/>
      <c r="FH18" s="105"/>
      <c r="FI18" s="105"/>
      <c r="FJ18" s="105"/>
      <c r="FK18" s="105"/>
      <c r="FL18" s="105"/>
      <c r="FM18" s="105"/>
      <c r="FN18" s="105"/>
      <c r="FO18" s="105"/>
    </row>
    <row r="19" spans="1:171" ht="21.75" customHeight="1">
      <c r="A19" s="10"/>
      <c r="B19" s="14"/>
      <c r="C19" s="102" t="s">
        <v>4</v>
      </c>
      <c r="D19" s="103"/>
      <c r="E19" s="103"/>
      <c r="F19" s="103"/>
      <c r="G19" s="103"/>
      <c r="H19" s="103"/>
      <c r="I19" s="103"/>
      <c r="J19" s="103"/>
      <c r="K19" s="103"/>
      <c r="L19" s="103"/>
      <c r="M19" s="103"/>
      <c r="N19" s="103"/>
      <c r="O19" s="103"/>
      <c r="P19" s="102" t="s">
        <v>5</v>
      </c>
      <c r="Q19" s="103"/>
      <c r="R19" s="103"/>
      <c r="S19" s="103"/>
      <c r="T19" s="103"/>
      <c r="U19" s="103"/>
      <c r="V19" s="103"/>
      <c r="W19" s="103"/>
      <c r="X19" s="103"/>
      <c r="Y19" s="103"/>
      <c r="Z19" s="103"/>
      <c r="AA19" s="103"/>
      <c r="AB19" s="103"/>
      <c r="AC19" s="102" t="s">
        <v>6</v>
      </c>
      <c r="AD19" s="103"/>
      <c r="AE19" s="103"/>
      <c r="AF19" s="103"/>
      <c r="AG19" s="103"/>
      <c r="AH19" s="103"/>
      <c r="AI19" s="103"/>
      <c r="AJ19" s="103"/>
      <c r="AK19" s="103"/>
      <c r="AL19" s="103"/>
      <c r="AM19" s="103"/>
      <c r="AN19" s="103"/>
      <c r="AO19" s="103"/>
      <c r="AP19" s="102" t="s">
        <v>7</v>
      </c>
      <c r="AQ19" s="103"/>
      <c r="AR19" s="103"/>
      <c r="AS19" s="103"/>
      <c r="AT19" s="103"/>
      <c r="AU19" s="103"/>
      <c r="AV19" s="103"/>
      <c r="AW19" s="103"/>
      <c r="AX19" s="103"/>
      <c r="AY19" s="103"/>
      <c r="AZ19" s="103"/>
      <c r="BA19" s="103"/>
      <c r="BB19" s="103"/>
      <c r="BC19" s="102" t="s">
        <v>8</v>
      </c>
      <c r="BD19" s="103"/>
      <c r="BE19" s="103"/>
      <c r="BF19" s="103"/>
      <c r="BG19" s="103"/>
      <c r="BH19" s="103"/>
      <c r="BI19" s="103"/>
      <c r="BJ19" s="103"/>
      <c r="BK19" s="103"/>
      <c r="BL19" s="103"/>
      <c r="BM19" s="103"/>
      <c r="BN19" s="103"/>
      <c r="BO19" s="103"/>
      <c r="BP19" s="102" t="s">
        <v>9</v>
      </c>
      <c r="BQ19" s="103"/>
      <c r="BR19" s="103"/>
      <c r="BS19" s="103"/>
      <c r="BT19" s="103"/>
      <c r="BU19" s="103"/>
      <c r="BV19" s="103"/>
      <c r="BW19" s="103"/>
      <c r="BX19" s="103"/>
      <c r="BY19" s="103"/>
      <c r="BZ19" s="103"/>
      <c r="CA19" s="103"/>
      <c r="CB19" s="103"/>
      <c r="CC19" s="102" t="s">
        <v>10</v>
      </c>
      <c r="CD19" s="103"/>
      <c r="CE19" s="103"/>
      <c r="CF19" s="103"/>
      <c r="CG19" s="103"/>
      <c r="CH19" s="103"/>
      <c r="CI19" s="103"/>
      <c r="CJ19" s="103"/>
      <c r="CK19" s="103"/>
      <c r="CL19" s="103"/>
      <c r="CM19" s="103"/>
      <c r="CN19" s="103"/>
      <c r="CO19" s="103"/>
      <c r="CP19" s="102" t="s">
        <v>11</v>
      </c>
      <c r="CQ19" s="103"/>
      <c r="CR19" s="103"/>
      <c r="CS19" s="103"/>
      <c r="CT19" s="103"/>
      <c r="CU19" s="103"/>
      <c r="CV19" s="103"/>
      <c r="CW19" s="103"/>
      <c r="CX19" s="103"/>
      <c r="CY19" s="103"/>
      <c r="CZ19" s="103"/>
      <c r="DA19" s="103"/>
      <c r="DB19" s="103"/>
      <c r="DC19" s="102" t="s">
        <v>12</v>
      </c>
      <c r="DD19" s="103"/>
      <c r="DE19" s="103"/>
      <c r="DF19" s="103"/>
      <c r="DG19" s="103"/>
      <c r="DH19" s="103"/>
      <c r="DI19" s="103"/>
      <c r="DJ19" s="103"/>
      <c r="DK19" s="103"/>
      <c r="DL19" s="103"/>
      <c r="DM19" s="103"/>
      <c r="DN19" s="103"/>
      <c r="DO19" s="103"/>
      <c r="DP19" s="102" t="s">
        <v>13</v>
      </c>
      <c r="DQ19" s="103"/>
      <c r="DR19" s="103"/>
      <c r="DS19" s="103"/>
      <c r="DT19" s="103"/>
      <c r="DU19" s="103"/>
      <c r="DV19" s="103"/>
      <c r="DW19" s="103"/>
      <c r="DX19" s="103"/>
      <c r="DY19" s="103"/>
      <c r="DZ19" s="103"/>
      <c r="EA19" s="103"/>
      <c r="EB19" s="103"/>
      <c r="EC19" s="102" t="s">
        <v>14</v>
      </c>
      <c r="ED19" s="103"/>
      <c r="EE19" s="103"/>
      <c r="EF19" s="103"/>
      <c r="EG19" s="103"/>
      <c r="EH19" s="103"/>
      <c r="EI19" s="103"/>
      <c r="EJ19" s="103"/>
      <c r="EK19" s="103"/>
      <c r="EL19" s="103"/>
      <c r="EM19" s="103"/>
      <c r="EN19" s="103"/>
      <c r="EO19" s="103"/>
      <c r="EP19" s="102" t="s">
        <v>15</v>
      </c>
      <c r="EQ19" s="103"/>
      <c r="ER19" s="103"/>
      <c r="ES19" s="103"/>
      <c r="ET19" s="103"/>
      <c r="EU19" s="103"/>
      <c r="EV19" s="103"/>
      <c r="EW19" s="103"/>
      <c r="EX19" s="103"/>
      <c r="EY19" s="103"/>
      <c r="EZ19" s="103"/>
      <c r="FA19" s="103"/>
      <c r="FB19" s="103"/>
      <c r="FC19" s="102" t="s">
        <v>16</v>
      </c>
      <c r="FD19" s="103"/>
      <c r="FE19" s="103"/>
      <c r="FF19" s="103"/>
      <c r="FG19" s="103"/>
      <c r="FH19" s="103"/>
      <c r="FI19" s="103"/>
      <c r="FJ19" s="103"/>
      <c r="FK19" s="103"/>
      <c r="FL19" s="103"/>
      <c r="FM19" s="103"/>
      <c r="FN19" s="103"/>
      <c r="FO19" s="103"/>
    </row>
    <row r="20" spans="1:171" ht="27.75" customHeight="1">
      <c r="A20" s="10"/>
      <c r="B20" s="15" t="s">
        <v>17</v>
      </c>
      <c r="C20" s="16" t="s">
        <v>18</v>
      </c>
      <c r="D20" s="16" t="s">
        <v>19</v>
      </c>
      <c r="E20" s="16" t="s">
        <v>20</v>
      </c>
      <c r="F20" s="16" t="s">
        <v>21</v>
      </c>
      <c r="G20" s="16" t="s">
        <v>22</v>
      </c>
      <c r="H20" s="16" t="s">
        <v>23</v>
      </c>
      <c r="I20" s="16" t="s">
        <v>24</v>
      </c>
      <c r="J20" s="16" t="s">
        <v>25</v>
      </c>
      <c r="K20" s="16" t="s">
        <v>26</v>
      </c>
      <c r="L20" s="16" t="s">
        <v>27</v>
      </c>
      <c r="M20" s="16" t="s">
        <v>28</v>
      </c>
      <c r="N20" s="16" t="s">
        <v>29</v>
      </c>
      <c r="O20" s="16" t="s">
        <v>30</v>
      </c>
      <c r="P20" s="16" t="s">
        <v>18</v>
      </c>
      <c r="Q20" s="16" t="s">
        <v>19</v>
      </c>
      <c r="R20" s="16" t="s">
        <v>20</v>
      </c>
      <c r="S20" s="16" t="s">
        <v>21</v>
      </c>
      <c r="T20" s="16" t="s">
        <v>22</v>
      </c>
      <c r="U20" s="16" t="s">
        <v>23</v>
      </c>
      <c r="V20" s="16" t="s">
        <v>24</v>
      </c>
      <c r="W20" s="16" t="s">
        <v>25</v>
      </c>
      <c r="X20" s="16" t="s">
        <v>26</v>
      </c>
      <c r="Y20" s="16" t="s">
        <v>27</v>
      </c>
      <c r="Z20" s="16" t="s">
        <v>28</v>
      </c>
      <c r="AA20" s="16" t="s">
        <v>29</v>
      </c>
      <c r="AB20" s="16" t="s">
        <v>31</v>
      </c>
      <c r="AC20" s="16" t="s">
        <v>18</v>
      </c>
      <c r="AD20" s="16" t="s">
        <v>19</v>
      </c>
      <c r="AE20" s="16" t="s">
        <v>20</v>
      </c>
      <c r="AF20" s="16" t="s">
        <v>21</v>
      </c>
      <c r="AG20" s="16" t="s">
        <v>22</v>
      </c>
      <c r="AH20" s="16" t="s">
        <v>23</v>
      </c>
      <c r="AI20" s="16" t="s">
        <v>24</v>
      </c>
      <c r="AJ20" s="16" t="s">
        <v>25</v>
      </c>
      <c r="AK20" s="16" t="s">
        <v>26</v>
      </c>
      <c r="AL20" s="16" t="s">
        <v>27</v>
      </c>
      <c r="AM20" s="16" t="s">
        <v>28</v>
      </c>
      <c r="AN20" s="16" t="s">
        <v>29</v>
      </c>
      <c r="AO20" s="16" t="s">
        <v>32</v>
      </c>
      <c r="AP20" s="16" t="s">
        <v>18</v>
      </c>
      <c r="AQ20" s="16" t="s">
        <v>19</v>
      </c>
      <c r="AR20" s="16" t="s">
        <v>20</v>
      </c>
      <c r="AS20" s="16" t="s">
        <v>21</v>
      </c>
      <c r="AT20" s="16" t="s">
        <v>22</v>
      </c>
      <c r="AU20" s="16" t="s">
        <v>23</v>
      </c>
      <c r="AV20" s="16" t="s">
        <v>24</v>
      </c>
      <c r="AW20" s="16" t="s">
        <v>25</v>
      </c>
      <c r="AX20" s="16" t="s">
        <v>26</v>
      </c>
      <c r="AY20" s="16" t="s">
        <v>27</v>
      </c>
      <c r="AZ20" s="16" t="s">
        <v>28</v>
      </c>
      <c r="BA20" s="16" t="s">
        <v>29</v>
      </c>
      <c r="BB20" s="16" t="s">
        <v>33</v>
      </c>
      <c r="BC20" s="16" t="s">
        <v>18</v>
      </c>
      <c r="BD20" s="16" t="s">
        <v>19</v>
      </c>
      <c r="BE20" s="16" t="s">
        <v>20</v>
      </c>
      <c r="BF20" s="16" t="s">
        <v>21</v>
      </c>
      <c r="BG20" s="16" t="s">
        <v>22</v>
      </c>
      <c r="BH20" s="16" t="s">
        <v>23</v>
      </c>
      <c r="BI20" s="16" t="s">
        <v>24</v>
      </c>
      <c r="BJ20" s="16" t="s">
        <v>25</v>
      </c>
      <c r="BK20" s="16" t="s">
        <v>26</v>
      </c>
      <c r="BL20" s="16" t="s">
        <v>27</v>
      </c>
      <c r="BM20" s="16" t="s">
        <v>28</v>
      </c>
      <c r="BN20" s="16" t="s">
        <v>29</v>
      </c>
      <c r="BO20" s="16" t="s">
        <v>34</v>
      </c>
      <c r="BP20" s="16" t="s">
        <v>18</v>
      </c>
      <c r="BQ20" s="16" t="s">
        <v>19</v>
      </c>
      <c r="BR20" s="16" t="s">
        <v>20</v>
      </c>
      <c r="BS20" s="16" t="s">
        <v>21</v>
      </c>
      <c r="BT20" s="16" t="s">
        <v>22</v>
      </c>
      <c r="BU20" s="16" t="s">
        <v>23</v>
      </c>
      <c r="BV20" s="16" t="s">
        <v>24</v>
      </c>
      <c r="BW20" s="16" t="s">
        <v>25</v>
      </c>
      <c r="BX20" s="16" t="s">
        <v>26</v>
      </c>
      <c r="BY20" s="16" t="s">
        <v>27</v>
      </c>
      <c r="BZ20" s="16" t="s">
        <v>28</v>
      </c>
      <c r="CA20" s="16" t="s">
        <v>29</v>
      </c>
      <c r="CB20" s="16" t="s">
        <v>35</v>
      </c>
      <c r="CC20" s="16" t="s">
        <v>18</v>
      </c>
      <c r="CD20" s="16" t="s">
        <v>19</v>
      </c>
      <c r="CE20" s="16" t="s">
        <v>20</v>
      </c>
      <c r="CF20" s="16" t="s">
        <v>21</v>
      </c>
      <c r="CG20" s="16" t="s">
        <v>22</v>
      </c>
      <c r="CH20" s="16" t="s">
        <v>23</v>
      </c>
      <c r="CI20" s="16" t="s">
        <v>24</v>
      </c>
      <c r="CJ20" s="16" t="s">
        <v>25</v>
      </c>
      <c r="CK20" s="16" t="s">
        <v>26</v>
      </c>
      <c r="CL20" s="16" t="s">
        <v>27</v>
      </c>
      <c r="CM20" s="16" t="s">
        <v>28</v>
      </c>
      <c r="CN20" s="16" t="s">
        <v>29</v>
      </c>
      <c r="CO20" s="16" t="s">
        <v>36</v>
      </c>
      <c r="CP20" s="16" t="s">
        <v>18</v>
      </c>
      <c r="CQ20" s="16" t="s">
        <v>19</v>
      </c>
      <c r="CR20" s="16" t="s">
        <v>20</v>
      </c>
      <c r="CS20" s="16" t="s">
        <v>21</v>
      </c>
      <c r="CT20" s="16" t="s">
        <v>22</v>
      </c>
      <c r="CU20" s="16" t="s">
        <v>23</v>
      </c>
      <c r="CV20" s="16" t="s">
        <v>24</v>
      </c>
      <c r="CW20" s="16" t="s">
        <v>25</v>
      </c>
      <c r="CX20" s="16" t="s">
        <v>26</v>
      </c>
      <c r="CY20" s="16" t="s">
        <v>27</v>
      </c>
      <c r="CZ20" s="16" t="s">
        <v>28</v>
      </c>
      <c r="DA20" s="16" t="s">
        <v>29</v>
      </c>
      <c r="DB20" s="16" t="s">
        <v>37</v>
      </c>
      <c r="DC20" s="16" t="s">
        <v>18</v>
      </c>
      <c r="DD20" s="16" t="s">
        <v>19</v>
      </c>
      <c r="DE20" s="16" t="s">
        <v>20</v>
      </c>
      <c r="DF20" s="16" t="s">
        <v>21</v>
      </c>
      <c r="DG20" s="16" t="s">
        <v>22</v>
      </c>
      <c r="DH20" s="16" t="s">
        <v>23</v>
      </c>
      <c r="DI20" s="16" t="s">
        <v>24</v>
      </c>
      <c r="DJ20" s="16" t="s">
        <v>25</v>
      </c>
      <c r="DK20" s="16" t="s">
        <v>26</v>
      </c>
      <c r="DL20" s="16" t="s">
        <v>27</v>
      </c>
      <c r="DM20" s="16" t="s">
        <v>28</v>
      </c>
      <c r="DN20" s="16" t="s">
        <v>29</v>
      </c>
      <c r="DO20" s="16" t="s">
        <v>38</v>
      </c>
      <c r="DP20" s="16" t="s">
        <v>18</v>
      </c>
      <c r="DQ20" s="16" t="s">
        <v>19</v>
      </c>
      <c r="DR20" s="16" t="s">
        <v>20</v>
      </c>
      <c r="DS20" s="16" t="s">
        <v>21</v>
      </c>
      <c r="DT20" s="16" t="s">
        <v>22</v>
      </c>
      <c r="DU20" s="16" t="s">
        <v>23</v>
      </c>
      <c r="DV20" s="16" t="s">
        <v>24</v>
      </c>
      <c r="DW20" s="16" t="s">
        <v>25</v>
      </c>
      <c r="DX20" s="16" t="s">
        <v>26</v>
      </c>
      <c r="DY20" s="16" t="s">
        <v>27</v>
      </c>
      <c r="DZ20" s="16" t="s">
        <v>28</v>
      </c>
      <c r="EA20" s="16" t="s">
        <v>29</v>
      </c>
      <c r="EB20" s="16" t="s">
        <v>39</v>
      </c>
      <c r="EC20" s="16" t="s">
        <v>18</v>
      </c>
      <c r="ED20" s="16" t="s">
        <v>19</v>
      </c>
      <c r="EE20" s="16" t="s">
        <v>20</v>
      </c>
      <c r="EF20" s="16" t="s">
        <v>21</v>
      </c>
      <c r="EG20" s="16" t="s">
        <v>22</v>
      </c>
      <c r="EH20" s="16" t="s">
        <v>23</v>
      </c>
      <c r="EI20" s="16" t="s">
        <v>24</v>
      </c>
      <c r="EJ20" s="16" t="s">
        <v>25</v>
      </c>
      <c r="EK20" s="16" t="s">
        <v>26</v>
      </c>
      <c r="EL20" s="16" t="s">
        <v>27</v>
      </c>
      <c r="EM20" s="16" t="s">
        <v>28</v>
      </c>
      <c r="EN20" s="16" t="s">
        <v>29</v>
      </c>
      <c r="EO20" s="16" t="s">
        <v>40</v>
      </c>
      <c r="EP20" s="16" t="s">
        <v>18</v>
      </c>
      <c r="EQ20" s="16" t="s">
        <v>19</v>
      </c>
      <c r="ER20" s="16" t="s">
        <v>20</v>
      </c>
      <c r="ES20" s="16" t="s">
        <v>21</v>
      </c>
      <c r="ET20" s="16" t="s">
        <v>22</v>
      </c>
      <c r="EU20" s="16" t="s">
        <v>23</v>
      </c>
      <c r="EV20" s="16" t="s">
        <v>24</v>
      </c>
      <c r="EW20" s="16" t="s">
        <v>25</v>
      </c>
      <c r="EX20" s="16" t="s">
        <v>26</v>
      </c>
      <c r="EY20" s="16" t="s">
        <v>27</v>
      </c>
      <c r="EZ20" s="16" t="s">
        <v>28</v>
      </c>
      <c r="FA20" s="16" t="s">
        <v>29</v>
      </c>
      <c r="FB20" s="16" t="s">
        <v>41</v>
      </c>
      <c r="FC20" s="16" t="s">
        <v>18</v>
      </c>
      <c r="FD20" s="16" t="s">
        <v>19</v>
      </c>
      <c r="FE20" s="16" t="s">
        <v>20</v>
      </c>
      <c r="FF20" s="16" t="s">
        <v>21</v>
      </c>
      <c r="FG20" s="16" t="s">
        <v>22</v>
      </c>
      <c r="FH20" s="16" t="s">
        <v>23</v>
      </c>
      <c r="FI20" s="16" t="s">
        <v>24</v>
      </c>
      <c r="FJ20" s="16" t="s">
        <v>25</v>
      </c>
      <c r="FK20" s="16" t="s">
        <v>26</v>
      </c>
      <c r="FL20" s="16" t="s">
        <v>27</v>
      </c>
      <c r="FM20" s="16" t="s">
        <v>28</v>
      </c>
      <c r="FN20" s="16" t="s">
        <v>29</v>
      </c>
      <c r="FO20" s="16" t="s">
        <v>42</v>
      </c>
    </row>
    <row r="21" spans="1:171" ht="27.75" customHeight="1">
      <c r="A21" s="10"/>
      <c r="B21" s="19" t="s">
        <v>43</v>
      </c>
      <c r="C21" s="20">
        <f>+MOP_Mes_Corriente!C22*MOP_Mes_Constante!$C$1</f>
        <v>1307469727.5883141</v>
      </c>
      <c r="D21" s="20">
        <f>+MOP_Mes_Corriente!D22*MOP_Mes_Constante!$C$1</f>
        <v>1307469727.5883141</v>
      </c>
      <c r="E21" s="20">
        <f>+MOP_Mes_Corriente!E22*MOP_Mes_Constante!$C$1</f>
        <v>1291752361.4308174</v>
      </c>
      <c r="F21" s="20">
        <f>+MOP_Mes_Corriente!F22*MOP_Mes_Constante!$C$1</f>
        <v>1291752361.4308174</v>
      </c>
      <c r="G21" s="20">
        <f>+MOP_Mes_Corriente!G22*MOP_Mes_Constante!$C$1</f>
        <v>1294970370.6255379</v>
      </c>
      <c r="H21" s="20">
        <f>+MOP_Mes_Corriente!H22*MOP_Mes_Constante!$C$1</f>
        <v>1297968067.7164469</v>
      </c>
      <c r="I21" s="20">
        <f>+MOP_Mes_Corriente!I22*MOP_Mes_Constante!$C$1</f>
        <v>1292847771.1125615</v>
      </c>
      <c r="J21" s="20">
        <f>+MOP_Mes_Corriente!J22*MOP_Mes_Constante!$C$1</f>
        <v>1323893620.1411836</v>
      </c>
      <c r="K21" s="20">
        <f>+MOP_Mes_Corriente!K22*MOP_Mes_Constante!$C$1</f>
        <v>1325513967.1677296</v>
      </c>
      <c r="L21" s="20">
        <f>+MOP_Mes_Corriente!L22*MOP_Mes_Constante!$C$1</f>
        <v>1365474492.3950765</v>
      </c>
      <c r="M21" s="20">
        <f>+MOP_Mes_Corriente!M22*MOP_Mes_Constante!$C$1</f>
        <v>1366185559.0028179</v>
      </c>
      <c r="N21" s="20">
        <f>+MOP_Mes_Corriente!N22*MOP_Mes_Constante!$C$1</f>
        <v>1382208538.8129914</v>
      </c>
      <c r="O21" s="20">
        <f t="shared" ref="O21:O26" si="19">N21</f>
        <v>1382208538.8129914</v>
      </c>
      <c r="P21" s="20">
        <f>+MOP_Mes_Corriente!P22*MOP_Mes_Constante!$P$1</f>
        <v>1486096895.7886057</v>
      </c>
      <c r="Q21" s="20">
        <f>+MOP_Mes_Corriente!Q22*MOP_Mes_Constante!$P$1</f>
        <v>1488260195.6701231</v>
      </c>
      <c r="R21" s="20">
        <f>+MOP_Mes_Corriente!R22*MOP_Mes_Constante!$P$1</f>
        <v>1478396493.4436705</v>
      </c>
      <c r="S21" s="20">
        <f>+MOP_Mes_Corriente!S22*MOP_Mes_Constante!$P$1</f>
        <v>1466040908.8435853</v>
      </c>
      <c r="T21" s="20">
        <f>+MOP_Mes_Corriente!T22*MOP_Mes_Constante!$P$1</f>
        <v>1472988598.4196613</v>
      </c>
      <c r="U21" s="20">
        <f>+MOP_Mes_Corriente!U22*MOP_Mes_Constante!$P$1</f>
        <v>1473210564.323909</v>
      </c>
      <c r="V21" s="20">
        <f>+MOP_Mes_Corriente!V22*MOP_Mes_Constante!$P$1</f>
        <v>1473055343.4118478</v>
      </c>
      <c r="W21" s="20">
        <f>+MOP_Mes_Corriente!W22*MOP_Mes_Constante!$P$1</f>
        <v>1473157745.7519529</v>
      </c>
      <c r="X21" s="20">
        <f>+MOP_Mes_Corriente!X22*MOP_Mes_Constante!$P$1</f>
        <v>1473157745.7519529</v>
      </c>
      <c r="Y21" s="20">
        <f>+MOP_Mes_Corriente!Y22*MOP_Mes_Constante!$P$1</f>
        <v>1473157745.7519529</v>
      </c>
      <c r="Z21" s="20">
        <f>+MOP_Mes_Corriente!Z22*MOP_Mes_Constante!$P$1</f>
        <v>1518707322.3963625</v>
      </c>
      <c r="AA21" s="20">
        <f>+MOP_Mes_Corriente!AA22*MOP_Mes_Constante!$P$1</f>
        <v>1518648338.4497793</v>
      </c>
      <c r="AB21" s="20">
        <f t="shared" ref="AB21:AB26" si="20">AA21</f>
        <v>1518648338.4497793</v>
      </c>
      <c r="AC21" s="20">
        <f>+MOP_Mes_Corriente!AC22*MOP_Mes_Constante!$AC$1</f>
        <v>1416430325.8149121</v>
      </c>
      <c r="AD21" s="20">
        <f>+MOP_Mes_Corriente!AD22*MOP_Mes_Constante!$AC$1</f>
        <v>1407089797.3877437</v>
      </c>
      <c r="AE21" s="20">
        <f>+MOP_Mes_Corriente!AE22*MOP_Mes_Constante!$AC$1</f>
        <v>1420223654.9705353</v>
      </c>
      <c r="AF21" s="20">
        <f>+MOP_Mes_Corriente!AF22*MOP_Mes_Constante!$AC$1</f>
        <v>1417259515.3562043</v>
      </c>
      <c r="AG21" s="20">
        <f>+MOP_Mes_Corriente!AG22*MOP_Mes_Constante!$AC$1</f>
        <v>1417259515.3562043</v>
      </c>
      <c r="AH21" s="20">
        <f>+MOP_Mes_Corriente!AH22*MOP_Mes_Constante!$AC$1</f>
        <v>1416444864.0904689</v>
      </c>
      <c r="AI21" s="20">
        <f>+MOP_Mes_Corriente!AI22*MOP_Mes_Constante!$AC$1</f>
        <v>1416444864.0904689</v>
      </c>
      <c r="AJ21" s="20">
        <f>+MOP_Mes_Corriente!AJ22*MOP_Mes_Constante!$AC$1</f>
        <v>1416444864.0904689</v>
      </c>
      <c r="AK21" s="20">
        <f>+MOP_Mes_Corriente!AK22*MOP_Mes_Constante!$AC$1</f>
        <v>1416444864.0904689</v>
      </c>
      <c r="AL21" s="20">
        <f>+MOP_Mes_Corriente!AL22*MOP_Mes_Constante!$AC$1</f>
        <v>1416444864.0904689</v>
      </c>
      <c r="AM21" s="20">
        <f>+MOP_Mes_Corriente!AM22*MOP_Mes_Constante!$AC$1</f>
        <v>1416304302.7403514</v>
      </c>
      <c r="AN21" s="20">
        <f>+MOP_Mes_Corriente!AN22*MOP_Mes_Constante!$AC$1</f>
        <v>1422064985.9858902</v>
      </c>
      <c r="AO21" s="20">
        <f t="shared" ref="AO21:AO26" si="21">AN21</f>
        <v>1422064985.9858902</v>
      </c>
      <c r="AP21" s="20">
        <f>+MOP_Mes_Corriente!AP22*MOP_Mes_Constante!$AP$1</f>
        <v>1452078288.6305964</v>
      </c>
      <c r="AQ21" s="20">
        <f>+MOP_Mes_Corriente!AQ22*MOP_Mes_Constante!$AP$1</f>
        <v>1452078288.6305964</v>
      </c>
      <c r="AR21" s="20">
        <f>+MOP_Mes_Corriente!AR22*MOP_Mes_Constante!$AP$1</f>
        <v>1451667436.7436764</v>
      </c>
      <c r="AS21" s="20">
        <f>+MOP_Mes_Corriente!AS22*MOP_Mes_Constante!$AP$1</f>
        <v>1451667436.7436764</v>
      </c>
      <c r="AT21" s="20">
        <f>+MOP_Mes_Corriente!AT22*MOP_Mes_Constante!$AP$1</f>
        <v>1451371859.8466115</v>
      </c>
      <c r="AU21" s="20">
        <f>+MOP_Mes_Corriente!AU22*MOP_Mes_Constante!$AP$1</f>
        <v>1424304405.4979033</v>
      </c>
      <c r="AV21" s="20">
        <f>+MOP_Mes_Corriente!AV22*MOP_Mes_Constante!$AP$1</f>
        <v>1423652362.8629785</v>
      </c>
      <c r="AW21" s="20">
        <f>+MOP_Mes_Corriente!AW22*MOP_Mes_Constante!$AP$1</f>
        <v>1405718973.575815</v>
      </c>
      <c r="AX21" s="20">
        <f>+MOP_Mes_Corriente!AX22*MOP_Mes_Constante!$AP$1</f>
        <v>1405718973.575815</v>
      </c>
      <c r="AY21" s="20">
        <f>+MOP_Mes_Corriente!AY22*MOP_Mes_Constante!$AP$1</f>
        <v>1380559706.0370619</v>
      </c>
      <c r="AZ21" s="20">
        <f>+MOP_Mes_Corriente!AZ22*MOP_Mes_Constante!$AP$1</f>
        <v>1376485178.5110238</v>
      </c>
      <c r="BA21" s="20">
        <f>+MOP_Mes_Corriente!BA22*MOP_Mes_Constante!$AP$1</f>
        <v>1344112211.9667251</v>
      </c>
      <c r="BB21" s="20">
        <f t="shared" ref="BB21:BB26" si="22">BA21</f>
        <v>1344112211.9667251</v>
      </c>
      <c r="BC21" s="20">
        <f>+MOP_Mes_Corriente!BC22*MOP_Mes_Constante!$BC$1</f>
        <v>1438617274.8962157</v>
      </c>
      <c r="BD21" s="20">
        <f>+MOP_Mes_Corriente!BD22*MOP_Mes_Constante!$BC$1</f>
        <v>1438617274.8962157</v>
      </c>
      <c r="BE21" s="20">
        <f>+MOP_Mes_Corriente!BE22*MOP_Mes_Constante!$BC$1</f>
        <v>1430051273.6059611</v>
      </c>
      <c r="BF21" s="20">
        <f>+MOP_Mes_Corriente!BF22*MOP_Mes_Constante!$BC$1</f>
        <v>1437584435.7792435</v>
      </c>
      <c r="BG21" s="20">
        <f>+MOP_Mes_Corriente!BG22*MOP_Mes_Constante!$BC$1</f>
        <v>1437130291.3949628</v>
      </c>
      <c r="BH21" s="20">
        <f>+MOP_Mes_Corriente!BH22*MOP_Mes_Constante!$BC$1</f>
        <v>1426035711.4134252</v>
      </c>
      <c r="BI21" s="20">
        <f>+MOP_Mes_Corriente!BI22*MOP_Mes_Constante!$BC$1</f>
        <v>1423298087.7816172</v>
      </c>
      <c r="BJ21" s="20">
        <f>+MOP_Mes_Corriente!BJ22*MOP_Mes_Constante!$BC$1</f>
        <v>1422527230.6010816</v>
      </c>
      <c r="BK21" s="20">
        <f>+MOP_Mes_Corriente!BK22*MOP_Mes_Constante!$BC$1</f>
        <v>1422527230.6010816</v>
      </c>
      <c r="BL21" s="20">
        <f>+MOP_Mes_Corriente!BL22*MOP_Mes_Constante!$BC$1</f>
        <v>1422505617.7829359</v>
      </c>
      <c r="BM21" s="20">
        <f>+MOP_Mes_Corriente!BM22*MOP_Mes_Constante!$BC$1</f>
        <v>1421883600.8766983</v>
      </c>
      <c r="BN21" s="20">
        <f>+MOP_Mes_Corriente!BN22*MOP_Mes_Constante!$BC$1</f>
        <v>1302135316.6374788</v>
      </c>
      <c r="BO21" s="20">
        <f t="shared" ref="BO21:BO26" si="23">BN21</f>
        <v>1302135316.6374788</v>
      </c>
      <c r="BP21" s="20">
        <f>+MOP_Mes_Corriente!BP22*MOP_Mes_Constante!$BP$1</f>
        <v>1477876429.8046095</v>
      </c>
      <c r="BQ21" s="20">
        <f>+MOP_Mes_Corriente!BQ22*MOP_Mes_Constante!$BP$1</f>
        <v>1477876429.8046095</v>
      </c>
      <c r="BR21" s="20">
        <f>+MOP_Mes_Corriente!BR22*MOP_Mes_Constante!$BP$1</f>
        <v>1477876429.8046095</v>
      </c>
      <c r="BS21" s="20">
        <f>+MOP_Mes_Corriente!BS22*MOP_Mes_Constante!$BP$1</f>
        <v>1485512136.9518569</v>
      </c>
      <c r="BT21" s="20">
        <f>+MOP_Mes_Corriente!BT22*MOP_Mes_Constante!$BP$1</f>
        <v>1491823615.6970553</v>
      </c>
      <c r="BU21" s="20">
        <f>+MOP_Mes_Corriente!BU22*MOP_Mes_Constante!$BP$1</f>
        <v>1485063765.2489119</v>
      </c>
      <c r="BV21" s="20">
        <f>+MOP_Mes_Corriente!BV22*MOP_Mes_Constante!$BP$1</f>
        <v>1485015850.3321385</v>
      </c>
      <c r="BW21" s="20">
        <f>+MOP_Mes_Corriente!BW22*MOP_Mes_Constante!$BP$1</f>
        <v>1502798760.3134444</v>
      </c>
      <c r="BX21" s="20">
        <f>+MOP_Mes_Corriente!BX22*MOP_Mes_Constante!$BP$1</f>
        <v>1518839671.383611</v>
      </c>
      <c r="BY21" s="20">
        <f>+MOP_Mes_Corriente!BY22*MOP_Mes_Constante!$BP$1</f>
        <v>1518839671.383611</v>
      </c>
      <c r="BZ21" s="20">
        <f>+MOP_Mes_Corriente!BZ22*MOP_Mes_Constante!$BP$1</f>
        <v>1518839671.383611</v>
      </c>
      <c r="CA21" s="20">
        <f>+MOP_Mes_Corriente!CA22*MOP_Mes_Constante!$BP$1</f>
        <v>1518263357.7595391</v>
      </c>
      <c r="CB21" s="20">
        <f t="shared" ref="CB21:CB26" si="24">CA21</f>
        <v>1518263357.7595391</v>
      </c>
      <c r="CC21" s="20">
        <f>+MOP_Mes_Corriente!CC22*MOP_Mes_Constante!$CC$1</f>
        <v>1559986158.7609103</v>
      </c>
      <c r="CD21" s="20">
        <f>+MOP_Mes_Corriente!CD22*MOP_Mes_Constante!$CC$1</f>
        <v>1563648185.006341</v>
      </c>
      <c r="CE21" s="20">
        <f>+MOP_Mes_Corriente!CE22*MOP_Mes_Constante!$CC$1</f>
        <v>1696406624.394629</v>
      </c>
      <c r="CF21" s="20">
        <f>+MOP_Mes_Corriente!CF22*MOP_Mes_Constante!$CC$1</f>
        <v>1696406624.394629</v>
      </c>
      <c r="CG21" s="20">
        <f>+MOP_Mes_Corriente!CG22*MOP_Mes_Constante!$CC$1</f>
        <v>1653120208.6975012</v>
      </c>
      <c r="CH21" s="20">
        <f>+MOP_Mes_Corriente!CH22*MOP_Mes_Constante!$CC$1</f>
        <v>1653120208.6975012</v>
      </c>
      <c r="CI21" s="20">
        <f>+MOP_Mes_Corriente!CI22*MOP_Mes_Constante!$CC$1</f>
        <v>1652394797.2838495</v>
      </c>
      <c r="CJ21" s="20">
        <f>+MOP_Mes_Corriente!CJ22*MOP_Mes_Constante!$CC$1</f>
        <v>1652394797.2838495</v>
      </c>
      <c r="CK21" s="20">
        <f>+MOP_Mes_Corriente!CK22*MOP_Mes_Constante!$CC$1</f>
        <v>1652394797.2838495</v>
      </c>
      <c r="CL21" s="20">
        <f>+MOP_Mes_Corriente!CL22*MOP_Mes_Constante!$CC$1</f>
        <v>1627049013.5069005</v>
      </c>
      <c r="CM21" s="20">
        <f>+MOP_Mes_Corriente!CM22*MOP_Mes_Constante!$CC$1</f>
        <v>1626861547.6359568</v>
      </c>
      <c r="CN21" s="20">
        <f>+MOP_Mes_Corriente!CN22*MOP_Mes_Constante!$CC$1</f>
        <v>1306235246.629616</v>
      </c>
      <c r="CO21" s="20">
        <f t="shared" ref="CO21:CO26" si="25">CN21</f>
        <v>1306235246.629616</v>
      </c>
      <c r="CP21" s="20">
        <f>+MOP_Mes_Corriente!CP22*MOP_Mes_Constante!$CP$1</f>
        <v>1551975509.7229695</v>
      </c>
      <c r="CQ21" s="20">
        <f>+MOP_Mes_Corriente!CQ22*MOP_Mes_Constante!$CP$1</f>
        <v>1551975509.7229695</v>
      </c>
      <c r="CR21" s="20">
        <f>+MOP_Mes_Corriente!CR22*MOP_Mes_Constante!$CP$1</f>
        <v>1444277626.053828</v>
      </c>
      <c r="CS21" s="20">
        <f>+MOP_Mes_Corriente!CS22*MOP_Mes_Constante!$CP$1</f>
        <v>1352677881.3640368</v>
      </c>
      <c r="CT21" s="20">
        <f>+MOP_Mes_Corriente!CT22*MOP_Mes_Constante!$CP$1</f>
        <v>1328661595.4011598</v>
      </c>
      <c r="CU21" s="20">
        <f>+MOP_Mes_Corriente!CU22*MOP_Mes_Constante!$CP$1</f>
        <v>1328633710.0183291</v>
      </c>
      <c r="CV21" s="20">
        <f>+MOP_Mes_Corriente!CV22*MOP_Mes_Constante!$CP$1</f>
        <v>1328633710.0183291</v>
      </c>
      <c r="CW21" s="20">
        <f>+MOP_Mes_Corriente!CW22*MOP_Mes_Constante!$CP$1</f>
        <v>1328505475.2828302</v>
      </c>
      <c r="CX21" s="20">
        <f>+MOP_Mes_Corriente!CX22*MOP_Mes_Constante!$CP$1</f>
        <v>1328505475.2828302</v>
      </c>
      <c r="CY21" s="20">
        <f>+MOP_Mes_Corriente!CY22*MOP_Mes_Constante!$CP$1</f>
        <v>1312791035.3686771</v>
      </c>
      <c r="CZ21" s="20">
        <f>+MOP_Mes_Corriente!CZ22*MOP_Mes_Constante!$CP$1</f>
        <v>1312673156.2503479</v>
      </c>
      <c r="DA21" s="20">
        <f>+MOP_Mes_Corriente!DA22*MOP_Mes_Constante!$CP$1</f>
        <v>1423080165.7023199</v>
      </c>
      <c r="DB21" s="20">
        <f t="shared" ref="DB21:DB26" si="26">DA21</f>
        <v>1423080165.7023199</v>
      </c>
      <c r="DC21" s="20">
        <f>+MOP_Mes_Corriente!DC22*MOP_Mes_Constante!$DC$1</f>
        <v>1371943624.6884072</v>
      </c>
      <c r="DD21" s="20">
        <f>+MOP_Mes_Corriente!DD22*MOP_Mes_Constante!$DC$1</f>
        <v>1371943624.6884072</v>
      </c>
      <c r="DE21" s="20">
        <f>+MOP_Mes_Corriente!DE22*MOP_Mes_Constante!$DC$1</f>
        <v>1371543015.5533388</v>
      </c>
      <c r="DF21" s="20">
        <f>+MOP_Mes_Corriente!DF22*MOP_Mes_Constante!$DC$1</f>
        <v>1371543015.5533388</v>
      </c>
      <c r="DG21" s="20">
        <f>+MOP_Mes_Corriente!DG22*MOP_Mes_Constante!$DC$1</f>
        <v>1369748053.9238768</v>
      </c>
      <c r="DH21" s="20">
        <f>+MOP_Mes_Corriente!DH22*MOP_Mes_Constante!$DC$1</f>
        <v>1369261379.9191449</v>
      </c>
      <c r="DI21" s="20">
        <f>+MOP_Mes_Corriente!DI22*MOP_Mes_Constante!$DC$1</f>
        <v>1228351664.4756718</v>
      </c>
      <c r="DJ21" s="20">
        <f>+MOP_Mes_Corriente!DJ22*MOP_Mes_Constante!$DC$1</f>
        <v>1228351664.4756718</v>
      </c>
      <c r="DK21" s="20">
        <f>+MOP_Mes_Corriente!DK22*MOP_Mes_Constante!$DC$1</f>
        <v>1216504653.5909891</v>
      </c>
      <c r="DL21" s="20">
        <f>+MOP_Mes_Corriente!DL22*MOP_Mes_Constante!$DC$1</f>
        <v>1216504653.5909891</v>
      </c>
      <c r="DM21" s="20">
        <f>+MOP_Mes_Corriente!DM22*MOP_Mes_Constante!$DC$1</f>
        <v>1216026150.7641194</v>
      </c>
      <c r="DN21" s="20">
        <f>+MOP_Mes_Corriente!DN22*MOP_Mes_Constante!$DC$1</f>
        <v>1087621986.9431133</v>
      </c>
      <c r="DO21" s="20">
        <f t="shared" ref="DO21:DO26" si="27">DN21</f>
        <v>1087621986.9431133</v>
      </c>
      <c r="DP21" s="20">
        <f>+MOP_Mes_Corriente!DP22*MOP_Mes_Constante!$DP$1</f>
        <v>2069554753.2523756</v>
      </c>
      <c r="DQ21" s="20">
        <f>+MOP_Mes_Corriente!DQ22*MOP_Mes_Constante!$DP$1</f>
        <v>2069554753.2523756</v>
      </c>
      <c r="DR21" s="20">
        <f>+MOP_Mes_Corriente!DR22*MOP_Mes_Constante!$DP$1</f>
        <v>2069554753.2523756</v>
      </c>
      <c r="DS21" s="20">
        <f>+MOP_Mes_Corriente!DS22*MOP_Mes_Constante!$DP$1</f>
        <v>2047972890.6003566</v>
      </c>
      <c r="DT21" s="20">
        <f>+MOP_Mes_Corriente!DT22*MOP_Mes_Constante!$DP$1</f>
        <v>2000679076.740499</v>
      </c>
      <c r="DU21" s="20">
        <f>+MOP_Mes_Corriente!DU22*MOP_Mes_Constante!$DP$1</f>
        <v>1918496178.8782663</v>
      </c>
      <c r="DV21" s="20">
        <f>+MOP_Mes_Corriente!DV22*MOP_Mes_Constante!$DP$1</f>
        <v>1918496178.8782663</v>
      </c>
      <c r="DW21" s="20">
        <f>+MOP_Mes_Corriente!DW22*MOP_Mes_Constante!$DP$1</f>
        <v>1755477133.7654395</v>
      </c>
      <c r="DX21" s="20">
        <f>+MOP_Mes_Corriente!DX22*MOP_Mes_Constante!$DP$1</f>
        <v>1752037700.551069</v>
      </c>
      <c r="DY21" s="20">
        <f>+MOP_Mes_Corriente!DY22*MOP_Mes_Constante!$DP$1</f>
        <v>1668487430.6579573</v>
      </c>
      <c r="DZ21" s="20">
        <f>+MOP_Mes_Corriente!DZ22*MOP_Mes_Constante!$DP$1</f>
        <v>1668487430.6579573</v>
      </c>
      <c r="EA21" s="20">
        <f>+MOP_Mes_Corriente!EA22*MOP_Mes_Constante!$DP$1</f>
        <v>1543600797.0659146</v>
      </c>
      <c r="EB21" s="20">
        <f t="shared" ref="EB21:EB26" si="28">EA21</f>
        <v>1543600797.0659146</v>
      </c>
      <c r="EC21" s="20">
        <f>+MOP_Mes_Corriente!EC22*MOP_Mes_Constante!$EC$1</f>
        <v>2082048173.989774</v>
      </c>
      <c r="ED21" s="20">
        <f>+MOP_Mes_Corriente!ED22*MOP_Mes_Constante!$EC$1</f>
        <v>2082048173.989774</v>
      </c>
      <c r="EE21" s="20">
        <f>+MOP_Mes_Corriente!EE22*MOP_Mes_Constante!$EC$1</f>
        <v>2027384947.0327582</v>
      </c>
      <c r="EF21" s="20">
        <f>+MOP_Mes_Corriente!EF22*MOP_Mes_Constante!$EC$1</f>
        <v>2027384947.0327582</v>
      </c>
      <c r="EG21" s="20">
        <f>+MOP_Mes_Corriente!EG22*MOP_Mes_Constante!$EC$1</f>
        <v>2027036029.8468087</v>
      </c>
      <c r="EH21" s="20">
        <f>+MOP_Mes_Corriente!EH22*MOP_Mes_Constante!$EC$1</f>
        <v>2006266078.3224761</v>
      </c>
      <c r="EI21" s="20">
        <f>+MOP_Mes_Corriente!EI22*MOP_Mes_Constante!$EC$1</f>
        <v>2006266078.3224761</v>
      </c>
      <c r="EJ21" s="20">
        <f>+MOP_Mes_Corriente!EJ22*MOP_Mes_Constante!$EC$1</f>
        <v>2005573230.0630555</v>
      </c>
      <c r="EK21" s="20">
        <f>+MOP_Mes_Corriente!EK22*MOP_Mes_Constante!$EC$1</f>
        <v>2004228427.9422452</v>
      </c>
      <c r="EL21" s="20">
        <f>+MOP_Mes_Corriente!EL22*MOP_Mes_Constante!$EC$1</f>
        <v>1996148481.2902853</v>
      </c>
      <c r="EM21" s="20">
        <f>+MOP_Mes_Corriente!EM22*MOP_Mes_Constante!$EC$1</f>
        <v>1957123976.8165114</v>
      </c>
      <c r="EN21" s="20">
        <f>+MOP_Mes_Corriente!EN22*MOP_Mes_Constante!$EC$1</f>
        <v>1664091791.2399161</v>
      </c>
      <c r="EO21" s="20">
        <f t="shared" ref="EO21:EO26" si="29">EN21</f>
        <v>1664091791.2399161</v>
      </c>
      <c r="EP21" s="20">
        <f>+MOP_Mes_Corriente!EP22*MOP_Mes_Constante!$EP$1</f>
        <v>2083103023</v>
      </c>
      <c r="EQ21" s="20">
        <f>+MOP_Mes_Corriente!EQ22*MOP_Mes_Constante!$EP$1</f>
        <v>2083103023</v>
      </c>
      <c r="ER21" s="20">
        <f>+MOP_Mes_Corriente!ER22*MOP_Mes_Constante!$EP$1</f>
        <v>2068572694</v>
      </c>
      <c r="ES21" s="20">
        <f>+MOP_Mes_Corriente!ES22*MOP_Mes_Constante!$EP$1</f>
        <v>2068438694</v>
      </c>
      <c r="ET21" s="20">
        <f>+MOP_Mes_Corriente!ET22*MOP_Mes_Constante!$EP$1</f>
        <v>2067139640</v>
      </c>
      <c r="EU21" s="20">
        <f>+MOP_Mes_Corriente!EU22*MOP_Mes_Constante!$EP$1</f>
        <v>1962984489</v>
      </c>
      <c r="EV21" s="20">
        <f>+MOP_Mes_Corriente!EV22*MOP_Mes_Constante!$EP$1</f>
        <v>1968056577</v>
      </c>
      <c r="EW21" s="20">
        <f>+MOP_Mes_Corriente!EW22*MOP_Mes_Constante!$EP$1</f>
        <v>1968056577</v>
      </c>
      <c r="EX21" s="20">
        <f>+MOP_Mes_Corriente!EX22*MOP_Mes_Constante!$EP$1</f>
        <v>1968056577</v>
      </c>
      <c r="EY21" s="20">
        <f>+MOP_Mes_Corriente!EY22*MOP_Mes_Constante!$EP$1</f>
        <v>1968056577</v>
      </c>
      <c r="EZ21" s="20">
        <f>+MOP_Mes_Corriente!EZ22*MOP_Mes_Constante!$EP$1</f>
        <v>1968056577</v>
      </c>
      <c r="FA21" s="20">
        <f>+MOP_Mes_Corriente!FA22*MOP_Mes_Constante!$EP$1</f>
        <v>1976677470</v>
      </c>
      <c r="FB21" s="20">
        <f t="shared" ref="FB21:FB26" si="30">FA21</f>
        <v>1976677470</v>
      </c>
      <c r="FC21" s="20">
        <f>+MOP_Mes_Corriente!FC22*MOP_Mes_Constante!$FC$1</f>
        <v>1951485600</v>
      </c>
      <c r="FD21" s="20">
        <f>+MOP_Mes_Corriente!FD22*MOP_Mes_Constante!$FC$1</f>
        <v>1951485600</v>
      </c>
      <c r="FE21" s="20">
        <f>+MOP_Mes_Corriente!FE22*MOP_Mes_Constante!$FC$1</f>
        <v>1905464563</v>
      </c>
      <c r="FF21" s="20">
        <f>+MOP_Mes_Corriente!FF22*MOP_Mes_Constante!$FC$1</f>
        <v>1905464563</v>
      </c>
      <c r="FG21" s="20">
        <f>+MOP_Mes_Corriente!FG22*MOP_Mes_Constante!$FC$1</f>
        <v>1817932962</v>
      </c>
      <c r="FH21" s="20">
        <f>+MOP_Mes_Corriente!FH22*MOP_Mes_Constante!$FC$1</f>
        <v>1801311962</v>
      </c>
      <c r="FI21" s="20">
        <f>+MOP_Mes_Corriente!FI22*MOP_Mes_Constante!$FC$1</f>
        <v>1801311962</v>
      </c>
      <c r="FJ21" s="10"/>
      <c r="FK21" s="10"/>
      <c r="FL21" s="10"/>
      <c r="FM21" s="10"/>
      <c r="FN21" s="10"/>
      <c r="FO21" s="20">
        <f t="shared" ref="FO21:FO26" si="31">FI21</f>
        <v>1801311962</v>
      </c>
    </row>
    <row r="22" spans="1:171" ht="27.75" customHeight="1">
      <c r="A22" s="10"/>
      <c r="B22" s="19" t="s">
        <v>44</v>
      </c>
      <c r="C22" s="20">
        <f>+MOP_Mes_Corriente!C23*MOP_Mes_Constante!$C$1</f>
        <v>164038595.54441646</v>
      </c>
      <c r="D22" s="20">
        <f>+MOP_Mes_Corriente!D23*MOP_Mes_Constante!$C$1</f>
        <v>164038595.54441646</v>
      </c>
      <c r="E22" s="20">
        <f>+MOP_Mes_Corriente!E23*MOP_Mes_Constante!$C$1</f>
        <v>164038595.54441646</v>
      </c>
      <c r="F22" s="20">
        <f>+MOP_Mes_Corriente!F23*MOP_Mes_Constante!$C$1</f>
        <v>164038595.54441646</v>
      </c>
      <c r="G22" s="20">
        <f>+MOP_Mes_Corriente!G23*MOP_Mes_Constante!$C$1</f>
        <v>164038595.54441646</v>
      </c>
      <c r="H22" s="20">
        <f>+MOP_Mes_Corriente!H23*MOP_Mes_Constante!$C$1</f>
        <v>164038595.54441646</v>
      </c>
      <c r="I22" s="20">
        <f>+MOP_Mes_Corriente!I23*MOP_Mes_Constante!$C$1</f>
        <v>164038595.54441646</v>
      </c>
      <c r="J22" s="20">
        <f>+MOP_Mes_Corriente!J23*MOP_Mes_Constante!$C$1</f>
        <v>164038595.54441646</v>
      </c>
      <c r="K22" s="20">
        <f>+MOP_Mes_Corriente!K23*MOP_Mes_Constante!$C$1</f>
        <v>164038595.54441646</v>
      </c>
      <c r="L22" s="20">
        <f>+MOP_Mes_Corriente!L23*MOP_Mes_Constante!$C$1</f>
        <v>169243281.4417915</v>
      </c>
      <c r="M22" s="20">
        <f>+MOP_Mes_Corriente!M23*MOP_Mes_Constante!$C$1</f>
        <v>169243281.4417915</v>
      </c>
      <c r="N22" s="20">
        <f>+MOP_Mes_Corriente!N23*MOP_Mes_Constante!$C$1</f>
        <v>170220919.4406051</v>
      </c>
      <c r="O22" s="20">
        <f t="shared" si="19"/>
        <v>170220919.4406051</v>
      </c>
      <c r="P22" s="20">
        <f>+MOP_Mes_Corriente!P23*MOP_Mes_Constante!$P$1</f>
        <v>182226508.66515124</v>
      </c>
      <c r="Q22" s="20">
        <f>+MOP_Mes_Corriente!Q23*MOP_Mes_Constante!$P$1</f>
        <v>182226508.66515124</v>
      </c>
      <c r="R22" s="20">
        <f>+MOP_Mes_Corriente!R23*MOP_Mes_Constante!$P$1</f>
        <v>182226508.66515124</v>
      </c>
      <c r="S22" s="20">
        <f>+MOP_Mes_Corriente!S23*MOP_Mes_Constante!$P$1</f>
        <v>182226508.66515124</v>
      </c>
      <c r="T22" s="20">
        <f>+MOP_Mes_Corriente!T23*MOP_Mes_Constante!$P$1</f>
        <v>182226508.66515124</v>
      </c>
      <c r="U22" s="20">
        <f>+MOP_Mes_Corriente!U23*MOP_Mes_Constante!$P$1</f>
        <v>185330926.90637869</v>
      </c>
      <c r="V22" s="20">
        <f>+MOP_Mes_Corriente!V23*MOP_Mes_Constante!$P$1</f>
        <v>185330926.90637869</v>
      </c>
      <c r="W22" s="20">
        <f>+MOP_Mes_Corriente!W23*MOP_Mes_Constante!$P$1</f>
        <v>185330926.90637869</v>
      </c>
      <c r="X22" s="20">
        <f>+MOP_Mes_Corriente!X23*MOP_Mes_Constante!$P$1</f>
        <v>185330926.90637869</v>
      </c>
      <c r="Y22" s="20">
        <f>+MOP_Mes_Corriente!Y23*MOP_Mes_Constante!$P$1</f>
        <v>196513876.49978682</v>
      </c>
      <c r="Z22" s="20">
        <f>+MOP_Mes_Corriente!Z23*MOP_Mes_Constante!$P$1</f>
        <v>196513876.49978682</v>
      </c>
      <c r="AA22" s="20">
        <f>+MOP_Mes_Corriente!AA23*MOP_Mes_Constante!$P$1</f>
        <v>198040828.07358992</v>
      </c>
      <c r="AB22" s="20">
        <f t="shared" si="20"/>
        <v>198040828.07358992</v>
      </c>
      <c r="AC22" s="20">
        <f>+MOP_Mes_Corriente!AC23*MOP_Mes_Constante!$AC$1</f>
        <v>192392099.54682529</v>
      </c>
      <c r="AD22" s="20">
        <f>+MOP_Mes_Corriente!AD23*MOP_Mes_Constante!$AC$1</f>
        <v>192392099.54682529</v>
      </c>
      <c r="AE22" s="20">
        <f>+MOP_Mes_Corriente!AE23*MOP_Mes_Constante!$AC$1</f>
        <v>192392099.54682529</v>
      </c>
      <c r="AF22" s="20">
        <f>+MOP_Mes_Corriente!AF23*MOP_Mes_Constante!$AC$1</f>
        <v>192392099.54682529</v>
      </c>
      <c r="AG22" s="20">
        <f>+MOP_Mes_Corriente!AG23*MOP_Mes_Constante!$AC$1</f>
        <v>192392099.54682529</v>
      </c>
      <c r="AH22" s="20">
        <f>+MOP_Mes_Corriente!AH23*MOP_Mes_Constante!$AC$1</f>
        <v>192392099.54682529</v>
      </c>
      <c r="AI22" s="20">
        <f>+MOP_Mes_Corriente!AI23*MOP_Mes_Constante!$AC$1</f>
        <v>192392099.54682529</v>
      </c>
      <c r="AJ22" s="20">
        <f>+MOP_Mes_Corriente!AJ23*MOP_Mes_Constante!$AC$1</f>
        <v>192392099.54682529</v>
      </c>
      <c r="AK22" s="20">
        <f>+MOP_Mes_Corriente!AK23*MOP_Mes_Constante!$AC$1</f>
        <v>192392099.54682529</v>
      </c>
      <c r="AL22" s="20">
        <f>+MOP_Mes_Corriente!AL23*MOP_Mes_Constante!$AC$1</f>
        <v>192392099.54682529</v>
      </c>
      <c r="AM22" s="20">
        <f>+MOP_Mes_Corriente!AM23*MOP_Mes_Constante!$AC$1</f>
        <v>192392099.54682529</v>
      </c>
      <c r="AN22" s="20">
        <f>+MOP_Mes_Corriente!AN23*MOP_Mes_Constante!$AC$1</f>
        <v>190123490.74394798</v>
      </c>
      <c r="AO22" s="20">
        <f t="shared" si="21"/>
        <v>190123490.74394798</v>
      </c>
      <c r="AP22" s="20">
        <f>+MOP_Mes_Corriente!AP23*MOP_Mes_Constante!$AP$1</f>
        <v>179763533.10401729</v>
      </c>
      <c r="AQ22" s="20">
        <f>+MOP_Mes_Corriente!AQ23*MOP_Mes_Constante!$AP$1</f>
        <v>179763533.10401729</v>
      </c>
      <c r="AR22" s="20">
        <f>+MOP_Mes_Corriente!AR23*MOP_Mes_Constante!$AP$1</f>
        <v>179763533.10401729</v>
      </c>
      <c r="AS22" s="20">
        <f>+MOP_Mes_Corriente!AS23*MOP_Mes_Constante!$AP$1</f>
        <v>179763533.10401729</v>
      </c>
      <c r="AT22" s="20">
        <f>+MOP_Mes_Corriente!AT23*MOP_Mes_Constante!$AP$1</f>
        <v>179763533.10401729</v>
      </c>
      <c r="AU22" s="20">
        <f>+MOP_Mes_Corriente!AU23*MOP_Mes_Constante!$AP$1</f>
        <v>192109041.15217096</v>
      </c>
      <c r="AV22" s="20">
        <f>+MOP_Mes_Corriente!AV23*MOP_Mes_Constante!$AP$1</f>
        <v>192109041.15217096</v>
      </c>
      <c r="AW22" s="20">
        <f>+MOP_Mes_Corriente!AW23*MOP_Mes_Constante!$AP$1</f>
        <v>209330829.05965102</v>
      </c>
      <c r="AX22" s="20">
        <f>+MOP_Mes_Corriente!AX23*MOP_Mes_Constante!$AP$1</f>
        <v>209330829.05965102</v>
      </c>
      <c r="AY22" s="20">
        <f>+MOP_Mes_Corriente!AY23*MOP_Mes_Constante!$AP$1</f>
        <v>217462854.44880292</v>
      </c>
      <c r="AZ22" s="20">
        <f>+MOP_Mes_Corriente!AZ23*MOP_Mes_Constante!$AP$1</f>
        <v>217462854.44880292</v>
      </c>
      <c r="BA22" s="20">
        <f>+MOP_Mes_Corriente!BA23*MOP_Mes_Constante!$AP$1</f>
        <v>216469135.26606247</v>
      </c>
      <c r="BB22" s="20">
        <f t="shared" si="22"/>
        <v>216469135.26606247</v>
      </c>
      <c r="BC22" s="20">
        <f>+MOP_Mes_Corriente!BC23*MOP_Mes_Constante!$BC$1</f>
        <v>172593271.50257158</v>
      </c>
      <c r="BD22" s="20">
        <f>+MOP_Mes_Corriente!BD23*MOP_Mes_Constante!$BC$1</f>
        <v>172593271.50257158</v>
      </c>
      <c r="BE22" s="20">
        <f>+MOP_Mes_Corriente!BE23*MOP_Mes_Constante!$BC$1</f>
        <v>172665314.22972444</v>
      </c>
      <c r="BF22" s="20">
        <f>+MOP_Mes_Corriente!BF23*MOP_Mes_Constante!$BC$1</f>
        <v>172665314.22972444</v>
      </c>
      <c r="BG22" s="20">
        <f>+MOP_Mes_Corriente!BG23*MOP_Mes_Constante!$BC$1</f>
        <v>172665314.22972444</v>
      </c>
      <c r="BH22" s="20">
        <f>+MOP_Mes_Corriente!BH23*MOP_Mes_Constante!$BC$1</f>
        <v>172665314.22972444</v>
      </c>
      <c r="BI22" s="20">
        <f>+MOP_Mes_Corriente!BI23*MOP_Mes_Constante!$BC$1</f>
        <v>172328874.69392064</v>
      </c>
      <c r="BJ22" s="20">
        <f>+MOP_Mes_Corriente!BJ23*MOP_Mes_Constante!$BC$1</f>
        <v>172328874.69392064</v>
      </c>
      <c r="BK22" s="20">
        <f>+MOP_Mes_Corriente!BK23*MOP_Mes_Constante!$BC$1</f>
        <v>175657248.68838194</v>
      </c>
      <c r="BL22" s="20">
        <f>+MOP_Mes_Corriente!BL23*MOP_Mes_Constante!$BC$1</f>
        <v>181115394.44942638</v>
      </c>
      <c r="BM22" s="20">
        <f>+MOP_Mes_Corriente!BM23*MOP_Mes_Constante!$BC$1</f>
        <v>181115394.44942638</v>
      </c>
      <c r="BN22" s="20">
        <f>+MOP_Mes_Corriente!BN23*MOP_Mes_Constante!$BC$1</f>
        <v>173135597.62574184</v>
      </c>
      <c r="BO22" s="20">
        <f t="shared" si="23"/>
        <v>173135597.62574184</v>
      </c>
      <c r="BP22" s="20">
        <f>+MOP_Mes_Corriente!BP23*MOP_Mes_Constante!$BP$1</f>
        <v>180723317.47144687</v>
      </c>
      <c r="BQ22" s="20">
        <f>+MOP_Mes_Corriente!BQ23*MOP_Mes_Constante!$BP$1</f>
        <v>180723317.47144687</v>
      </c>
      <c r="BR22" s="20">
        <f>+MOP_Mes_Corriente!BR23*MOP_Mes_Constante!$BP$1</f>
        <v>180723317.47144687</v>
      </c>
      <c r="BS22" s="20">
        <f>+MOP_Mes_Corriente!BS23*MOP_Mes_Constante!$BP$1</f>
        <v>180723317.47144687</v>
      </c>
      <c r="BT22" s="20">
        <f>+MOP_Mes_Corriente!BT23*MOP_Mes_Constante!$BP$1</f>
        <v>180723317.47144687</v>
      </c>
      <c r="BU22" s="20">
        <f>+MOP_Mes_Corriente!BU23*MOP_Mes_Constante!$BP$1</f>
        <v>180723317.47144687</v>
      </c>
      <c r="BV22" s="20">
        <f>+MOP_Mes_Corriente!BV23*MOP_Mes_Constante!$BP$1</f>
        <v>180723317.47144687</v>
      </c>
      <c r="BW22" s="20">
        <f>+MOP_Mes_Corriente!BW23*MOP_Mes_Constante!$BP$1</f>
        <v>183594337.3152369</v>
      </c>
      <c r="BX22" s="20">
        <f>+MOP_Mes_Corriente!BX23*MOP_Mes_Constante!$BP$1</f>
        <v>197115568.69090912</v>
      </c>
      <c r="BY22" s="20">
        <f>+MOP_Mes_Corriente!BY23*MOP_Mes_Constante!$BP$1</f>
        <v>197115568.69090912</v>
      </c>
      <c r="BZ22" s="20">
        <f>+MOP_Mes_Corriente!BZ23*MOP_Mes_Constante!$BP$1</f>
        <v>197115568.69090912</v>
      </c>
      <c r="CA22" s="20">
        <f>+MOP_Mes_Corriente!CA23*MOP_Mes_Constante!$BP$1</f>
        <v>193537323.27656853</v>
      </c>
      <c r="CB22" s="20">
        <f t="shared" si="24"/>
        <v>193537323.27656853</v>
      </c>
      <c r="CC22" s="20">
        <f>+MOP_Mes_Corriente!CC23*MOP_Mes_Constante!$CC$1</f>
        <v>187019416.89668036</v>
      </c>
      <c r="CD22" s="20">
        <f>+MOP_Mes_Corriente!CD23*MOP_Mes_Constante!$CC$1</f>
        <v>187019416.89668036</v>
      </c>
      <c r="CE22" s="20">
        <f>+MOP_Mes_Corriente!CE23*MOP_Mes_Constante!$CC$1</f>
        <v>207803676.50130549</v>
      </c>
      <c r="CF22" s="20">
        <f>+MOP_Mes_Corriente!CF23*MOP_Mes_Constante!$CC$1</f>
        <v>207803676.50130549</v>
      </c>
      <c r="CG22" s="20">
        <f>+MOP_Mes_Corriente!CG23*MOP_Mes_Constante!$CC$1</f>
        <v>195428027.37336817</v>
      </c>
      <c r="CH22" s="20">
        <f>+MOP_Mes_Corriente!CH23*MOP_Mes_Constante!$CC$1</f>
        <v>195428027.37336817</v>
      </c>
      <c r="CI22" s="20">
        <f>+MOP_Mes_Corriente!CI23*MOP_Mes_Constante!$CC$1</f>
        <v>195428027.37336817</v>
      </c>
      <c r="CJ22" s="20">
        <f>+MOP_Mes_Corriente!CJ23*MOP_Mes_Constante!$CC$1</f>
        <v>195428027.37336817</v>
      </c>
      <c r="CK22" s="20">
        <f>+MOP_Mes_Corriente!CK23*MOP_Mes_Constante!$CC$1</f>
        <v>195428027.37336817</v>
      </c>
      <c r="CL22" s="20">
        <f>+MOP_Mes_Corriente!CL23*MOP_Mes_Constante!$CC$1</f>
        <v>195428027.37336817</v>
      </c>
      <c r="CM22" s="20">
        <f>+MOP_Mes_Corriente!CM23*MOP_Mes_Constante!$CC$1</f>
        <v>195428027.37336817</v>
      </c>
      <c r="CN22" s="20">
        <f>+MOP_Mes_Corriente!CN23*MOP_Mes_Constante!$CC$1</f>
        <v>192657803.44498324</v>
      </c>
      <c r="CO22" s="20">
        <f t="shared" si="25"/>
        <v>192657803.44498324</v>
      </c>
      <c r="CP22" s="20">
        <f>+MOP_Mes_Corriente!CP23*MOP_Mes_Constante!$CP$1</f>
        <v>178468473.07378188</v>
      </c>
      <c r="CQ22" s="20">
        <f>+MOP_Mes_Corriente!CQ23*MOP_Mes_Constante!$CP$1</f>
        <v>178468473.07378188</v>
      </c>
      <c r="CR22" s="20">
        <f>+MOP_Mes_Corriente!CR23*MOP_Mes_Constante!$CP$1</f>
        <v>178468473.07378188</v>
      </c>
      <c r="CS22" s="20">
        <f>+MOP_Mes_Corriente!CS23*MOP_Mes_Constante!$CP$1</f>
        <v>178468473.07378188</v>
      </c>
      <c r="CT22" s="20">
        <f>+MOP_Mes_Corriente!CT23*MOP_Mes_Constante!$CP$1</f>
        <v>169743748.99698374</v>
      </c>
      <c r="CU22" s="20">
        <f>+MOP_Mes_Corriente!CU23*MOP_Mes_Constante!$CP$1</f>
        <v>169743748.99698374</v>
      </c>
      <c r="CV22" s="20">
        <f>+MOP_Mes_Corriente!CV23*MOP_Mes_Constante!$CP$1</f>
        <v>169743748.99698374</v>
      </c>
      <c r="CW22" s="20">
        <f>+MOP_Mes_Corriente!CW23*MOP_Mes_Constante!$CP$1</f>
        <v>169743748.99698374</v>
      </c>
      <c r="CX22" s="20">
        <f>+MOP_Mes_Corriente!CX23*MOP_Mes_Constante!$CP$1</f>
        <v>169743748.99698374</v>
      </c>
      <c r="CY22" s="20">
        <f>+MOP_Mes_Corriente!CY23*MOP_Mes_Constante!$CP$1</f>
        <v>169743748.99698374</v>
      </c>
      <c r="CZ22" s="20">
        <f>+MOP_Mes_Corriente!CZ23*MOP_Mes_Constante!$CP$1</f>
        <v>169743748.99698374</v>
      </c>
      <c r="DA22" s="20">
        <f>+MOP_Mes_Corriente!DA23*MOP_Mes_Constante!$CP$1</f>
        <v>177483978.36542919</v>
      </c>
      <c r="DB22" s="20">
        <f t="shared" si="26"/>
        <v>177483978.36542919</v>
      </c>
      <c r="DC22" s="20">
        <f>+MOP_Mes_Corriente!DC23*MOP_Mes_Constante!$DC$1</f>
        <v>165247386.62524441</v>
      </c>
      <c r="DD22" s="20">
        <f>+MOP_Mes_Corriente!DD23*MOP_Mes_Constante!$DC$1</f>
        <v>165247386.62524441</v>
      </c>
      <c r="DE22" s="20">
        <f>+MOP_Mes_Corriente!DE23*MOP_Mes_Constante!$DC$1</f>
        <v>165247386.62524441</v>
      </c>
      <c r="DF22" s="20">
        <f>+MOP_Mes_Corriente!DF23*MOP_Mes_Constante!$DC$1</f>
        <v>165247386.62524441</v>
      </c>
      <c r="DG22" s="20">
        <f>+MOP_Mes_Corriente!DG23*MOP_Mes_Constante!$DC$1</f>
        <v>165247386.62524441</v>
      </c>
      <c r="DH22" s="20">
        <f>+MOP_Mes_Corriente!DH23*MOP_Mes_Constante!$DC$1</f>
        <v>165247386.62524441</v>
      </c>
      <c r="DI22" s="20">
        <f>+MOP_Mes_Corriente!DI23*MOP_Mes_Constante!$DC$1</f>
        <v>165247386.62524441</v>
      </c>
      <c r="DJ22" s="20">
        <f>+MOP_Mes_Corriente!DJ23*MOP_Mes_Constante!$DC$1</f>
        <v>165051968.46703023</v>
      </c>
      <c r="DK22" s="20">
        <f>+MOP_Mes_Corriente!DK23*MOP_Mes_Constante!$DC$1</f>
        <v>162776357.25007722</v>
      </c>
      <c r="DL22" s="20">
        <f>+MOP_Mes_Corriente!DL23*MOP_Mes_Constante!$DC$1</f>
        <v>146898872.98426095</v>
      </c>
      <c r="DM22" s="20">
        <f>+MOP_Mes_Corriente!DM23*MOP_Mes_Constante!$DC$1</f>
        <v>146697137.05565277</v>
      </c>
      <c r="DN22" s="20">
        <f>+MOP_Mes_Corriente!DN23*MOP_Mes_Constante!$DC$1</f>
        <v>145746439.05668148</v>
      </c>
      <c r="DO22" s="20">
        <f t="shared" si="27"/>
        <v>145746439.05668148</v>
      </c>
      <c r="DP22" s="20">
        <f>+MOP_Mes_Corriente!DP23*MOP_Mes_Constante!$DP$1</f>
        <v>317476648.99346799</v>
      </c>
      <c r="DQ22" s="20">
        <f>+MOP_Mes_Corriente!DQ23*MOP_Mes_Constante!$DP$1</f>
        <v>317476648.99346799</v>
      </c>
      <c r="DR22" s="20">
        <f>+MOP_Mes_Corriente!DR23*MOP_Mes_Constante!$DP$1</f>
        <v>317476648.99346799</v>
      </c>
      <c r="DS22" s="20">
        <f>+MOP_Mes_Corriente!DS23*MOP_Mes_Constante!$DP$1</f>
        <v>317476648.99346799</v>
      </c>
      <c r="DT22" s="20">
        <f>+MOP_Mes_Corriente!DT23*MOP_Mes_Constante!$DP$1</f>
        <v>317476648.99346799</v>
      </c>
      <c r="DU22" s="20">
        <f>+MOP_Mes_Corriente!DU23*MOP_Mes_Constante!$DP$1</f>
        <v>275798043.26722091</v>
      </c>
      <c r="DV22" s="20">
        <f>+MOP_Mes_Corriente!DV23*MOP_Mes_Constante!$DP$1</f>
        <v>236924385.26187649</v>
      </c>
      <c r="DW22" s="20">
        <f>+MOP_Mes_Corriente!DW23*MOP_Mes_Constante!$DP$1</f>
        <v>229354907.82719716</v>
      </c>
      <c r="DX22" s="20">
        <f>+MOP_Mes_Corriente!DX23*MOP_Mes_Constante!$DP$1</f>
        <v>229354907.82719716</v>
      </c>
      <c r="DY22" s="20">
        <f>+MOP_Mes_Corriente!DY23*MOP_Mes_Constante!$DP$1</f>
        <v>229354907.82719716</v>
      </c>
      <c r="DZ22" s="20">
        <f>+MOP_Mes_Corriente!DZ23*MOP_Mes_Constante!$DP$1</f>
        <v>229354907.82719716</v>
      </c>
      <c r="EA22" s="20">
        <f>+MOP_Mes_Corriente!EA23*MOP_Mes_Constante!$DP$1</f>
        <v>214874851.09738719</v>
      </c>
      <c r="EB22" s="20">
        <f t="shared" si="28"/>
        <v>214874851.09738719</v>
      </c>
      <c r="EC22" s="20">
        <f>+MOP_Mes_Corriente!EC23*MOP_Mes_Constante!$EC$1</f>
        <v>305892773.42567688</v>
      </c>
      <c r="ED22" s="20">
        <f>+MOP_Mes_Corriente!ED23*MOP_Mes_Constante!$EC$1</f>
        <v>305892773.42567688</v>
      </c>
      <c r="EE22" s="20">
        <f>+MOP_Mes_Corriente!EE23*MOP_Mes_Constante!$EC$1</f>
        <v>288208920.3590228</v>
      </c>
      <c r="EF22" s="20">
        <f>+MOP_Mes_Corriente!EF23*MOP_Mes_Constante!$EC$1</f>
        <v>288208920.3590228</v>
      </c>
      <c r="EG22" s="20">
        <f>+MOP_Mes_Corriente!EG23*MOP_Mes_Constante!$EC$1</f>
        <v>288142556.44328719</v>
      </c>
      <c r="EH22" s="20">
        <f>+MOP_Mes_Corriente!EH23*MOP_Mes_Constante!$EC$1</f>
        <v>288142556.44328719</v>
      </c>
      <c r="EI22" s="20">
        <f>+MOP_Mes_Corriente!EI23*MOP_Mes_Constante!$EC$1</f>
        <v>288142556.44328719</v>
      </c>
      <c r="EJ22" s="20">
        <f>+MOP_Mes_Corriente!EJ23*MOP_Mes_Constante!$EC$1</f>
        <v>292693354.40655172</v>
      </c>
      <c r="EK22" s="20">
        <f>+MOP_Mes_Corriente!EK23*MOP_Mes_Constante!$EC$1</f>
        <v>292693354.40655172</v>
      </c>
      <c r="EL22" s="20">
        <f>+MOP_Mes_Corriente!EL23*MOP_Mes_Constante!$EC$1</f>
        <v>292693354.40655172</v>
      </c>
      <c r="EM22" s="20">
        <f>+MOP_Mes_Corriente!EM23*MOP_Mes_Constante!$EC$1</f>
        <v>292693354.40655172</v>
      </c>
      <c r="EN22" s="20">
        <f>+MOP_Mes_Corriente!EN23*MOP_Mes_Constante!$EC$1</f>
        <v>252733466.61086908</v>
      </c>
      <c r="EO22" s="20">
        <f t="shared" si="29"/>
        <v>252733466.61086908</v>
      </c>
      <c r="EP22" s="20">
        <f>+MOP_Mes_Corriente!EP23*MOP_Mes_Constante!$EP$1</f>
        <v>308121429</v>
      </c>
      <c r="EQ22" s="20">
        <f>+MOP_Mes_Corriente!EQ23*MOP_Mes_Constante!$EP$1</f>
        <v>308121429</v>
      </c>
      <c r="ER22" s="20">
        <f>+MOP_Mes_Corriente!ER23*MOP_Mes_Constante!$EP$1</f>
        <v>308121429</v>
      </c>
      <c r="ES22" s="20">
        <f>+MOP_Mes_Corriente!ES23*MOP_Mes_Constante!$EP$1</f>
        <v>308121429</v>
      </c>
      <c r="ET22" s="20">
        <f>+MOP_Mes_Corriente!ET23*MOP_Mes_Constante!$EP$1</f>
        <v>308121429</v>
      </c>
      <c r="EU22" s="20">
        <f>+MOP_Mes_Corriente!EU23*MOP_Mes_Constante!$EP$1</f>
        <v>288121429</v>
      </c>
      <c r="EV22" s="20">
        <f>+MOP_Mes_Corriente!EV23*MOP_Mes_Constante!$EP$1</f>
        <v>288121429</v>
      </c>
      <c r="EW22" s="20">
        <f>+MOP_Mes_Corriente!EW23*MOP_Mes_Constante!$EP$1</f>
        <v>288121429</v>
      </c>
      <c r="EX22" s="20">
        <f>+MOP_Mes_Corriente!EX23*MOP_Mes_Constante!$EP$1</f>
        <v>288121429</v>
      </c>
      <c r="EY22" s="20">
        <f>+MOP_Mes_Corriente!EY23*MOP_Mes_Constante!$EP$1</f>
        <v>284126983</v>
      </c>
      <c r="EZ22" s="20">
        <f>+MOP_Mes_Corriente!EZ23*MOP_Mes_Constante!$EP$1</f>
        <v>284126983</v>
      </c>
      <c r="FA22" s="20">
        <f>+MOP_Mes_Corriente!FA23*MOP_Mes_Constante!$EP$1</f>
        <v>255720965</v>
      </c>
      <c r="FB22" s="20">
        <f t="shared" si="30"/>
        <v>255720965</v>
      </c>
      <c r="FC22" s="20">
        <f>+MOP_Mes_Corriente!FC23*MOP_Mes_Constante!$FC$1</f>
        <v>195906100</v>
      </c>
      <c r="FD22" s="20">
        <f>+MOP_Mes_Corriente!FD23*MOP_Mes_Constante!$FC$1</f>
        <v>195906100</v>
      </c>
      <c r="FE22" s="20">
        <f>+MOP_Mes_Corriente!FE23*MOP_Mes_Constante!$FC$1</f>
        <v>192119100</v>
      </c>
      <c r="FF22" s="20">
        <f>+MOP_Mes_Corriente!FF23*MOP_Mes_Constante!$FC$1</f>
        <v>192119100</v>
      </c>
      <c r="FG22" s="20">
        <f>+MOP_Mes_Corriente!FG23*MOP_Mes_Constante!$FC$1</f>
        <v>186241917</v>
      </c>
      <c r="FH22" s="20">
        <f>+MOP_Mes_Corriente!FH23*MOP_Mes_Constante!$FC$1</f>
        <v>202307917</v>
      </c>
      <c r="FI22" s="20">
        <f>+MOP_Mes_Corriente!FI23*MOP_Mes_Constante!$FC$1</f>
        <v>202307917</v>
      </c>
      <c r="FJ22" s="10"/>
      <c r="FK22" s="10"/>
      <c r="FL22" s="10"/>
      <c r="FM22" s="10"/>
      <c r="FN22" s="10"/>
      <c r="FO22" s="20">
        <f t="shared" si="31"/>
        <v>202307917</v>
      </c>
    </row>
    <row r="23" spans="1:171" ht="27.75" customHeight="1">
      <c r="A23" s="10"/>
      <c r="B23" s="19" t="s">
        <v>45</v>
      </c>
      <c r="C23" s="20">
        <f>+MOP_Mes_Corriente!C24*MOP_Mes_Constante!$C$1</f>
        <v>80058020.009194732</v>
      </c>
      <c r="D23" s="20">
        <f>+MOP_Mes_Corriente!D24*MOP_Mes_Constante!$C$1</f>
        <v>80058020.009194732</v>
      </c>
      <c r="E23" s="20">
        <f>+MOP_Mes_Corriente!E24*MOP_Mes_Constante!$C$1</f>
        <v>80058020.009194732</v>
      </c>
      <c r="F23" s="20">
        <f>+MOP_Mes_Corriente!F24*MOP_Mes_Constante!$C$1</f>
        <v>80058020.009194732</v>
      </c>
      <c r="G23" s="20">
        <f>+MOP_Mes_Corriente!G24*MOP_Mes_Constante!$C$1</f>
        <v>80058020.009194732</v>
      </c>
      <c r="H23" s="20">
        <f>+MOP_Mes_Corriente!H24*MOP_Mes_Constante!$C$1</f>
        <v>89942136.871125624</v>
      </c>
      <c r="I23" s="20">
        <f>+MOP_Mes_Corriente!I24*MOP_Mes_Constante!$C$1</f>
        <v>89942136.871125624</v>
      </c>
      <c r="J23" s="20">
        <f>+MOP_Mes_Corriente!J24*MOP_Mes_Constante!$C$1</f>
        <v>98043872.003855869</v>
      </c>
      <c r="K23" s="20">
        <f>+MOP_Mes_Corriente!K24*MOP_Mes_Constante!$C$1</f>
        <v>98043872.003855869</v>
      </c>
      <c r="L23" s="20">
        <f>+MOP_Mes_Corriente!L24*MOP_Mes_Constante!$C$1</f>
        <v>105774601.13895893</v>
      </c>
      <c r="M23" s="20">
        <f>+MOP_Mes_Corriente!M24*MOP_Mes_Constante!$C$1</f>
        <v>105774601.13895893</v>
      </c>
      <c r="N23" s="20">
        <f>+MOP_Mes_Corriente!N24*MOP_Mes_Constante!$C$1</f>
        <v>109502966.17558952</v>
      </c>
      <c r="O23" s="20">
        <f t="shared" si="19"/>
        <v>109502966.17558952</v>
      </c>
      <c r="P23" s="20">
        <f>+MOP_Mes_Corriente!P24*MOP_Mes_Constante!$P$1</f>
        <v>106923540.32561439</v>
      </c>
      <c r="Q23" s="20">
        <f>+MOP_Mes_Corriente!Q24*MOP_Mes_Constante!$P$1</f>
        <v>106923540.32561439</v>
      </c>
      <c r="R23" s="20">
        <f>+MOP_Mes_Corriente!R24*MOP_Mes_Constante!$P$1</f>
        <v>106923540.32561439</v>
      </c>
      <c r="S23" s="20">
        <f>+MOP_Mes_Corriente!S24*MOP_Mes_Constante!$P$1</f>
        <v>106923540.32561439</v>
      </c>
      <c r="T23" s="20">
        <f>+MOP_Mes_Corriente!T24*MOP_Mes_Constante!$P$1</f>
        <v>106923540.32561439</v>
      </c>
      <c r="U23" s="20">
        <f>+MOP_Mes_Corriente!U24*MOP_Mes_Constante!$P$1</f>
        <v>133398163.44225027</v>
      </c>
      <c r="V23" s="20">
        <f>+MOP_Mes_Corriente!V24*MOP_Mes_Constante!$P$1</f>
        <v>133398163.44225027</v>
      </c>
      <c r="W23" s="20">
        <f>+MOP_Mes_Corriente!W24*MOP_Mes_Constante!$P$1</f>
        <v>136192139.85935497</v>
      </c>
      <c r="X23" s="20">
        <f>+MOP_Mes_Corriente!X24*MOP_Mes_Constante!$P$1</f>
        <v>136192139.85935497</v>
      </c>
      <c r="Y23" s="20">
        <f>+MOP_Mes_Corriente!Y24*MOP_Mes_Constante!$P$1</f>
        <v>137146748.46853241</v>
      </c>
      <c r="Z23" s="20">
        <f>+MOP_Mes_Corriente!Z24*MOP_Mes_Constante!$P$1</f>
        <v>145469561.83548793</v>
      </c>
      <c r="AA23" s="20">
        <f>+MOP_Mes_Corriente!AA24*MOP_Mes_Constante!$P$1</f>
        <v>145426099.98011076</v>
      </c>
      <c r="AB23" s="20">
        <f t="shared" si="20"/>
        <v>145426099.98011076</v>
      </c>
      <c r="AC23" s="20">
        <f>+MOP_Mes_Corriente!AC24*MOP_Mes_Constante!$AC$1</f>
        <v>108069569.30031817</v>
      </c>
      <c r="AD23" s="20">
        <f>+MOP_Mes_Corriente!AD24*MOP_Mes_Constante!$AC$1</f>
        <v>108069569.30031817</v>
      </c>
      <c r="AE23" s="20">
        <f>+MOP_Mes_Corriente!AE24*MOP_Mes_Constante!$AC$1</f>
        <v>108069569.30031817</v>
      </c>
      <c r="AF23" s="20">
        <f>+MOP_Mes_Corriente!AF24*MOP_Mes_Constante!$AC$1</f>
        <v>108069569.30031817</v>
      </c>
      <c r="AG23" s="20">
        <f>+MOP_Mes_Corriente!AG24*MOP_Mes_Constante!$AC$1</f>
        <v>108069569.30031817</v>
      </c>
      <c r="AH23" s="20">
        <f>+MOP_Mes_Corriente!AH24*MOP_Mes_Constante!$AC$1</f>
        <v>108069569.30031817</v>
      </c>
      <c r="AI23" s="20">
        <f>+MOP_Mes_Corriente!AI24*MOP_Mes_Constante!$AC$1</f>
        <v>108069569.30031817</v>
      </c>
      <c r="AJ23" s="20">
        <f>+MOP_Mes_Corriente!AJ24*MOP_Mes_Constante!$AC$1</f>
        <v>113359512.58431318</v>
      </c>
      <c r="AK23" s="20">
        <f>+MOP_Mes_Corriente!AK24*MOP_Mes_Constante!$AC$1</f>
        <v>113359512.58431318</v>
      </c>
      <c r="AL23" s="20">
        <f>+MOP_Mes_Corriente!AL24*MOP_Mes_Constante!$AC$1</f>
        <v>113359512.58431318</v>
      </c>
      <c r="AM23" s="20">
        <f>+MOP_Mes_Corriente!AM24*MOP_Mes_Constante!$AC$1</f>
        <v>119624046.30211647</v>
      </c>
      <c r="AN23" s="20">
        <f>+MOP_Mes_Corriente!AN24*MOP_Mes_Constante!$AC$1</f>
        <v>121788156.05394937</v>
      </c>
      <c r="AO23" s="20">
        <f t="shared" si="21"/>
        <v>121788156.05394937</v>
      </c>
      <c r="AP23" s="20">
        <f>+MOP_Mes_Corriente!AP24*MOP_Mes_Constante!$AP$1</f>
        <v>132997016.53699444</v>
      </c>
      <c r="AQ23" s="20">
        <f>+MOP_Mes_Corriente!AQ24*MOP_Mes_Constante!$AP$1</f>
        <v>132997016.53699444</v>
      </c>
      <c r="AR23" s="20">
        <f>+MOP_Mes_Corriente!AR24*MOP_Mes_Constante!$AP$1</f>
        <v>132997016.53699444</v>
      </c>
      <c r="AS23" s="20">
        <f>+MOP_Mes_Corriente!AS24*MOP_Mes_Constante!$AP$1</f>
        <v>132997016.53699444</v>
      </c>
      <c r="AT23" s="20">
        <f>+MOP_Mes_Corriente!AT24*MOP_Mes_Constante!$AP$1</f>
        <v>132997016.53699444</v>
      </c>
      <c r="AU23" s="20">
        <f>+MOP_Mes_Corriente!AU24*MOP_Mes_Constante!$AP$1</f>
        <v>136994080.74773434</v>
      </c>
      <c r="AV23" s="20">
        <f>+MOP_Mes_Corriente!AV24*MOP_Mes_Constante!$AP$1</f>
        <v>136994080.74773434</v>
      </c>
      <c r="AW23" s="20">
        <f>+MOP_Mes_Corriente!AW24*MOP_Mes_Constante!$AP$1</f>
        <v>136994080.74773434</v>
      </c>
      <c r="AX23" s="20">
        <f>+MOP_Mes_Corriente!AX24*MOP_Mes_Constante!$AP$1</f>
        <v>136994080.74773434</v>
      </c>
      <c r="AY23" s="20">
        <f>+MOP_Mes_Corriente!AY24*MOP_Mes_Constante!$AP$1</f>
        <v>145153625.82388744</v>
      </c>
      <c r="AZ23" s="20">
        <f>+MOP_Mes_Corriente!AZ24*MOP_Mes_Constante!$AP$1</f>
        <v>145153625.82388744</v>
      </c>
      <c r="BA23" s="20">
        <f>+MOP_Mes_Corriente!BA24*MOP_Mes_Constante!$AP$1</f>
        <v>148493740.82321113</v>
      </c>
      <c r="BB23" s="20">
        <f t="shared" si="22"/>
        <v>148493740.82321113</v>
      </c>
      <c r="BC23" s="20">
        <f>+MOP_Mes_Corriente!BC24*MOP_Mes_Constante!$BC$1</f>
        <v>147592207.53343007</v>
      </c>
      <c r="BD23" s="20">
        <f>+MOP_Mes_Corriente!BD24*MOP_Mes_Constante!$BC$1</f>
        <v>147592207.53343007</v>
      </c>
      <c r="BE23" s="20">
        <f>+MOP_Mes_Corriente!BE24*MOP_Mes_Constante!$BC$1</f>
        <v>147592207.53343007</v>
      </c>
      <c r="BF23" s="20">
        <f>+MOP_Mes_Corriente!BF24*MOP_Mes_Constante!$BC$1</f>
        <v>147592207.53343007</v>
      </c>
      <c r="BG23" s="20">
        <f>+MOP_Mes_Corriente!BG24*MOP_Mes_Constante!$BC$1</f>
        <v>147592207.53343007</v>
      </c>
      <c r="BH23" s="20">
        <f>+MOP_Mes_Corriente!BH24*MOP_Mes_Constante!$BC$1</f>
        <v>147592207.53343007</v>
      </c>
      <c r="BI23" s="20">
        <f>+MOP_Mes_Corriente!BI24*MOP_Mes_Constante!$BC$1</f>
        <v>147592207.53343007</v>
      </c>
      <c r="BJ23" s="20">
        <f>+MOP_Mes_Corriente!BJ24*MOP_Mes_Constante!$BC$1</f>
        <v>147592207.53343007</v>
      </c>
      <c r="BK23" s="20">
        <f>+MOP_Mes_Corriente!BK24*MOP_Mes_Constante!$BC$1</f>
        <v>147592207.53343007</v>
      </c>
      <c r="BL23" s="20">
        <f>+MOP_Mes_Corriente!BL24*MOP_Mes_Constante!$BC$1</f>
        <v>154015554.37663198</v>
      </c>
      <c r="BM23" s="20">
        <f>+MOP_Mes_Corriente!BM24*MOP_Mes_Constante!$BC$1</f>
        <v>154015554.37663198</v>
      </c>
      <c r="BN23" s="20">
        <f>+MOP_Mes_Corriente!BN24*MOP_Mes_Constante!$BC$1</f>
        <v>147947747.03705662</v>
      </c>
      <c r="BO23" s="20">
        <f t="shared" si="23"/>
        <v>147947747.03705662</v>
      </c>
      <c r="BP23" s="20">
        <f>+MOP_Mes_Corriente!BP24*MOP_Mes_Constante!$BP$1</f>
        <v>160450857.53469911</v>
      </c>
      <c r="BQ23" s="20">
        <f>+MOP_Mes_Corriente!BQ24*MOP_Mes_Constante!$BP$1</f>
        <v>160450857.53469911</v>
      </c>
      <c r="BR23" s="20">
        <f>+MOP_Mes_Corriente!BR24*MOP_Mes_Constante!$BP$1</f>
        <v>160450857.53469911</v>
      </c>
      <c r="BS23" s="20">
        <f>+MOP_Mes_Corriente!BS24*MOP_Mes_Constante!$BP$1</f>
        <v>160450857.53469911</v>
      </c>
      <c r="BT23" s="20">
        <f>+MOP_Mes_Corriente!BT24*MOP_Mes_Constante!$BP$1</f>
        <v>160450857.53469911</v>
      </c>
      <c r="BU23" s="20">
        <f>+MOP_Mes_Corriente!BU24*MOP_Mes_Constante!$BP$1</f>
        <v>160450857.53469911</v>
      </c>
      <c r="BV23" s="20">
        <f>+MOP_Mes_Corriente!BV24*MOP_Mes_Constante!$BP$1</f>
        <v>160450857.53469911</v>
      </c>
      <c r="BW23" s="20">
        <f>+MOP_Mes_Corriente!BW24*MOP_Mes_Constante!$BP$1</f>
        <v>172174540.87221512</v>
      </c>
      <c r="BX23" s="20">
        <f>+MOP_Mes_Corriente!BX24*MOP_Mes_Constante!$BP$1</f>
        <v>165094375.35825866</v>
      </c>
      <c r="BY23" s="20">
        <f>+MOP_Mes_Corriente!BY24*MOP_Mes_Constante!$BP$1</f>
        <v>165094375.35825866</v>
      </c>
      <c r="BZ23" s="20">
        <f>+MOP_Mes_Corriente!BZ24*MOP_Mes_Constante!$BP$1</f>
        <v>165094375.35825866</v>
      </c>
      <c r="CA23" s="20">
        <f>+MOP_Mes_Corriente!CA24*MOP_Mes_Constante!$BP$1</f>
        <v>157629374.02048656</v>
      </c>
      <c r="CB23" s="20">
        <f t="shared" si="24"/>
        <v>157629374.02048656</v>
      </c>
      <c r="CC23" s="20">
        <f>+MOP_Mes_Corriente!CC24*MOP_Mes_Constante!$CC$1</f>
        <v>183850569.88735548</v>
      </c>
      <c r="CD23" s="20">
        <f>+MOP_Mes_Corriente!CD24*MOP_Mes_Constante!$CC$1</f>
        <v>183850569.88735548</v>
      </c>
      <c r="CE23" s="20">
        <f>+MOP_Mes_Corriente!CE24*MOP_Mes_Constante!$CC$1</f>
        <v>183850569.88735548</v>
      </c>
      <c r="CF23" s="20">
        <f>+MOP_Mes_Corriente!CF24*MOP_Mes_Constante!$CC$1</f>
        <v>215094881.71130177</v>
      </c>
      <c r="CG23" s="20">
        <f>+MOP_Mes_Corriente!CG24*MOP_Mes_Constante!$CC$1</f>
        <v>210993633.79783666</v>
      </c>
      <c r="CH23" s="20">
        <f>+MOP_Mes_Corriente!CH24*MOP_Mes_Constante!$CC$1</f>
        <v>210993633.79783666</v>
      </c>
      <c r="CI23" s="20">
        <f>+MOP_Mes_Corriente!CI24*MOP_Mes_Constante!$CC$1</f>
        <v>210993633.79783666</v>
      </c>
      <c r="CJ23" s="20">
        <f>+MOP_Mes_Corriente!CJ24*MOP_Mes_Constante!$CC$1</f>
        <v>210993633.79783666</v>
      </c>
      <c r="CK23" s="20">
        <f>+MOP_Mes_Corriente!CK24*MOP_Mes_Constante!$CC$1</f>
        <v>210993633.79783666</v>
      </c>
      <c r="CL23" s="20">
        <f>+MOP_Mes_Corriente!CL24*MOP_Mes_Constante!$CC$1</f>
        <v>210993633.79783666</v>
      </c>
      <c r="CM23" s="20">
        <f>+MOP_Mes_Corriente!CM24*MOP_Mes_Constante!$CC$1</f>
        <v>210993633.79783666</v>
      </c>
      <c r="CN23" s="20">
        <f>+MOP_Mes_Corriente!CN24*MOP_Mes_Constante!$CC$1</f>
        <v>201738227.7560612</v>
      </c>
      <c r="CO23" s="20">
        <f t="shared" si="25"/>
        <v>201738227.7560612</v>
      </c>
      <c r="CP23" s="20">
        <f>+MOP_Mes_Corriente!CP24*MOP_Mes_Constante!$CP$1</f>
        <v>180048403.09419951</v>
      </c>
      <c r="CQ23" s="20">
        <f>+MOP_Mes_Corriente!CQ24*MOP_Mes_Constante!$CP$1</f>
        <v>180048403.09419951</v>
      </c>
      <c r="CR23" s="20">
        <f>+MOP_Mes_Corriente!CR24*MOP_Mes_Constante!$CP$1</f>
        <v>180048403.09419951</v>
      </c>
      <c r="CS23" s="20">
        <f>+MOP_Mes_Corriente!CS24*MOP_Mes_Constante!$CP$1</f>
        <v>180048403.09419951</v>
      </c>
      <c r="CT23" s="20">
        <f>+MOP_Mes_Corriente!CT24*MOP_Mes_Constante!$CP$1</f>
        <v>204064689.05707651</v>
      </c>
      <c r="CU23" s="20">
        <f>+MOP_Mes_Corriente!CU24*MOP_Mes_Constante!$CP$1</f>
        <v>204064689.05707651</v>
      </c>
      <c r="CV23" s="20">
        <f>+MOP_Mes_Corriente!CV24*MOP_Mes_Constante!$CP$1</f>
        <v>204064689.05707651</v>
      </c>
      <c r="CW23" s="20">
        <f>+MOP_Mes_Corriente!CW24*MOP_Mes_Constante!$CP$1</f>
        <v>204064689.05707651</v>
      </c>
      <c r="CX23" s="20">
        <f>+MOP_Mes_Corriente!CX24*MOP_Mes_Constante!$CP$1</f>
        <v>204064689.05707651</v>
      </c>
      <c r="CY23" s="20">
        <f>+MOP_Mes_Corriente!CY24*MOP_Mes_Constante!$CP$1</f>
        <v>204064689.05707651</v>
      </c>
      <c r="CZ23" s="20">
        <f>+MOP_Mes_Corriente!CZ24*MOP_Mes_Constante!$CP$1</f>
        <v>204064689.05707651</v>
      </c>
      <c r="DA23" s="20">
        <f>+MOP_Mes_Corriente!DA24*MOP_Mes_Constante!$CP$1</f>
        <v>207039104.96450111</v>
      </c>
      <c r="DB23" s="20">
        <f t="shared" si="26"/>
        <v>207039104.96450111</v>
      </c>
      <c r="DC23" s="20">
        <f>+MOP_Mes_Corriente!DC24*MOP_Mes_Constante!$DC$1</f>
        <v>166841021.44697055</v>
      </c>
      <c r="DD23" s="20">
        <f>+MOP_Mes_Corriente!DD24*MOP_Mes_Constante!$DC$1</f>
        <v>166841021.44697055</v>
      </c>
      <c r="DE23" s="20">
        <f>+MOP_Mes_Corriente!DE24*MOP_Mes_Constante!$DC$1</f>
        <v>166841021.44697055</v>
      </c>
      <c r="DF23" s="20">
        <f>+MOP_Mes_Corriente!DF24*MOP_Mes_Constante!$DC$1</f>
        <v>166841021.44697055</v>
      </c>
      <c r="DG23" s="20">
        <f>+MOP_Mes_Corriente!DG24*MOP_Mes_Constante!$DC$1</f>
        <v>166841021.44697055</v>
      </c>
      <c r="DH23" s="20">
        <f>+MOP_Mes_Corriente!DH24*MOP_Mes_Constante!$DC$1</f>
        <v>166841021.44697055</v>
      </c>
      <c r="DI23" s="20">
        <f>+MOP_Mes_Corriente!DI24*MOP_Mes_Constante!$DC$1</f>
        <v>166841021.44697055</v>
      </c>
      <c r="DJ23" s="20">
        <f>+MOP_Mes_Corriente!DJ24*MOP_Mes_Constante!$DC$1</f>
        <v>166841021.44697055</v>
      </c>
      <c r="DK23" s="20">
        <f>+MOP_Mes_Corriente!DK24*MOP_Mes_Constante!$DC$1</f>
        <v>166841021.44697055</v>
      </c>
      <c r="DL23" s="20">
        <f>+MOP_Mes_Corriente!DL24*MOP_Mes_Constante!$DC$1</f>
        <v>158933197.16284341</v>
      </c>
      <c r="DM23" s="20">
        <f>+MOP_Mes_Corriente!DM24*MOP_Mes_Constante!$DC$1</f>
        <v>158933197.16284341</v>
      </c>
      <c r="DN23" s="20">
        <f>+MOP_Mes_Corriente!DN24*MOP_Mes_Constante!$DC$1</f>
        <v>124683118.44645618</v>
      </c>
      <c r="DO23" s="20">
        <f t="shared" si="27"/>
        <v>124683118.44645618</v>
      </c>
      <c r="DP23" s="20">
        <f>+MOP_Mes_Corriente!DP24*MOP_Mes_Constante!$DP$1</f>
        <v>319843570.51959622</v>
      </c>
      <c r="DQ23" s="20">
        <f>+MOP_Mes_Corriente!DQ24*MOP_Mes_Constante!$DP$1</f>
        <v>319843570.51959622</v>
      </c>
      <c r="DR23" s="20">
        <f>+MOP_Mes_Corriente!DR24*MOP_Mes_Constante!$DP$1</f>
        <v>319843570.51959622</v>
      </c>
      <c r="DS23" s="20">
        <f>+MOP_Mes_Corriente!DS24*MOP_Mes_Constante!$DP$1</f>
        <v>319843570.51959622</v>
      </c>
      <c r="DT23" s="20">
        <f>+MOP_Mes_Corriente!DT24*MOP_Mes_Constante!$DP$1</f>
        <v>319843570.51959622</v>
      </c>
      <c r="DU23" s="20">
        <f>+MOP_Mes_Corriente!DU24*MOP_Mes_Constante!$DP$1</f>
        <v>298216492.13479811</v>
      </c>
      <c r="DV23" s="20">
        <f>+MOP_Mes_Corriente!DV24*MOP_Mes_Constante!$DP$1</f>
        <v>335098247.55997628</v>
      </c>
      <c r="DW23" s="20">
        <f>+MOP_Mes_Corriente!DW24*MOP_Mes_Constante!$DP$1</f>
        <v>335098247.55997628</v>
      </c>
      <c r="DX23" s="20">
        <f>+MOP_Mes_Corriente!DX24*MOP_Mes_Constante!$DP$1</f>
        <v>335098247.55997628</v>
      </c>
      <c r="DY23" s="20">
        <f>+MOP_Mes_Corriente!DY24*MOP_Mes_Constante!$DP$1</f>
        <v>324251879.54394305</v>
      </c>
      <c r="DZ23" s="20">
        <f>+MOP_Mes_Corriente!DZ24*MOP_Mes_Constante!$DP$1</f>
        <v>287370124.11876488</v>
      </c>
      <c r="EA23" s="20">
        <f>+MOP_Mes_Corriente!EA24*MOP_Mes_Constante!$DP$1</f>
        <v>269767869.89251786</v>
      </c>
      <c r="EB23" s="20">
        <f t="shared" si="28"/>
        <v>269767869.89251786</v>
      </c>
      <c r="EC23" s="20">
        <f>+MOP_Mes_Corriente!EC24*MOP_Mes_Constante!$EC$1</f>
        <v>326576548.99564469</v>
      </c>
      <c r="ED23" s="20">
        <f>+MOP_Mes_Corriente!ED24*MOP_Mes_Constante!$EC$1</f>
        <v>326576548.99564469</v>
      </c>
      <c r="EE23" s="20">
        <f>+MOP_Mes_Corriente!EE24*MOP_Mes_Constante!$EC$1</f>
        <v>326576548.99564469</v>
      </c>
      <c r="EF23" s="20">
        <f>+MOP_Mes_Corriente!EF24*MOP_Mes_Constante!$EC$1</f>
        <v>240725643.64817262</v>
      </c>
      <c r="EG23" s="20">
        <f>+MOP_Mes_Corriente!EG24*MOP_Mes_Constante!$EC$1</f>
        <v>240725643.64817262</v>
      </c>
      <c r="EH23" s="20">
        <f>+MOP_Mes_Corriente!EH24*MOP_Mes_Constante!$EC$1</f>
        <v>240725643.64817262</v>
      </c>
      <c r="EI23" s="20">
        <f>+MOP_Mes_Corriente!EI24*MOP_Mes_Constante!$EC$1</f>
        <v>240725643.64817262</v>
      </c>
      <c r="EJ23" s="20">
        <f>+MOP_Mes_Corriente!EJ24*MOP_Mes_Constante!$EC$1</f>
        <v>235761060.41696641</v>
      </c>
      <c r="EK23" s="20">
        <f>+MOP_Mes_Corriente!EK24*MOP_Mes_Constante!$EC$1</f>
        <v>235761060.41696641</v>
      </c>
      <c r="EL23" s="20">
        <f>+MOP_Mes_Corriente!EL24*MOP_Mes_Constante!$EC$1</f>
        <v>235761060.41696641</v>
      </c>
      <c r="EM23" s="20">
        <f>+MOP_Mes_Corriente!EM24*MOP_Mes_Constante!$EC$1</f>
        <v>235761060.41696641</v>
      </c>
      <c r="EN23" s="20">
        <f>+MOP_Mes_Corriente!EN24*MOP_Mes_Constante!$EC$1</f>
        <v>198809739.09884486</v>
      </c>
      <c r="EO23" s="20">
        <f t="shared" si="29"/>
        <v>198809739.09884486</v>
      </c>
      <c r="EP23" s="20">
        <f>+MOP_Mes_Corriente!EP24*MOP_Mes_Constante!$EP$1</f>
        <v>329603442</v>
      </c>
      <c r="EQ23" s="20">
        <f>+MOP_Mes_Corriente!EQ24*MOP_Mes_Constante!$EP$1</f>
        <v>329603442</v>
      </c>
      <c r="ER23" s="20">
        <f>+MOP_Mes_Corriente!ER24*MOP_Mes_Constante!$EP$1</f>
        <v>307603442</v>
      </c>
      <c r="ES23" s="20">
        <f>+MOP_Mes_Corriente!ES24*MOP_Mes_Constante!$EP$1</f>
        <v>307603442</v>
      </c>
      <c r="ET23" s="20">
        <f>+MOP_Mes_Corriente!ET24*MOP_Mes_Constante!$EP$1</f>
        <v>307603442</v>
      </c>
      <c r="EU23" s="20">
        <f>+MOP_Mes_Corriente!EU24*MOP_Mes_Constante!$EP$1</f>
        <v>284751010</v>
      </c>
      <c r="EV23" s="20">
        <f>+MOP_Mes_Corriente!EV24*MOP_Mes_Constante!$EP$1</f>
        <v>284751010</v>
      </c>
      <c r="EW23" s="20">
        <f>+MOP_Mes_Corriente!EW24*MOP_Mes_Constante!$EP$1</f>
        <v>284751010</v>
      </c>
      <c r="EX23" s="20">
        <f>+MOP_Mes_Corriente!EX24*MOP_Mes_Constante!$EP$1</f>
        <v>284751010</v>
      </c>
      <c r="EY23" s="20">
        <f>+MOP_Mes_Corriente!EY24*MOP_Mes_Constante!$EP$1</f>
        <v>273184204</v>
      </c>
      <c r="EZ23" s="20">
        <f>+MOP_Mes_Corriente!EZ24*MOP_Mes_Constante!$EP$1</f>
        <v>273184204</v>
      </c>
      <c r="FA23" s="20">
        <f>+MOP_Mes_Corriente!FA24*MOP_Mes_Constante!$EP$1</f>
        <v>234336066</v>
      </c>
      <c r="FB23" s="20">
        <f t="shared" si="30"/>
        <v>234336066</v>
      </c>
      <c r="FC23" s="20">
        <f>+MOP_Mes_Corriente!FC24*MOP_Mes_Constante!$FC$1</f>
        <v>290113797</v>
      </c>
      <c r="FD23" s="20">
        <f>+MOP_Mes_Corriente!FD24*MOP_Mes_Constante!$FC$1</f>
        <v>290113797</v>
      </c>
      <c r="FE23" s="20">
        <f>+MOP_Mes_Corriente!FE24*MOP_Mes_Constante!$FC$1</f>
        <v>282113797</v>
      </c>
      <c r="FF23" s="20">
        <f>+MOP_Mes_Corriente!FF24*MOP_Mes_Constante!$FC$1</f>
        <v>282113797</v>
      </c>
      <c r="FG23" s="20">
        <f>+MOP_Mes_Corriente!FG24*MOP_Mes_Constante!$FC$1</f>
        <v>273410383</v>
      </c>
      <c r="FH23" s="20">
        <f>+MOP_Mes_Corriente!FH24*MOP_Mes_Constante!$FC$1</f>
        <v>273410383</v>
      </c>
      <c r="FI23" s="20">
        <f>+MOP_Mes_Corriente!FI24*MOP_Mes_Constante!$FC$1</f>
        <v>273410383</v>
      </c>
      <c r="FJ23" s="10"/>
      <c r="FK23" s="10"/>
      <c r="FL23" s="10"/>
      <c r="FM23" s="10"/>
      <c r="FN23" s="10"/>
      <c r="FO23" s="20">
        <f t="shared" si="31"/>
        <v>273410383</v>
      </c>
    </row>
    <row r="24" spans="1:171" ht="27.75" customHeight="1">
      <c r="A24" s="10"/>
      <c r="B24" s="19" t="s">
        <v>46</v>
      </c>
      <c r="C24" s="20">
        <f>+MOP_Mes_Corriente!C25*MOP_Mes_Constante!$C$1</f>
        <v>89181550.837905988</v>
      </c>
      <c r="D24" s="20">
        <f>+MOP_Mes_Corriente!D25*MOP_Mes_Constante!$C$1</f>
        <v>89181550.837905988</v>
      </c>
      <c r="E24" s="20">
        <f>+MOP_Mes_Corriente!E25*MOP_Mes_Constante!$C$1</f>
        <v>89181550.837905988</v>
      </c>
      <c r="F24" s="20">
        <f>+MOP_Mes_Corriente!F25*MOP_Mes_Constante!$C$1</f>
        <v>89181550.837905988</v>
      </c>
      <c r="G24" s="20">
        <f>+MOP_Mes_Corriente!G25*MOP_Mes_Constante!$C$1</f>
        <v>89181550.837905988</v>
      </c>
      <c r="H24" s="20">
        <f>+MOP_Mes_Corriente!H25*MOP_Mes_Constante!$C$1</f>
        <v>89181550.837905988</v>
      </c>
      <c r="I24" s="20">
        <f>+MOP_Mes_Corriente!I25*MOP_Mes_Constante!$C$1</f>
        <v>90880959.456918299</v>
      </c>
      <c r="J24" s="20">
        <f>+MOP_Mes_Corriente!J25*MOP_Mes_Constante!$C$1</f>
        <v>90880959.456918299</v>
      </c>
      <c r="K24" s="20">
        <f>+MOP_Mes_Corriente!K25*MOP_Mes_Constante!$C$1</f>
        <v>90880959.456918299</v>
      </c>
      <c r="L24" s="20">
        <f>+MOP_Mes_Corriente!L25*MOP_Mes_Constante!$C$1</f>
        <v>90880959.456918299</v>
      </c>
      <c r="M24" s="20">
        <f>+MOP_Mes_Corriente!M25*MOP_Mes_Constante!$C$1</f>
        <v>90880959.456918299</v>
      </c>
      <c r="N24" s="20">
        <f>+MOP_Mes_Corriente!N25*MOP_Mes_Constante!$C$1</f>
        <v>90687002.297493711</v>
      </c>
      <c r="O24" s="20">
        <f t="shared" si="19"/>
        <v>90687002.297493711</v>
      </c>
      <c r="P24" s="20">
        <f>+MOP_Mes_Corriente!P25*MOP_Mes_Constante!$P$1</f>
        <v>98933635.457593367</v>
      </c>
      <c r="Q24" s="20">
        <f>+MOP_Mes_Corriente!Q25*MOP_Mes_Constante!$P$1</f>
        <v>98933635.457593367</v>
      </c>
      <c r="R24" s="20">
        <f>+MOP_Mes_Corriente!R25*MOP_Mes_Constante!$P$1</f>
        <v>98933635.457593367</v>
      </c>
      <c r="S24" s="20">
        <f>+MOP_Mes_Corriente!S25*MOP_Mes_Constante!$P$1</f>
        <v>98933635.457593367</v>
      </c>
      <c r="T24" s="20">
        <f>+MOP_Mes_Corriente!T25*MOP_Mes_Constante!$P$1</f>
        <v>98933635.457593367</v>
      </c>
      <c r="U24" s="20">
        <f>+MOP_Mes_Corriente!U25*MOP_Mes_Constante!$P$1</f>
        <v>98933635.457593367</v>
      </c>
      <c r="V24" s="20">
        <f>+MOP_Mes_Corriente!V25*MOP_Mes_Constante!$P$1</f>
        <v>98933635.457593367</v>
      </c>
      <c r="W24" s="20">
        <f>+MOP_Mes_Corriente!W25*MOP_Mes_Constante!$P$1</f>
        <v>98933635.457593367</v>
      </c>
      <c r="X24" s="20">
        <f>+MOP_Mes_Corriente!X25*MOP_Mes_Constante!$P$1</f>
        <v>98933635.457593367</v>
      </c>
      <c r="Y24" s="20">
        <f>+MOP_Mes_Corriente!Y25*MOP_Mes_Constante!$P$1</f>
        <v>93966566.271629453</v>
      </c>
      <c r="Z24" s="20">
        <f>+MOP_Mes_Corriente!Z25*MOP_Mes_Constante!$P$1</f>
        <v>103279820.9953118</v>
      </c>
      <c r="AA24" s="20">
        <f>+MOP_Mes_Corriente!AA25*MOP_Mes_Constante!$P$1</f>
        <v>102798636.16792154</v>
      </c>
      <c r="AB24" s="20">
        <f t="shared" si="20"/>
        <v>102798636.16792154</v>
      </c>
      <c r="AC24" s="20">
        <f>+MOP_Mes_Corriente!AC25*MOP_Mes_Constante!$AC$1</f>
        <v>99761288.6659289</v>
      </c>
      <c r="AD24" s="20">
        <f>+MOP_Mes_Corriente!AD25*MOP_Mes_Constante!$AC$1</f>
        <v>99761288.6659289</v>
      </c>
      <c r="AE24" s="20">
        <f>+MOP_Mes_Corriente!AE25*MOP_Mes_Constante!$AC$1</f>
        <v>99761288.6659289</v>
      </c>
      <c r="AF24" s="20">
        <f>+MOP_Mes_Corriente!AF25*MOP_Mes_Constante!$AC$1</f>
        <v>99761288.6659289</v>
      </c>
      <c r="AG24" s="20">
        <f>+MOP_Mes_Corriente!AG25*MOP_Mes_Constante!$AC$1</f>
        <v>99761288.6659289</v>
      </c>
      <c r="AH24" s="20">
        <f>+MOP_Mes_Corriente!AH25*MOP_Mes_Constante!$AC$1</f>
        <v>99761288.6659289</v>
      </c>
      <c r="AI24" s="20">
        <f>+MOP_Mes_Corriente!AI25*MOP_Mes_Constante!$AC$1</f>
        <v>99761288.6659289</v>
      </c>
      <c r="AJ24" s="20">
        <f>+MOP_Mes_Corriente!AJ25*MOP_Mes_Constante!$AC$1</f>
        <v>99761288.6659289</v>
      </c>
      <c r="AK24" s="20">
        <f>+MOP_Mes_Corriente!AK25*MOP_Mes_Constante!$AC$1</f>
        <v>99761288.6659289</v>
      </c>
      <c r="AL24" s="20">
        <f>+MOP_Mes_Corriente!AL25*MOP_Mes_Constante!$AC$1</f>
        <v>99761288.6659289</v>
      </c>
      <c r="AM24" s="20">
        <f>+MOP_Mes_Corriente!AM25*MOP_Mes_Constante!$AC$1</f>
        <v>99761288.6659289</v>
      </c>
      <c r="AN24" s="20">
        <f>+MOP_Mes_Corriente!AN25*MOP_Mes_Constante!$AC$1</f>
        <v>100662459.22119242</v>
      </c>
      <c r="AO24" s="20">
        <f t="shared" si="21"/>
        <v>100662459.22119242</v>
      </c>
      <c r="AP24" s="20">
        <f>+MOP_Mes_Corriente!AP25*MOP_Mes_Constante!$AP$1</f>
        <v>100721316.96009739</v>
      </c>
      <c r="AQ24" s="20">
        <f>+MOP_Mes_Corriente!AQ25*MOP_Mes_Constante!$AP$1</f>
        <v>100721316.96009739</v>
      </c>
      <c r="AR24" s="20">
        <f>+MOP_Mes_Corriente!AR25*MOP_Mes_Constante!$AP$1</f>
        <v>100721316.96009739</v>
      </c>
      <c r="AS24" s="20">
        <f>+MOP_Mes_Corriente!AS25*MOP_Mes_Constante!$AP$1</f>
        <v>100721316.96009739</v>
      </c>
      <c r="AT24" s="20">
        <f>+MOP_Mes_Corriente!AT25*MOP_Mes_Constante!$AP$1</f>
        <v>100721316.96009739</v>
      </c>
      <c r="AU24" s="20">
        <f>+MOP_Mes_Corriente!AU25*MOP_Mes_Constante!$AP$1</f>
        <v>100721316.96009739</v>
      </c>
      <c r="AV24" s="20">
        <f>+MOP_Mes_Corriente!AV25*MOP_Mes_Constante!$AP$1</f>
        <v>100721316.96009739</v>
      </c>
      <c r="AW24" s="20">
        <f>+MOP_Mes_Corriente!AW25*MOP_Mes_Constante!$AP$1</f>
        <v>100721316.96009739</v>
      </c>
      <c r="AX24" s="20">
        <f>+MOP_Mes_Corriente!AX25*MOP_Mes_Constante!$AP$1</f>
        <v>100721316.96009739</v>
      </c>
      <c r="AY24" s="20">
        <f>+MOP_Mes_Corriente!AY25*MOP_Mes_Constante!$AP$1</f>
        <v>100928220.78804274</v>
      </c>
      <c r="AZ24" s="20">
        <f>+MOP_Mes_Corriente!AZ25*MOP_Mes_Constante!$AP$1</f>
        <v>104622932.00135262</v>
      </c>
      <c r="BA24" s="20">
        <f>+MOP_Mes_Corriente!BA25*MOP_Mes_Constante!$AP$1</f>
        <v>106752563.54470444</v>
      </c>
      <c r="BB24" s="20">
        <f t="shared" si="22"/>
        <v>106752563.54470444</v>
      </c>
      <c r="BC24" s="20">
        <f>+MOP_Mes_Corriente!BC25*MOP_Mes_Constante!$BC$1</f>
        <v>99559868.959250987</v>
      </c>
      <c r="BD24" s="20">
        <f>+MOP_Mes_Corriente!BD25*MOP_Mes_Constante!$BC$1</f>
        <v>99559868.959250987</v>
      </c>
      <c r="BE24" s="20">
        <f>+MOP_Mes_Corriente!BE25*MOP_Mes_Constante!$BC$1</f>
        <v>99559868.959250987</v>
      </c>
      <c r="BF24" s="20">
        <f>+MOP_Mes_Corriente!BF25*MOP_Mes_Constante!$BC$1</f>
        <v>99559868.959250987</v>
      </c>
      <c r="BG24" s="20">
        <f>+MOP_Mes_Corriente!BG25*MOP_Mes_Constante!$BC$1</f>
        <v>99559868.959250987</v>
      </c>
      <c r="BH24" s="20">
        <f>+MOP_Mes_Corriente!BH25*MOP_Mes_Constante!$BC$1</f>
        <v>99559868.959250987</v>
      </c>
      <c r="BI24" s="20">
        <f>+MOP_Mes_Corriente!BI25*MOP_Mes_Constante!$BC$1</f>
        <v>99365795.938283026</v>
      </c>
      <c r="BJ24" s="20">
        <f>+MOP_Mes_Corriente!BJ25*MOP_Mes_Constante!$BC$1</f>
        <v>99365795.938283026</v>
      </c>
      <c r="BK24" s="20">
        <f>+MOP_Mes_Corriente!BK25*MOP_Mes_Constante!$BC$1</f>
        <v>96037421.943821728</v>
      </c>
      <c r="BL24" s="20">
        <f>+MOP_Mes_Corriente!BL25*MOP_Mes_Constante!$BC$1</f>
        <v>92740557.997362539</v>
      </c>
      <c r="BM24" s="20">
        <f>+MOP_Mes_Corriente!BM25*MOP_Mes_Constante!$BC$1</f>
        <v>92693656.741131499</v>
      </c>
      <c r="BN24" s="20">
        <f>+MOP_Mes_Corriente!BN25*MOP_Mes_Constante!$BC$1</f>
        <v>87612594.14084138</v>
      </c>
      <c r="BO24" s="20">
        <f t="shared" si="23"/>
        <v>87612594.14084138</v>
      </c>
      <c r="BP24" s="20">
        <f>+MOP_Mes_Corriente!BP25*MOP_Mes_Constante!$BP$1</f>
        <v>97772416.190781057</v>
      </c>
      <c r="BQ24" s="20">
        <f>+MOP_Mes_Corriente!BQ25*MOP_Mes_Constante!$BP$1</f>
        <v>97772416.190781057</v>
      </c>
      <c r="BR24" s="20">
        <f>+MOP_Mes_Corriente!BR25*MOP_Mes_Constante!$BP$1</f>
        <v>97772416.190781057</v>
      </c>
      <c r="BS24" s="20">
        <f>+MOP_Mes_Corriente!BS25*MOP_Mes_Constante!$BP$1</f>
        <v>97772416.190781057</v>
      </c>
      <c r="BT24" s="20">
        <f>+MOP_Mes_Corriente!BT25*MOP_Mes_Constante!$BP$1</f>
        <v>97772416.190781057</v>
      </c>
      <c r="BU24" s="20">
        <f>+MOP_Mes_Corriente!BU25*MOP_Mes_Constante!$BP$1</f>
        <v>97772416.190781057</v>
      </c>
      <c r="BV24" s="20">
        <f>+MOP_Mes_Corriente!BV25*MOP_Mes_Constante!$BP$1</f>
        <v>97772416.190781057</v>
      </c>
      <c r="BW24" s="20">
        <f>+MOP_Mes_Corriente!BW25*MOP_Mes_Constante!$BP$1</f>
        <v>97772416.190781057</v>
      </c>
      <c r="BX24" s="20">
        <f>+MOP_Mes_Corriente!BX25*MOP_Mes_Constante!$BP$1</f>
        <v>96373440.518565953</v>
      </c>
      <c r="BY24" s="20">
        <f>+MOP_Mes_Corriente!BY25*MOP_Mes_Constante!$BP$1</f>
        <v>96373440.518565953</v>
      </c>
      <c r="BZ24" s="20">
        <f>+MOP_Mes_Corriente!BZ25*MOP_Mes_Constante!$BP$1</f>
        <v>96373440.518565953</v>
      </c>
      <c r="CA24" s="20">
        <f>+MOP_Mes_Corriente!CA25*MOP_Mes_Constante!$BP$1</f>
        <v>86875046.227912948</v>
      </c>
      <c r="CB24" s="20">
        <f t="shared" si="24"/>
        <v>86875046.227912948</v>
      </c>
      <c r="CC24" s="20">
        <f>+MOP_Mes_Corriente!CC25*MOP_Mes_Constante!$CC$1</f>
        <v>97408456.543080956</v>
      </c>
      <c r="CD24" s="20">
        <f>+MOP_Mes_Corriente!CD25*MOP_Mes_Constante!$CC$1</f>
        <v>97408456.543080956</v>
      </c>
      <c r="CE24" s="20">
        <f>+MOP_Mes_Corriente!CE25*MOP_Mes_Constante!$CC$1</f>
        <v>108826201.25773966</v>
      </c>
      <c r="CF24" s="20">
        <f>+MOP_Mes_Corriente!CF25*MOP_Mes_Constante!$CC$1</f>
        <v>108826201.25773966</v>
      </c>
      <c r="CG24" s="20">
        <f>+MOP_Mes_Corriente!CG25*MOP_Mes_Constante!$CC$1</f>
        <v>108399522.14323016</v>
      </c>
      <c r="CH24" s="20">
        <f>+MOP_Mes_Corriente!CH25*MOP_Mes_Constante!$CC$1</f>
        <v>108399522.14323016</v>
      </c>
      <c r="CI24" s="20">
        <f>+MOP_Mes_Corriente!CI25*MOP_Mes_Constante!$CC$1</f>
        <v>100742892.97127938</v>
      </c>
      <c r="CJ24" s="20">
        <f>+MOP_Mes_Corriente!CJ25*MOP_Mes_Constante!$CC$1</f>
        <v>100742892.97127938</v>
      </c>
      <c r="CK24" s="20">
        <f>+MOP_Mes_Corriente!CK25*MOP_Mes_Constante!$CC$1</f>
        <v>100742892.97127938</v>
      </c>
      <c r="CL24" s="20">
        <f>+MOP_Mes_Corriente!CL25*MOP_Mes_Constante!$CC$1</f>
        <v>100742892.97127938</v>
      </c>
      <c r="CM24" s="20">
        <f>+MOP_Mes_Corriente!CM25*MOP_Mes_Constante!$CC$1</f>
        <v>99228860.184259608</v>
      </c>
      <c r="CN24" s="20">
        <f>+MOP_Mes_Corriente!CN25*MOP_Mes_Constante!$CC$1</f>
        <v>97408855.926892966</v>
      </c>
      <c r="CO24" s="20">
        <f t="shared" si="25"/>
        <v>97408855.926892966</v>
      </c>
      <c r="CP24" s="20">
        <f>+MOP_Mes_Corriente!CP25*MOP_Mes_Constante!$CP$1</f>
        <v>93378923.375638038</v>
      </c>
      <c r="CQ24" s="20">
        <f>+MOP_Mes_Corriente!CQ25*MOP_Mes_Constante!$CP$1</f>
        <v>93378923.375638038</v>
      </c>
      <c r="CR24" s="20">
        <f>+MOP_Mes_Corriente!CR25*MOP_Mes_Constante!$CP$1</f>
        <v>93378923.375638038</v>
      </c>
      <c r="CS24" s="20">
        <f>+MOP_Mes_Corriente!CS25*MOP_Mes_Constante!$CP$1</f>
        <v>93378923.375638038</v>
      </c>
      <c r="CT24" s="20">
        <f>+MOP_Mes_Corriente!CT25*MOP_Mes_Constante!$CP$1</f>
        <v>93378923.375638038</v>
      </c>
      <c r="CU24" s="20">
        <f>+MOP_Mes_Corriente!CU25*MOP_Mes_Constante!$CP$1</f>
        <v>93378923.375638038</v>
      </c>
      <c r="CV24" s="20">
        <f>+MOP_Mes_Corriente!CV25*MOP_Mes_Constante!$CP$1</f>
        <v>93378923.375638038</v>
      </c>
      <c r="CW24" s="20">
        <f>+MOP_Mes_Corriente!CW25*MOP_Mes_Constante!$CP$1</f>
        <v>93378923.375638038</v>
      </c>
      <c r="CX24" s="20">
        <f>+MOP_Mes_Corriente!CX25*MOP_Mes_Constante!$CP$1</f>
        <v>93378923.375638038</v>
      </c>
      <c r="CY24" s="20">
        <f>+MOP_Mes_Corriente!CY25*MOP_Mes_Constante!$CP$1</f>
        <v>93378923.375638038</v>
      </c>
      <c r="CZ24" s="20">
        <f>+MOP_Mes_Corriente!CZ25*MOP_Mes_Constante!$CP$1</f>
        <v>93378923.375638038</v>
      </c>
      <c r="DA24" s="20">
        <f>+MOP_Mes_Corriente!DA25*MOP_Mes_Constante!$CP$1</f>
        <v>92754695.138283044</v>
      </c>
      <c r="DB24" s="20">
        <f t="shared" si="26"/>
        <v>92754695.138283044</v>
      </c>
      <c r="DC24" s="20">
        <f>+MOP_Mes_Corriente!DC25*MOP_Mes_Constante!$DC$1</f>
        <v>86412713.44573608</v>
      </c>
      <c r="DD24" s="20">
        <f>+MOP_Mes_Corriente!DD25*MOP_Mes_Constante!$DC$1</f>
        <v>86412713.44573608</v>
      </c>
      <c r="DE24" s="20">
        <f>+MOP_Mes_Corriente!DE25*MOP_Mes_Constante!$DC$1</f>
        <v>86412713.44573608</v>
      </c>
      <c r="DF24" s="20">
        <f>+MOP_Mes_Corriente!DF25*MOP_Mes_Constante!$DC$1</f>
        <v>86412713.44573608</v>
      </c>
      <c r="DG24" s="20">
        <f>+MOP_Mes_Corriente!DG25*MOP_Mes_Constante!$DC$1</f>
        <v>86412713.44573608</v>
      </c>
      <c r="DH24" s="20">
        <f>+MOP_Mes_Corriente!DH25*MOP_Mes_Constante!$DC$1</f>
        <v>86412713.44573608</v>
      </c>
      <c r="DI24" s="20">
        <f>+MOP_Mes_Corriente!DI25*MOP_Mes_Constante!$DC$1</f>
        <v>86412713.44573608</v>
      </c>
      <c r="DJ24" s="20">
        <f>+MOP_Mes_Corriente!DJ25*MOP_Mes_Constante!$DC$1</f>
        <v>86412713.44573608</v>
      </c>
      <c r="DK24" s="20">
        <f>+MOP_Mes_Corriente!DK25*MOP_Mes_Constante!$DC$1</f>
        <v>86412713.44573608</v>
      </c>
      <c r="DL24" s="20">
        <f>+MOP_Mes_Corriente!DL25*MOP_Mes_Constante!$DC$1</f>
        <v>86412713.44573608</v>
      </c>
      <c r="DM24" s="20">
        <f>+MOP_Mes_Corriente!DM25*MOP_Mes_Constante!$DC$1</f>
        <v>86412713.44573608</v>
      </c>
      <c r="DN24" s="20">
        <f>+MOP_Mes_Corriente!DN25*MOP_Mes_Constante!$DC$1</f>
        <v>72624207.097829476</v>
      </c>
      <c r="DO24" s="20">
        <f t="shared" si="27"/>
        <v>72624207.097829476</v>
      </c>
      <c r="DP24" s="20">
        <f>+MOP_Mes_Corriente!DP25*MOP_Mes_Constante!$DP$1</f>
        <v>124541209.14014253</v>
      </c>
      <c r="DQ24" s="20">
        <f>+MOP_Mes_Corriente!DQ25*MOP_Mes_Constante!$DP$1</f>
        <v>124541209.14014253</v>
      </c>
      <c r="DR24" s="20">
        <f>+MOP_Mes_Corriente!DR25*MOP_Mes_Constante!$DP$1</f>
        <v>124541209.14014253</v>
      </c>
      <c r="DS24" s="20">
        <f>+MOP_Mes_Corriente!DS25*MOP_Mes_Constante!$DP$1</f>
        <v>124541209.14014253</v>
      </c>
      <c r="DT24" s="20">
        <f>+MOP_Mes_Corriente!DT25*MOP_Mes_Constante!$DP$1</f>
        <v>124541209.14014253</v>
      </c>
      <c r="DU24" s="20">
        <f>+MOP_Mes_Corriente!DU25*MOP_Mes_Constante!$DP$1</f>
        <v>124541209.14014253</v>
      </c>
      <c r="DV24" s="20">
        <f>+MOP_Mes_Corriente!DV25*MOP_Mes_Constante!$DP$1</f>
        <v>124541209.14014253</v>
      </c>
      <c r="DW24" s="20">
        <f>+MOP_Mes_Corriente!DW25*MOP_Mes_Constante!$DP$1</f>
        <v>124541209.14014253</v>
      </c>
      <c r="DX24" s="20">
        <f>+MOP_Mes_Corriente!DX25*MOP_Mes_Constante!$DP$1</f>
        <v>124541209.14014253</v>
      </c>
      <c r="DY24" s="20">
        <f>+MOP_Mes_Corriente!DY25*MOP_Mes_Constante!$DP$1</f>
        <v>117296978.09323041</v>
      </c>
      <c r="DZ24" s="20">
        <f>+MOP_Mes_Corriente!DZ25*MOP_Mes_Constante!$DP$1</f>
        <v>117296978.09323041</v>
      </c>
      <c r="EA24" s="20">
        <f>+MOP_Mes_Corriente!EA25*MOP_Mes_Constante!$DP$1</f>
        <v>113392002.55225654</v>
      </c>
      <c r="EB24" s="20">
        <f t="shared" si="28"/>
        <v>113392002.55225654</v>
      </c>
      <c r="EC24" s="20">
        <f>+MOP_Mes_Corriente!EC25*MOP_Mes_Constante!$EC$1</f>
        <v>131498780.60689259</v>
      </c>
      <c r="ED24" s="20">
        <f>+MOP_Mes_Corriente!ED25*MOP_Mes_Constante!$EC$1</f>
        <v>131498780.60689259</v>
      </c>
      <c r="EE24" s="20">
        <f>+MOP_Mes_Corriente!EE25*MOP_Mes_Constante!$EC$1</f>
        <v>131498780.60689259</v>
      </c>
      <c r="EF24" s="20">
        <f>+MOP_Mes_Corriente!EF25*MOP_Mes_Constante!$EC$1</f>
        <v>131498780.60689259</v>
      </c>
      <c r="EG24" s="20">
        <f>+MOP_Mes_Corriente!EG25*MOP_Mes_Constante!$EC$1</f>
        <v>131498780.60689259</v>
      </c>
      <c r="EH24" s="20">
        <f>+MOP_Mes_Corriente!EH25*MOP_Mes_Constante!$EC$1</f>
        <v>131498780.60689259</v>
      </c>
      <c r="EI24" s="20">
        <f>+MOP_Mes_Corriente!EI25*MOP_Mes_Constante!$EC$1</f>
        <v>131498780.60689259</v>
      </c>
      <c r="EJ24" s="20">
        <f>+MOP_Mes_Corriente!EJ25*MOP_Mes_Constante!$EC$1</f>
        <v>131498780.60689259</v>
      </c>
      <c r="EK24" s="20">
        <f>+MOP_Mes_Corriente!EK25*MOP_Mes_Constante!$EC$1</f>
        <v>131498780.60689259</v>
      </c>
      <c r="EL24" s="20">
        <f>+MOP_Mes_Corriente!EL25*MOP_Mes_Constante!$EC$1</f>
        <v>131498780.60689259</v>
      </c>
      <c r="EM24" s="20">
        <f>+MOP_Mes_Corriente!EM25*MOP_Mes_Constante!$EC$1</f>
        <v>131498780.60689259</v>
      </c>
      <c r="EN24" s="20">
        <f>+MOP_Mes_Corriente!EN25*MOP_Mes_Constante!$EC$1</f>
        <v>127944905.14504825</v>
      </c>
      <c r="EO24" s="20">
        <f t="shared" si="29"/>
        <v>127944905.14504825</v>
      </c>
      <c r="EP24" s="20">
        <f>+MOP_Mes_Corriente!EP25*MOP_Mes_Constante!$EP$1</f>
        <v>125417585</v>
      </c>
      <c r="EQ24" s="20">
        <f>+MOP_Mes_Corriente!EQ25*MOP_Mes_Constante!$EP$1</f>
        <v>125417585</v>
      </c>
      <c r="ER24" s="20">
        <f>+MOP_Mes_Corriente!ER25*MOP_Mes_Constante!$EP$1</f>
        <v>139947914</v>
      </c>
      <c r="ES24" s="20">
        <f>+MOP_Mes_Corriente!ES25*MOP_Mes_Constante!$EP$1</f>
        <v>139947914</v>
      </c>
      <c r="ET24" s="20">
        <f>+MOP_Mes_Corriente!ET25*MOP_Mes_Constante!$EP$1</f>
        <v>139947914</v>
      </c>
      <c r="EU24" s="20">
        <f>+MOP_Mes_Corriente!EU25*MOP_Mes_Constante!$EP$1</f>
        <v>139947914</v>
      </c>
      <c r="EV24" s="20">
        <f>+MOP_Mes_Corriente!EV25*MOP_Mes_Constante!$EP$1</f>
        <v>145917564</v>
      </c>
      <c r="EW24" s="20">
        <f>+MOP_Mes_Corriente!EW25*MOP_Mes_Constante!$EP$1</f>
        <v>145917564</v>
      </c>
      <c r="EX24" s="20">
        <f>+MOP_Mes_Corriente!EX25*MOP_Mes_Constante!$EP$1</f>
        <v>145917564</v>
      </c>
      <c r="EY24" s="20">
        <f>+MOP_Mes_Corriente!EY25*MOP_Mes_Constante!$EP$1</f>
        <v>151478816</v>
      </c>
      <c r="EZ24" s="20">
        <f>+MOP_Mes_Corriente!EZ25*MOP_Mes_Constante!$EP$1</f>
        <v>151478816</v>
      </c>
      <c r="FA24" s="20">
        <f>+MOP_Mes_Corriente!FA25*MOP_Mes_Constante!$EP$1</f>
        <v>143006856</v>
      </c>
      <c r="FB24" s="20">
        <f t="shared" si="30"/>
        <v>143006856</v>
      </c>
      <c r="FC24" s="20">
        <f>+MOP_Mes_Corriente!FC25*MOP_Mes_Constante!$FC$1</f>
        <v>109909690</v>
      </c>
      <c r="FD24" s="20">
        <f>+MOP_Mes_Corriente!FD25*MOP_Mes_Constante!$FC$1</f>
        <v>109909690</v>
      </c>
      <c r="FE24" s="20">
        <f>+MOP_Mes_Corriente!FE25*MOP_Mes_Constante!$FC$1</f>
        <v>109909690</v>
      </c>
      <c r="FF24" s="20">
        <f>+MOP_Mes_Corriente!FF25*MOP_Mes_Constante!$FC$1</f>
        <v>109909690</v>
      </c>
      <c r="FG24" s="20">
        <f>+MOP_Mes_Corriente!FG25*MOP_Mes_Constante!$FC$1</f>
        <v>106612399</v>
      </c>
      <c r="FH24" s="20">
        <f>+MOP_Mes_Corriente!FH25*MOP_Mes_Constante!$FC$1</f>
        <v>106612399</v>
      </c>
      <c r="FI24" s="20">
        <f>+MOP_Mes_Corriente!FI25*MOP_Mes_Constante!$FC$1</f>
        <v>106612399</v>
      </c>
      <c r="FJ24" s="10"/>
      <c r="FK24" s="10"/>
      <c r="FL24" s="10"/>
      <c r="FM24" s="10"/>
      <c r="FN24" s="10"/>
      <c r="FO24" s="20">
        <f t="shared" si="31"/>
        <v>106612399</v>
      </c>
    </row>
    <row r="25" spans="1:171" ht="27.75" customHeight="1">
      <c r="A25" s="10"/>
      <c r="B25" s="19" t="s">
        <v>47</v>
      </c>
      <c r="C25" s="20">
        <f>+MOP_Mes_Corriente!C26*MOP_Mes_Constante!$C$1</f>
        <v>66897104.521726243</v>
      </c>
      <c r="D25" s="20">
        <f>+MOP_Mes_Corriente!D26*MOP_Mes_Constante!$C$1</f>
        <v>66897104.521726243</v>
      </c>
      <c r="E25" s="20">
        <f>+MOP_Mes_Corriente!E26*MOP_Mes_Constante!$C$1</f>
        <v>66897104.521726243</v>
      </c>
      <c r="F25" s="20">
        <f>+MOP_Mes_Corriente!F26*MOP_Mes_Constante!$C$1</f>
        <v>66897104.521726243</v>
      </c>
      <c r="G25" s="20">
        <f>+MOP_Mes_Corriente!G26*MOP_Mes_Constante!$C$1</f>
        <v>67681352.482574537</v>
      </c>
      <c r="H25" s="20">
        <f>+MOP_Mes_Corriente!H26*MOP_Mes_Constante!$C$1</f>
        <v>67681352.482574537</v>
      </c>
      <c r="I25" s="20">
        <f>+MOP_Mes_Corriente!I26*MOP_Mes_Constante!$C$1</f>
        <v>67681352.482574537</v>
      </c>
      <c r="J25" s="20">
        <f>+MOP_Mes_Corriente!J26*MOP_Mes_Constante!$C$1</f>
        <v>70956303.912501872</v>
      </c>
      <c r="K25" s="20">
        <f>+MOP_Mes_Corriente!K26*MOP_Mes_Constante!$C$1</f>
        <v>70956303.912501872</v>
      </c>
      <c r="L25" s="20">
        <f>+MOP_Mes_Corriente!L26*MOP_Mes_Constante!$C$1</f>
        <v>72442810.274655208</v>
      </c>
      <c r="M25" s="20">
        <f>+MOP_Mes_Corriente!M26*MOP_Mes_Constante!$C$1</f>
        <v>72442810.274655208</v>
      </c>
      <c r="N25" s="20">
        <f>+MOP_Mes_Corriente!N26*MOP_Mes_Constante!$C$1</f>
        <v>73737558.288298994</v>
      </c>
      <c r="O25" s="20">
        <f t="shared" si="19"/>
        <v>73737558.288298994</v>
      </c>
      <c r="P25" s="20">
        <f>+MOP_Mes_Corriente!P26*MOP_Mes_Constante!$P$1</f>
        <v>63655487.570393495</v>
      </c>
      <c r="Q25" s="20">
        <f>+MOP_Mes_Corriente!Q26*MOP_Mes_Constante!$P$1</f>
        <v>63655487.570393495</v>
      </c>
      <c r="R25" s="20">
        <f>+MOP_Mes_Corriente!R26*MOP_Mes_Constante!$P$1</f>
        <v>63655487.570393495</v>
      </c>
      <c r="S25" s="20">
        <f>+MOP_Mes_Corriente!S26*MOP_Mes_Constante!$P$1</f>
        <v>63655487.570393495</v>
      </c>
      <c r="T25" s="20">
        <f>+MOP_Mes_Corriente!T26*MOP_Mes_Constante!$P$1</f>
        <v>63655487.570393495</v>
      </c>
      <c r="U25" s="20">
        <f>+MOP_Mes_Corriente!U26*MOP_Mes_Constante!$P$1</f>
        <v>63655487.570393495</v>
      </c>
      <c r="V25" s="20">
        <f>+MOP_Mes_Corriente!V26*MOP_Mes_Constante!$P$1</f>
        <v>63655487.570393495</v>
      </c>
      <c r="W25" s="20">
        <f>+MOP_Mes_Corriente!W26*MOP_Mes_Constante!$P$1</f>
        <v>60861511.153288797</v>
      </c>
      <c r="X25" s="20">
        <f>+MOP_Mes_Corriente!X26*MOP_Mes_Constante!$P$1</f>
        <v>60861511.153288797</v>
      </c>
      <c r="Y25" s="20">
        <f>+MOP_Mes_Corriente!Y26*MOP_Mes_Constante!$P$1</f>
        <v>60861511.153288797</v>
      </c>
      <c r="Z25" s="20">
        <f>+MOP_Mes_Corriente!Z26*MOP_Mes_Constante!$P$1</f>
        <v>59044184.714874253</v>
      </c>
      <c r="AA25" s="20">
        <f>+MOP_Mes_Corriente!AA26*MOP_Mes_Constante!$P$1</f>
        <v>54069776.684188075</v>
      </c>
      <c r="AB25" s="20">
        <f t="shared" si="20"/>
        <v>54069776.684188075</v>
      </c>
      <c r="AC25" s="20">
        <f>+MOP_Mes_Corriente!AC26*MOP_Mes_Constante!$AC$1</f>
        <v>66431632.22050076</v>
      </c>
      <c r="AD25" s="20">
        <f>+MOP_Mes_Corriente!AD26*MOP_Mes_Constante!$AC$1</f>
        <v>66431632.22050076</v>
      </c>
      <c r="AE25" s="20">
        <f>+MOP_Mes_Corriente!AE26*MOP_Mes_Constante!$AC$1</f>
        <v>66431632.22050076</v>
      </c>
      <c r="AF25" s="20">
        <f>+MOP_Mes_Corriente!AF26*MOP_Mes_Constante!$AC$1</f>
        <v>65947980.263106927</v>
      </c>
      <c r="AG25" s="20">
        <f>+MOP_Mes_Corriente!AG26*MOP_Mes_Constante!$AC$1</f>
        <v>65947980.263106927</v>
      </c>
      <c r="AH25" s="20">
        <f>+MOP_Mes_Corriente!AH26*MOP_Mes_Constante!$AC$1</f>
        <v>65947980.263106927</v>
      </c>
      <c r="AI25" s="20">
        <f>+MOP_Mes_Corriente!AI26*MOP_Mes_Constante!$AC$1</f>
        <v>65947980.263106927</v>
      </c>
      <c r="AJ25" s="20">
        <f>+MOP_Mes_Corriente!AJ26*MOP_Mes_Constante!$AC$1</f>
        <v>65947980.263106927</v>
      </c>
      <c r="AK25" s="20">
        <f>+MOP_Mes_Corriente!AK26*MOP_Mes_Constante!$AC$1</f>
        <v>65947980.263106927</v>
      </c>
      <c r="AL25" s="20">
        <f>+MOP_Mes_Corriente!AL26*MOP_Mes_Constante!$AC$1</f>
        <v>65249707.749619588</v>
      </c>
      <c r="AM25" s="20">
        <f>+MOP_Mes_Corriente!AM26*MOP_Mes_Constante!$AC$1</f>
        <v>65249707.749619588</v>
      </c>
      <c r="AN25" s="20">
        <f>+MOP_Mes_Corriente!AN26*MOP_Mes_Constante!$AC$1</f>
        <v>66291063.313321345</v>
      </c>
      <c r="AO25" s="20">
        <f t="shared" si="21"/>
        <v>66291063.313321345</v>
      </c>
      <c r="AP25" s="20">
        <f>+MOP_Mes_Corriente!AP26*MOP_Mes_Constante!$AP$1</f>
        <v>66906708.09170837</v>
      </c>
      <c r="AQ25" s="20">
        <f>+MOP_Mes_Corriente!AQ26*MOP_Mes_Constante!$AP$1</f>
        <v>66906708.09170837</v>
      </c>
      <c r="AR25" s="20">
        <f>+MOP_Mes_Corriente!AR26*MOP_Mes_Constante!$AP$1</f>
        <v>66906708.09170837</v>
      </c>
      <c r="AS25" s="20">
        <f>+MOP_Mes_Corriente!AS26*MOP_Mes_Constante!$AP$1</f>
        <v>66906708.09170837</v>
      </c>
      <c r="AT25" s="20">
        <f>+MOP_Mes_Corriente!AT26*MOP_Mes_Constante!$AP$1</f>
        <v>66906708.09170837</v>
      </c>
      <c r="AU25" s="20">
        <f>+MOP_Mes_Corriente!AU26*MOP_Mes_Constante!$AP$1</f>
        <v>66906708.09170837</v>
      </c>
      <c r="AV25" s="20">
        <f>+MOP_Mes_Corriente!AV26*MOP_Mes_Constante!$AP$1</f>
        <v>66906708.09170837</v>
      </c>
      <c r="AW25" s="20">
        <f>+MOP_Mes_Corriente!AW26*MOP_Mes_Constante!$AP$1</f>
        <v>66906708.09170837</v>
      </c>
      <c r="AX25" s="20">
        <f>+MOP_Mes_Corriente!AX26*MOP_Mes_Constante!$AP$1</f>
        <v>66906708.09170837</v>
      </c>
      <c r="AY25" s="20">
        <f>+MOP_Mes_Corriente!AY26*MOP_Mes_Constante!$AP$1</f>
        <v>69297925.188962534</v>
      </c>
      <c r="AZ25" s="20">
        <f>+MOP_Mes_Corriente!AZ26*MOP_Mes_Constante!$AP$1</f>
        <v>69297925.188962534</v>
      </c>
      <c r="BA25" s="20">
        <f>+MOP_Mes_Corriente!BA26*MOP_Mes_Constante!$AP$1</f>
        <v>72520914.887055323</v>
      </c>
      <c r="BB25" s="20">
        <f t="shared" si="22"/>
        <v>72520914.887055323</v>
      </c>
      <c r="BC25" s="20">
        <f>+MOP_Mes_Corriente!BC26*MOP_Mes_Constante!$BC$1</f>
        <v>51297787.569036014</v>
      </c>
      <c r="BD25" s="20">
        <f>+MOP_Mes_Corriente!BD26*MOP_Mes_Constante!$BC$1</f>
        <v>51297787.569036014</v>
      </c>
      <c r="BE25" s="20">
        <f>+MOP_Mes_Corriente!BE26*MOP_Mes_Constante!$BC$1</f>
        <v>51297787.569036014</v>
      </c>
      <c r="BF25" s="20">
        <f>+MOP_Mes_Corriente!BF26*MOP_Mes_Constante!$BC$1</f>
        <v>51297787.569036014</v>
      </c>
      <c r="BG25" s="20">
        <f>+MOP_Mes_Corriente!BG26*MOP_Mes_Constante!$BC$1</f>
        <v>51297787.569036014</v>
      </c>
      <c r="BH25" s="20">
        <f>+MOP_Mes_Corriente!BH26*MOP_Mes_Constante!$BC$1</f>
        <v>62392367.550573669</v>
      </c>
      <c r="BI25" s="20">
        <f>+MOP_Mes_Corriente!BI26*MOP_Mes_Constante!$BC$1</f>
        <v>62392367.550573669</v>
      </c>
      <c r="BJ25" s="20">
        <f>+MOP_Mes_Corriente!BJ26*MOP_Mes_Constante!$BC$1</f>
        <v>63112794.822102085</v>
      </c>
      <c r="BK25" s="20">
        <f>+MOP_Mes_Corriente!BK26*MOP_Mes_Constante!$BC$1</f>
        <v>63112794.822102085</v>
      </c>
      <c r="BL25" s="20">
        <f>+MOP_Mes_Corriente!BL26*MOP_Mes_Constante!$BC$1</f>
        <v>63112794.822102085</v>
      </c>
      <c r="BM25" s="20">
        <f>+MOP_Mes_Corriente!BM26*MOP_Mes_Constante!$BC$1</f>
        <v>63112794.822102085</v>
      </c>
      <c r="BN25" s="20">
        <f>+MOP_Mes_Corriente!BN26*MOP_Mes_Constante!$BC$1</f>
        <v>49420257.562178567</v>
      </c>
      <c r="BO25" s="20">
        <f t="shared" si="23"/>
        <v>49420257.562178567</v>
      </c>
      <c r="BP25" s="20">
        <f>+MOP_Mes_Corriente!BP26*MOP_Mes_Constante!$BP$1</f>
        <v>74241539.061971843</v>
      </c>
      <c r="BQ25" s="20">
        <f>+MOP_Mes_Corriente!BQ26*MOP_Mes_Constante!$BP$1</f>
        <v>74241539.061971843</v>
      </c>
      <c r="BR25" s="20">
        <f>+MOP_Mes_Corriente!BR26*MOP_Mes_Constante!$BP$1</f>
        <v>74241539.061971843</v>
      </c>
      <c r="BS25" s="20">
        <f>+MOP_Mes_Corriente!BS26*MOP_Mes_Constante!$BP$1</f>
        <v>74241539.061971843</v>
      </c>
      <c r="BT25" s="20">
        <f>+MOP_Mes_Corriente!BT26*MOP_Mes_Constante!$BP$1</f>
        <v>74241539.061971843</v>
      </c>
      <c r="BU25" s="20">
        <f>+MOP_Mes_Corriente!BU26*MOP_Mes_Constante!$BP$1</f>
        <v>74241539.061971843</v>
      </c>
      <c r="BV25" s="20">
        <f>+MOP_Mes_Corriente!BV26*MOP_Mes_Constante!$BP$1</f>
        <v>74241539.061971843</v>
      </c>
      <c r="BW25" s="20">
        <f>+MOP_Mes_Corriente!BW26*MOP_Mes_Constante!$BP$1</f>
        <v>77364352.143149823</v>
      </c>
      <c r="BX25" s="20">
        <f>+MOP_Mes_Corriente!BX26*MOP_Mes_Constante!$BP$1</f>
        <v>77364352.143149823</v>
      </c>
      <c r="BY25" s="20">
        <f>+MOP_Mes_Corriente!BY26*MOP_Mes_Constante!$BP$1</f>
        <v>77364352.143149823</v>
      </c>
      <c r="BZ25" s="20">
        <f>+MOP_Mes_Corriente!BZ26*MOP_Mes_Constante!$BP$1</f>
        <v>77364352.143149823</v>
      </c>
      <c r="CA25" s="20">
        <f>+MOP_Mes_Corriente!CA26*MOP_Mes_Constante!$BP$1</f>
        <v>76018438.219206154</v>
      </c>
      <c r="CB25" s="20">
        <f t="shared" si="24"/>
        <v>76018438.219206154</v>
      </c>
      <c r="CC25" s="20">
        <f>+MOP_Mes_Corriente!CC26*MOP_Mes_Constante!$CC$1</f>
        <v>79584151.271167487</v>
      </c>
      <c r="CD25" s="20">
        <f>+MOP_Mes_Corriente!CD26*MOP_Mes_Constante!$CC$1</f>
        <v>79584151.271167487</v>
      </c>
      <c r="CE25" s="20">
        <f>+MOP_Mes_Corriente!CE26*MOP_Mes_Constante!$CC$1</f>
        <v>79584151.271167487</v>
      </c>
      <c r="CF25" s="20">
        <f>+MOP_Mes_Corriente!CF26*MOP_Mes_Constante!$CC$1</f>
        <v>89994412.283476323</v>
      </c>
      <c r="CG25" s="20">
        <f>+MOP_Mes_Corriente!CG26*MOP_Mes_Constante!$CC$1</f>
        <v>89994412.283476323</v>
      </c>
      <c r="CH25" s="20">
        <f>+MOP_Mes_Corriente!CH26*MOP_Mes_Constante!$CC$1</f>
        <v>89994412.283476323</v>
      </c>
      <c r="CI25" s="20">
        <f>+MOP_Mes_Corriente!CI26*MOP_Mes_Constante!$CC$1</f>
        <v>89858567.449459165</v>
      </c>
      <c r="CJ25" s="20">
        <f>+MOP_Mes_Corriente!CJ26*MOP_Mes_Constante!$CC$1</f>
        <v>88287910.460276023</v>
      </c>
      <c r="CK25" s="20">
        <f>+MOP_Mes_Corriente!CK26*MOP_Mes_Constante!$CC$1</f>
        <v>88287910.460276023</v>
      </c>
      <c r="CL25" s="20">
        <f>+MOP_Mes_Corriente!CL26*MOP_Mes_Constante!$CC$1</f>
        <v>87715138.377471104</v>
      </c>
      <c r="CM25" s="20">
        <f>+MOP_Mes_Corriente!CM26*MOP_Mes_Constante!$CC$1</f>
        <v>87715138.377471104</v>
      </c>
      <c r="CN25" s="20">
        <f>+MOP_Mes_Corriente!CN26*MOP_Mes_Constante!$CC$1</f>
        <v>79584151.271167487</v>
      </c>
      <c r="CO25" s="20">
        <f t="shared" si="25"/>
        <v>79584151.271167487</v>
      </c>
      <c r="CP25" s="20">
        <f>+MOP_Mes_Corriente!CP26*MOP_Mes_Constante!$CP$1</f>
        <v>76233754.181902543</v>
      </c>
      <c r="CQ25" s="20">
        <f>+MOP_Mes_Corriente!CQ26*MOP_Mes_Constante!$CP$1</f>
        <v>76233754.181902543</v>
      </c>
      <c r="CR25" s="20">
        <f>+MOP_Mes_Corriente!CR26*MOP_Mes_Constante!$CP$1</f>
        <v>76233754.181902543</v>
      </c>
      <c r="CS25" s="20">
        <f>+MOP_Mes_Corriente!CS26*MOP_Mes_Constante!$CP$1</f>
        <v>76233754.181902543</v>
      </c>
      <c r="CT25" s="20">
        <f>+MOP_Mes_Corriente!CT26*MOP_Mes_Constante!$CP$1</f>
        <v>76233754.181902543</v>
      </c>
      <c r="CU25" s="20">
        <f>+MOP_Mes_Corriente!CU26*MOP_Mes_Constante!$CP$1</f>
        <v>76233754.181902543</v>
      </c>
      <c r="CV25" s="20">
        <f>+MOP_Mes_Corriente!CV26*MOP_Mes_Constante!$CP$1</f>
        <v>76233754.181902543</v>
      </c>
      <c r="CW25" s="20">
        <f>+MOP_Mes_Corriente!CW26*MOP_Mes_Constante!$CP$1</f>
        <v>76233754.181902543</v>
      </c>
      <c r="CX25" s="20">
        <f>+MOP_Mes_Corriente!CX26*MOP_Mes_Constante!$CP$1</f>
        <v>76233754.181902543</v>
      </c>
      <c r="CY25" s="20">
        <f>+MOP_Mes_Corriente!CY26*MOP_Mes_Constante!$CP$1</f>
        <v>76233754.181902543</v>
      </c>
      <c r="CZ25" s="20">
        <f>+MOP_Mes_Corriente!CZ26*MOP_Mes_Constante!$CP$1</f>
        <v>76233754.181902543</v>
      </c>
      <c r="DA25" s="20">
        <f>+MOP_Mes_Corriente!DA26*MOP_Mes_Constante!$CP$1</f>
        <v>72452749.77354987</v>
      </c>
      <c r="DB25" s="20">
        <f t="shared" si="26"/>
        <v>72452749.77354987</v>
      </c>
      <c r="DC25" s="20">
        <f>+MOP_Mes_Corriente!DC26*MOP_Mes_Constante!$DC$1</f>
        <v>70581682.38226524</v>
      </c>
      <c r="DD25" s="20">
        <f>+MOP_Mes_Corriente!DD26*MOP_Mes_Constante!$DC$1</f>
        <v>70581682.38226524</v>
      </c>
      <c r="DE25" s="20">
        <f>+MOP_Mes_Corriente!DE26*MOP_Mes_Constante!$DC$1</f>
        <v>70581682.38226524</v>
      </c>
      <c r="DF25" s="20">
        <f>+MOP_Mes_Corriente!DF26*MOP_Mes_Constante!$DC$1</f>
        <v>70581682.38226524</v>
      </c>
      <c r="DG25" s="20">
        <f>+MOP_Mes_Corriente!DG26*MOP_Mes_Constante!$DC$1</f>
        <v>70486102.080444425</v>
      </c>
      <c r="DH25" s="20">
        <f>+MOP_Mes_Corriente!DH26*MOP_Mes_Constante!$DC$1</f>
        <v>70486102.080444425</v>
      </c>
      <c r="DI25" s="20">
        <f>+MOP_Mes_Corriente!DI26*MOP_Mes_Constante!$DC$1</f>
        <v>70233255.265713438</v>
      </c>
      <c r="DJ25" s="20">
        <f>+MOP_Mes_Corriente!DJ26*MOP_Mes_Constante!$DC$1</f>
        <v>70233255.265713438</v>
      </c>
      <c r="DK25" s="20">
        <f>+MOP_Mes_Corriente!DK26*MOP_Mes_Constante!$DC$1</f>
        <v>70233255.265713438</v>
      </c>
      <c r="DL25" s="20">
        <f>+MOP_Mes_Corriente!DL26*MOP_Mes_Constante!$DC$1</f>
        <v>70233255.265713438</v>
      </c>
      <c r="DM25" s="20">
        <f>+MOP_Mes_Corriente!DM26*MOP_Mes_Constante!$DC$1</f>
        <v>70233255.265713438</v>
      </c>
      <c r="DN25" s="20">
        <f>+MOP_Mes_Corriente!DN26*MOP_Mes_Constante!$DC$1</f>
        <v>74342668.743956417</v>
      </c>
      <c r="DO25" s="20">
        <f t="shared" si="27"/>
        <v>74342668.743956417</v>
      </c>
      <c r="DP25" s="20">
        <f>+MOP_Mes_Corriente!DP26*MOP_Mes_Constante!$DP$1</f>
        <v>146326938.36520192</v>
      </c>
      <c r="DQ25" s="20">
        <f>+MOP_Mes_Corriente!DQ26*MOP_Mes_Constante!$DP$1</f>
        <v>146326938.36520192</v>
      </c>
      <c r="DR25" s="20">
        <f>+MOP_Mes_Corriente!DR26*MOP_Mes_Constante!$DP$1</f>
        <v>146326938.36520192</v>
      </c>
      <c r="DS25" s="20">
        <f>+MOP_Mes_Corriente!DS26*MOP_Mes_Constante!$DP$1</f>
        <v>146326938.36520192</v>
      </c>
      <c r="DT25" s="20">
        <f>+MOP_Mes_Corriente!DT26*MOP_Mes_Constante!$DP$1</f>
        <v>146326938.36520192</v>
      </c>
      <c r="DU25" s="20">
        <f>+MOP_Mes_Corriente!DU26*MOP_Mes_Constante!$DP$1</f>
        <v>146326938.36520192</v>
      </c>
      <c r="DV25" s="20">
        <f>+MOP_Mes_Corriente!DV26*MOP_Mes_Constante!$DP$1</f>
        <v>146326938.36520192</v>
      </c>
      <c r="DW25" s="20">
        <f>+MOP_Mes_Corriente!DW26*MOP_Mes_Constante!$DP$1</f>
        <v>146326938.36520192</v>
      </c>
      <c r="DX25" s="20">
        <f>+MOP_Mes_Corriente!DX26*MOP_Mes_Constante!$DP$1</f>
        <v>146326938.36520192</v>
      </c>
      <c r="DY25" s="20">
        <f>+MOP_Mes_Corriente!DY26*MOP_Mes_Constante!$DP$1</f>
        <v>142001522.68824229</v>
      </c>
      <c r="DZ25" s="20">
        <f>+MOP_Mes_Corriente!DZ26*MOP_Mes_Constante!$DP$1</f>
        <v>142001522.68824229</v>
      </c>
      <c r="EA25" s="20">
        <f>+MOP_Mes_Corriente!EA26*MOP_Mes_Constante!$DP$1</f>
        <v>133922404.23277912</v>
      </c>
      <c r="EB25" s="20">
        <f t="shared" si="28"/>
        <v>133922404.23277912</v>
      </c>
      <c r="EC25" s="20">
        <f>+MOP_Mes_Corriente!EC26*MOP_Mes_Constante!$EC$1</f>
        <v>142488652.50085208</v>
      </c>
      <c r="ED25" s="20">
        <f>+MOP_Mes_Corriente!ED26*MOP_Mes_Constante!$EC$1</f>
        <v>142488652.50085208</v>
      </c>
      <c r="EE25" s="20">
        <f>+MOP_Mes_Corriente!EE26*MOP_Mes_Constante!$EC$1</f>
        <v>142488652.50085208</v>
      </c>
      <c r="EF25" s="20">
        <f>+MOP_Mes_Corriente!EF26*MOP_Mes_Constante!$EC$1</f>
        <v>140598183.47150156</v>
      </c>
      <c r="EG25" s="20">
        <f>+MOP_Mes_Corriente!EG26*MOP_Mes_Constante!$EC$1</f>
        <v>140568856.44063619</v>
      </c>
      <c r="EH25" s="20">
        <f>+MOP_Mes_Corriente!EH26*MOP_Mes_Constante!$EC$1</f>
        <v>140568856.44063619</v>
      </c>
      <c r="EI25" s="20">
        <f>+MOP_Mes_Corriente!EI26*MOP_Mes_Constante!$EC$1</f>
        <v>140568856.44063619</v>
      </c>
      <c r="EJ25" s="20">
        <f>+MOP_Mes_Corriente!EJ26*MOP_Mes_Constante!$EC$1</f>
        <v>140568856.44063619</v>
      </c>
      <c r="EK25" s="20">
        <f>+MOP_Mes_Corriente!EK26*MOP_Mes_Constante!$EC$1</f>
        <v>140568856.44063619</v>
      </c>
      <c r="EL25" s="20">
        <f>+MOP_Mes_Corriente!EL26*MOP_Mes_Constante!$EC$1</f>
        <v>142480916.78526789</v>
      </c>
      <c r="EM25" s="20">
        <f>+MOP_Mes_Corriente!EM26*MOP_Mes_Constante!$EC$1</f>
        <v>142480916.78526789</v>
      </c>
      <c r="EN25" s="20">
        <f>+MOP_Mes_Corriente!EN26*MOP_Mes_Constante!$EC$1</f>
        <v>125480405.26150346</v>
      </c>
      <c r="EO25" s="20">
        <f t="shared" si="29"/>
        <v>125480405.26150346</v>
      </c>
      <c r="EP25" s="20">
        <f>+MOP_Mes_Corriente!EP26*MOP_Mes_Constante!$EP$1</f>
        <v>141825431</v>
      </c>
      <c r="EQ25" s="20">
        <f>+MOP_Mes_Corriente!EQ26*MOP_Mes_Constante!$EP$1</f>
        <v>141825431</v>
      </c>
      <c r="ER25" s="20">
        <f>+MOP_Mes_Corriente!ER26*MOP_Mes_Constante!$EP$1</f>
        <v>141825431</v>
      </c>
      <c r="ES25" s="20">
        <f>+MOP_Mes_Corriente!ES26*MOP_Mes_Constante!$EP$1</f>
        <v>141825431</v>
      </c>
      <c r="ET25" s="20">
        <f>+MOP_Mes_Corriente!ET26*MOP_Mes_Constante!$EP$1</f>
        <v>141825431</v>
      </c>
      <c r="EU25" s="20">
        <f>+MOP_Mes_Corriente!EU26*MOP_Mes_Constante!$EP$1</f>
        <v>141825431</v>
      </c>
      <c r="EV25" s="20">
        <f>+MOP_Mes_Corriente!EV26*MOP_Mes_Constante!$EP$1</f>
        <v>141825431</v>
      </c>
      <c r="EW25" s="20">
        <f>+MOP_Mes_Corriente!EW26*MOP_Mes_Constante!$EP$1</f>
        <v>141825431</v>
      </c>
      <c r="EX25" s="20">
        <f>+MOP_Mes_Corriente!EX26*MOP_Mes_Constante!$EP$1</f>
        <v>141825431</v>
      </c>
      <c r="EY25" s="20">
        <f>+MOP_Mes_Corriente!EY26*MOP_Mes_Constante!$EP$1</f>
        <v>141825431</v>
      </c>
      <c r="EZ25" s="20">
        <f>+MOP_Mes_Corriente!EZ26*MOP_Mes_Constante!$EP$1</f>
        <v>141825431</v>
      </c>
      <c r="FA25" s="20">
        <f>+MOP_Mes_Corriente!FA26*MOP_Mes_Constante!$EP$1</f>
        <v>143001334</v>
      </c>
      <c r="FB25" s="20">
        <f t="shared" si="30"/>
        <v>143001334</v>
      </c>
      <c r="FC25" s="20">
        <f>+MOP_Mes_Corriente!FC26*MOP_Mes_Constante!$FC$1</f>
        <v>127610750</v>
      </c>
      <c r="FD25" s="20">
        <f>+MOP_Mes_Corriente!FD26*MOP_Mes_Constante!$FC$1</f>
        <v>127610750</v>
      </c>
      <c r="FE25" s="20">
        <f>+MOP_Mes_Corriente!FE26*MOP_Mes_Constante!$FC$1</f>
        <v>127610750</v>
      </c>
      <c r="FF25" s="20">
        <f>+MOP_Mes_Corriente!FF26*MOP_Mes_Constante!$FC$1</f>
        <v>127610750</v>
      </c>
      <c r="FG25" s="20">
        <f>+MOP_Mes_Corriente!FG26*MOP_Mes_Constante!$FC$1</f>
        <v>124345173</v>
      </c>
      <c r="FH25" s="20">
        <f>+MOP_Mes_Corriente!FH26*MOP_Mes_Constante!$FC$1</f>
        <v>124345173</v>
      </c>
      <c r="FI25" s="20">
        <f>+MOP_Mes_Corriente!FI26*MOP_Mes_Constante!$FC$1</f>
        <v>124345173</v>
      </c>
      <c r="FJ25" s="10"/>
      <c r="FK25" s="10"/>
      <c r="FL25" s="10"/>
      <c r="FM25" s="10"/>
      <c r="FN25" s="10"/>
      <c r="FO25" s="20">
        <f t="shared" si="31"/>
        <v>124345173</v>
      </c>
    </row>
    <row r="26" spans="1:171" ht="27.75" customHeight="1">
      <c r="A26" s="10"/>
      <c r="B26" s="19" t="s">
        <v>48</v>
      </c>
      <c r="C26" s="20">
        <f>+MOP_Mes_Corriente!C27*MOP_Mes_Constante!$C$1</f>
        <v>42570669.336793721</v>
      </c>
      <c r="D26" s="20">
        <f>+MOP_Mes_Corriente!D27*MOP_Mes_Constante!$C$1</f>
        <v>42570669.336793721</v>
      </c>
      <c r="E26" s="20">
        <f>+MOP_Mes_Corriente!E27*MOP_Mes_Constante!$C$1</f>
        <v>43677690.425329976</v>
      </c>
      <c r="F26" s="20">
        <f>+MOP_Mes_Corriente!F27*MOP_Mes_Constante!$C$1</f>
        <v>43677690.425329976</v>
      </c>
      <c r="G26" s="20">
        <f>+MOP_Mes_Corriente!G27*MOP_Mes_Constante!$C$1</f>
        <v>43677690.425329976</v>
      </c>
      <c r="H26" s="20">
        <f>+MOP_Mes_Corriente!H27*MOP_Mes_Constante!$C$1</f>
        <v>43677690.425329976</v>
      </c>
      <c r="I26" s="20">
        <f>+MOP_Mes_Corriente!I27*MOP_Mes_Constante!$C$1</f>
        <v>43677690.425329976</v>
      </c>
      <c r="J26" s="20">
        <f>+MOP_Mes_Corriente!J27*MOP_Mes_Constante!$C$1</f>
        <v>44158933.492214158</v>
      </c>
      <c r="K26" s="20">
        <f>+MOP_Mes_Corriente!K27*MOP_Mes_Constante!$C$1</f>
        <v>44158933.492214158</v>
      </c>
      <c r="L26" s="20">
        <f>+MOP_Mes_Corriente!L27*MOP_Mes_Constante!$C$1</f>
        <v>44158933.492214158</v>
      </c>
      <c r="M26" s="20">
        <f>+MOP_Mes_Corriente!M27*MOP_Mes_Constante!$C$1</f>
        <v>44654933.059469089</v>
      </c>
      <c r="N26" s="20">
        <f>+MOP_Mes_Corriente!N27*MOP_Mes_Constante!$C$1</f>
        <v>41345625.411537901</v>
      </c>
      <c r="O26" s="20">
        <f t="shared" si="19"/>
        <v>41345625.411537901</v>
      </c>
      <c r="P26" s="20">
        <f>+MOP_Mes_Corriente!P27*MOP_Mes_Constante!$P$1</f>
        <v>43777854.109958783</v>
      </c>
      <c r="Q26" s="20">
        <f>+MOP_Mes_Corriente!Q27*MOP_Mes_Constante!$P$1</f>
        <v>43777854.109958783</v>
      </c>
      <c r="R26" s="20">
        <f>+MOP_Mes_Corriente!R27*MOP_Mes_Constante!$P$1</f>
        <v>43736445.827248171</v>
      </c>
      <c r="S26" s="20">
        <f>+MOP_Mes_Corriente!S27*MOP_Mes_Constante!$P$1</f>
        <v>43736445.827248171</v>
      </c>
      <c r="T26" s="20">
        <f>+MOP_Mes_Corriente!T27*MOP_Mes_Constante!$P$1</f>
        <v>43736445.827248171</v>
      </c>
      <c r="U26" s="20">
        <f>+MOP_Mes_Corriente!U27*MOP_Mes_Constante!$P$1</f>
        <v>34914971.310413398</v>
      </c>
      <c r="V26" s="20">
        <f>+MOP_Mes_Corriente!V27*MOP_Mes_Constante!$P$1</f>
        <v>34914971.310413398</v>
      </c>
      <c r="W26" s="20">
        <f>+MOP_Mes_Corriente!W27*MOP_Mes_Constante!$P$1</f>
        <v>34890539.538854934</v>
      </c>
      <c r="X26" s="20">
        <f>+MOP_Mes_Corriente!X27*MOP_Mes_Constante!$P$1</f>
        <v>34580097.714732192</v>
      </c>
      <c r="Y26" s="20">
        <f>+MOP_Mes_Corriente!Y27*MOP_Mes_Constante!$P$1</f>
        <v>27409608.698110517</v>
      </c>
      <c r="Z26" s="20">
        <f>+MOP_Mes_Corriente!Z27*MOP_Mes_Constante!$P$1</f>
        <v>21924188.589572374</v>
      </c>
      <c r="AA26" s="20">
        <f>+MOP_Mes_Corriente!AA27*MOP_Mes_Constante!$P$1</f>
        <v>18713124.268504042</v>
      </c>
      <c r="AB26" s="20">
        <f t="shared" si="20"/>
        <v>18713124.268504042</v>
      </c>
      <c r="AC26" s="20">
        <f>+MOP_Mes_Corriente!AC27*MOP_Mes_Constante!$AC$1</f>
        <v>38873335.637570895</v>
      </c>
      <c r="AD26" s="20">
        <f>+MOP_Mes_Corriente!AD27*MOP_Mes_Constante!$AC$1</f>
        <v>38873335.637570895</v>
      </c>
      <c r="AE26" s="20">
        <f>+MOP_Mes_Corriente!AE27*MOP_Mes_Constante!$AC$1</f>
        <v>38873335.637570895</v>
      </c>
      <c r="AF26" s="20">
        <f>+MOP_Mes_Corriente!AF27*MOP_Mes_Constante!$AC$1</f>
        <v>38873335.637570895</v>
      </c>
      <c r="AG26" s="20">
        <f>+MOP_Mes_Corriente!AG27*MOP_Mes_Constante!$AC$1</f>
        <v>38873335.637570895</v>
      </c>
      <c r="AH26" s="20">
        <f>+MOP_Mes_Corriente!AH27*MOP_Mes_Constante!$AC$1</f>
        <v>38820436.204730943</v>
      </c>
      <c r="AI26" s="20">
        <f>+MOP_Mes_Corriente!AI27*MOP_Mes_Constante!$AC$1</f>
        <v>38820436.204730943</v>
      </c>
      <c r="AJ26" s="20">
        <f>+MOP_Mes_Corriente!AJ27*MOP_Mes_Constante!$AC$1</f>
        <v>33530492.920735925</v>
      </c>
      <c r="AK26" s="20">
        <f>+MOP_Mes_Corriente!AK27*MOP_Mes_Constante!$AC$1</f>
        <v>30074627.384147186</v>
      </c>
      <c r="AL26" s="20">
        <f>+MOP_Mes_Corriente!AL27*MOP_Mes_Constante!$AC$1</f>
        <v>30074627.384147186</v>
      </c>
      <c r="AM26" s="20">
        <f>+MOP_Mes_Corriente!AM27*MOP_Mes_Constante!$AC$1</f>
        <v>30074627.384147186</v>
      </c>
      <c r="AN26" s="20">
        <f>+MOP_Mes_Corriente!AN27*MOP_Mes_Constante!$AC$1</f>
        <v>24605042.160464793</v>
      </c>
      <c r="AO26" s="20">
        <f t="shared" si="21"/>
        <v>24605042.160464793</v>
      </c>
      <c r="AP26" s="20">
        <f>+MOP_Mes_Corriente!AP27*MOP_Mes_Constante!$AP$1</f>
        <v>41800121.223319352</v>
      </c>
      <c r="AQ26" s="20">
        <f>+MOP_Mes_Corriente!AQ27*MOP_Mes_Constante!$AP$1</f>
        <v>41800121.223319352</v>
      </c>
      <c r="AR26" s="20">
        <f>+MOP_Mes_Corriente!AR27*MOP_Mes_Constante!$AP$1</f>
        <v>41800121.223319352</v>
      </c>
      <c r="AS26" s="20">
        <f>+MOP_Mes_Corriente!AS27*MOP_Mes_Constante!$AP$1</f>
        <v>41800121.223319352</v>
      </c>
      <c r="AT26" s="20">
        <f>+MOP_Mes_Corriente!AT27*MOP_Mes_Constante!$AP$1</f>
        <v>41800121.223319352</v>
      </c>
      <c r="AU26" s="20">
        <f>+MOP_Mes_Corriente!AU27*MOP_Mes_Constante!$AP$1</f>
        <v>41765970.268632486</v>
      </c>
      <c r="AV26" s="20">
        <f>+MOP_Mes_Corriente!AV27*MOP_Mes_Constante!$AP$1</f>
        <v>41879179.175977275</v>
      </c>
      <c r="AW26" s="20">
        <f>+MOP_Mes_Corriente!AW27*MOP_Mes_Constante!$AP$1</f>
        <v>41879179.175977275</v>
      </c>
      <c r="AX26" s="20">
        <f>+MOP_Mes_Corriente!AX27*MOP_Mes_Constante!$AP$1</f>
        <v>41879179.175977275</v>
      </c>
      <c r="AY26" s="20">
        <f>+MOP_Mes_Corriente!AY27*MOP_Mes_Constante!$AP$1</f>
        <v>46405531.458406597</v>
      </c>
      <c r="AZ26" s="20">
        <f>+MOP_Mes_Corriente!AZ27*MOP_Mes_Constante!$AP$1</f>
        <v>46405531.458406597</v>
      </c>
      <c r="BA26" s="20">
        <f>+MOP_Mes_Corriente!BA27*MOP_Mes_Constante!$AP$1</f>
        <v>31771819.295279317</v>
      </c>
      <c r="BB26" s="20">
        <f t="shared" si="22"/>
        <v>31771819.295279317</v>
      </c>
      <c r="BC26" s="20">
        <f>+MOP_Mes_Corriente!BC27*MOP_Mes_Constante!$BC$1</f>
        <v>43952106.507187143</v>
      </c>
      <c r="BD26" s="20">
        <f>+MOP_Mes_Corriente!BD27*MOP_Mes_Constante!$BC$1</f>
        <v>43952106.507187143</v>
      </c>
      <c r="BE26" s="20">
        <f>+MOP_Mes_Corriente!BE27*MOP_Mes_Constante!$BC$1</f>
        <v>43952106.507187143</v>
      </c>
      <c r="BF26" s="20">
        <f>+MOP_Mes_Corriente!BF27*MOP_Mes_Constante!$BC$1</f>
        <v>43952106.507187143</v>
      </c>
      <c r="BG26" s="20">
        <f>+MOP_Mes_Corriente!BG27*MOP_Mes_Constante!$BC$1</f>
        <v>43866940.476856135</v>
      </c>
      <c r="BH26" s="20">
        <f>+MOP_Mes_Corriente!BH27*MOP_Mes_Constante!$BC$1</f>
        <v>43866940.476856135</v>
      </c>
      <c r="BI26" s="20">
        <f>+MOP_Mes_Corriente!BI27*MOP_Mes_Constante!$BC$1</f>
        <v>43781264.384016894</v>
      </c>
      <c r="BJ26" s="20">
        <f>+MOP_Mes_Corriente!BJ27*MOP_Mes_Constante!$BC$1</f>
        <v>43781264.384016894</v>
      </c>
      <c r="BK26" s="20">
        <f>+MOP_Mes_Corriente!BK27*MOP_Mes_Constante!$BC$1</f>
        <v>43781264.384016894</v>
      </c>
      <c r="BL26" s="20">
        <f>+MOP_Mes_Corriente!BL27*MOP_Mes_Constante!$BC$1</f>
        <v>35015990.028748527</v>
      </c>
      <c r="BM26" s="20">
        <f>+MOP_Mes_Corriente!BM27*MOP_Mes_Constante!$BC$1</f>
        <v>35015990.028748527</v>
      </c>
      <c r="BN26" s="20">
        <f>+MOP_Mes_Corriente!BN27*MOP_Mes_Constante!$BC$1</f>
        <v>30202790.933139924</v>
      </c>
      <c r="BO26" s="20">
        <f t="shared" si="23"/>
        <v>30202790.933139924</v>
      </c>
      <c r="BP26" s="20">
        <f>+MOP_Mes_Corriente!BP27*MOP_Mes_Constante!$BP$1</f>
        <v>36168223.08399488</v>
      </c>
      <c r="BQ26" s="20">
        <f>+MOP_Mes_Corriente!BQ27*MOP_Mes_Constante!$BP$1</f>
        <v>36168223.08399488</v>
      </c>
      <c r="BR26" s="20">
        <f>+MOP_Mes_Corriente!BR27*MOP_Mes_Constante!$BP$1</f>
        <v>36168223.08399488</v>
      </c>
      <c r="BS26" s="20">
        <f>+MOP_Mes_Corriente!BS27*MOP_Mes_Constante!$BP$1</f>
        <v>36168223.08399488</v>
      </c>
      <c r="BT26" s="20">
        <f>+MOP_Mes_Corriente!BT27*MOP_Mes_Constante!$BP$1</f>
        <v>36168223.08399488</v>
      </c>
      <c r="BU26" s="20">
        <f>+MOP_Mes_Corriente!BU27*MOP_Mes_Constante!$BP$1</f>
        <v>36168223.08399488</v>
      </c>
      <c r="BV26" s="20">
        <f>+MOP_Mes_Corriente!BV27*MOP_Mes_Constante!$BP$1</f>
        <v>36168223.08399488</v>
      </c>
      <c r="BW26" s="20">
        <f>+MOP_Mes_Corriente!BW27*MOP_Mes_Constante!$BP$1</f>
        <v>30235434.462483998</v>
      </c>
      <c r="BX26" s="20">
        <f>+MOP_Mes_Corriente!BX27*MOP_Mes_Constante!$BP$1</f>
        <v>24491259.938028172</v>
      </c>
      <c r="BY26" s="20">
        <f>+MOP_Mes_Corriente!BY27*MOP_Mes_Constante!$BP$1</f>
        <v>24491259.938028172</v>
      </c>
      <c r="BZ26" s="20">
        <f>+MOP_Mes_Corriente!BZ27*MOP_Mes_Constante!$BP$1</f>
        <v>24491259.938028172</v>
      </c>
      <c r="CA26" s="20">
        <f>+MOP_Mes_Corriente!CA27*MOP_Mes_Constante!$BP$1</f>
        <v>21249149.206402052</v>
      </c>
      <c r="CB26" s="20">
        <f t="shared" si="24"/>
        <v>21249149.206402052</v>
      </c>
      <c r="CC26" s="20">
        <f>+MOP_Mes_Corriente!CC27*MOP_Mes_Constante!$CC$1</f>
        <v>30017330.0387915</v>
      </c>
      <c r="CD26" s="20">
        <f>+MOP_Mes_Corriente!CD27*MOP_Mes_Constante!$CC$1</f>
        <v>30017330.0387915</v>
      </c>
      <c r="CE26" s="20">
        <f>+MOP_Mes_Corriente!CE27*MOP_Mes_Constante!$CC$1</f>
        <v>30017330.0387915</v>
      </c>
      <c r="CF26" s="20">
        <f>+MOP_Mes_Corriente!CF27*MOP_Mes_Constante!$CC$1</f>
        <v>30017330.0387915</v>
      </c>
      <c r="CG26" s="20">
        <f>+MOP_Mes_Corriente!CG27*MOP_Mes_Constante!$CC$1</f>
        <v>11708898.230511004</v>
      </c>
      <c r="CH26" s="20">
        <f>+MOP_Mes_Corriente!CH27*MOP_Mes_Constante!$CC$1</f>
        <v>11708898.230511004</v>
      </c>
      <c r="CI26" s="20">
        <f>+MOP_Mes_Corriente!CI27*MOP_Mes_Constante!$CC$1</f>
        <v>11708898.230511004</v>
      </c>
      <c r="CJ26" s="20">
        <f>+MOP_Mes_Corriente!CJ27*MOP_Mes_Constante!$CC$1</f>
        <v>11708898.230511004</v>
      </c>
      <c r="CK26" s="20">
        <f>+MOP_Mes_Corriente!CK27*MOP_Mes_Constante!$CC$1</f>
        <v>11708898.230511004</v>
      </c>
      <c r="CL26" s="20">
        <f>+MOP_Mes_Corriente!CL27*MOP_Mes_Constante!$CC$1</f>
        <v>11708898.230511004</v>
      </c>
      <c r="CM26" s="20">
        <f>+MOP_Mes_Corriente!CM27*MOP_Mes_Constante!$CC$1</f>
        <v>7055989.8798955623</v>
      </c>
      <c r="CN26" s="20">
        <f>+MOP_Mes_Corriente!CN27*MOP_Mes_Constante!$CC$1</f>
        <v>7055989.8798955623</v>
      </c>
      <c r="CO26" s="20">
        <f t="shared" si="25"/>
        <v>7055989.8798955623</v>
      </c>
      <c r="CP26" s="20">
        <f>+MOP_Mes_Corriente!CP27*MOP_Mes_Constante!$CP$1</f>
        <v>19665806.266357306</v>
      </c>
      <c r="CQ26" s="20">
        <f>+MOP_Mes_Corriente!CQ27*MOP_Mes_Constante!$CP$1</f>
        <v>21815285.090951271</v>
      </c>
      <c r="CR26" s="20">
        <f>+MOP_Mes_Corriente!CR27*MOP_Mes_Constante!$CP$1</f>
        <v>21815285.090951271</v>
      </c>
      <c r="CS26" s="20">
        <f>+MOP_Mes_Corriente!CS27*MOP_Mes_Constante!$CP$1</f>
        <v>21815285.090951271</v>
      </c>
      <c r="CT26" s="20">
        <f>+MOP_Mes_Corriente!CT27*MOP_Mes_Constante!$CP$1</f>
        <v>21815285.090951271</v>
      </c>
      <c r="CU26" s="20">
        <f>+MOP_Mes_Corriente!CU27*MOP_Mes_Constante!$CP$1</f>
        <v>20216218.09280742</v>
      </c>
      <c r="CV26" s="20">
        <f>+MOP_Mes_Corriente!CV27*MOP_Mes_Constante!$CP$1</f>
        <v>20216218.09280742</v>
      </c>
      <c r="CW26" s="20">
        <f>+MOP_Mes_Corriente!CW27*MOP_Mes_Constante!$CP$1</f>
        <v>20216218.09280742</v>
      </c>
      <c r="CX26" s="20">
        <f>+MOP_Mes_Corriente!CX27*MOP_Mes_Constante!$CP$1</f>
        <v>19665333.482366584</v>
      </c>
      <c r="CY26" s="20">
        <f>+MOP_Mes_Corriente!CY27*MOP_Mes_Constante!$CP$1</f>
        <v>19665333.482366584</v>
      </c>
      <c r="CZ26" s="20">
        <f>+MOP_Mes_Corriente!CZ27*MOP_Mes_Constante!$CP$1</f>
        <v>19665333.482366584</v>
      </c>
      <c r="DA26" s="20">
        <f>+MOP_Mes_Corriente!DA27*MOP_Mes_Constante!$CP$1</f>
        <v>18641582.492575403</v>
      </c>
      <c r="DB26" s="20">
        <f t="shared" si="26"/>
        <v>18641582.492575403</v>
      </c>
      <c r="DC26" s="20">
        <f>+MOP_Mes_Corriente!DC27*MOP_Mes_Constante!$DC$1</f>
        <v>35526475.144326732</v>
      </c>
      <c r="DD26" s="20">
        <f>+MOP_Mes_Corriente!DD27*MOP_Mes_Constante!$DC$1</f>
        <v>35526475.144326732</v>
      </c>
      <c r="DE26" s="20">
        <f>+MOP_Mes_Corriente!DE27*MOP_Mes_Constante!$DC$1</f>
        <v>21660932.684908971</v>
      </c>
      <c r="DF26" s="20">
        <f>+MOP_Mes_Corriente!DF27*MOP_Mes_Constante!$DC$1</f>
        <v>21660932.684908971</v>
      </c>
      <c r="DG26" s="20">
        <f>+MOP_Mes_Corriente!DG27*MOP_Mes_Constante!$DC$1</f>
        <v>21660932.684908971</v>
      </c>
      <c r="DH26" s="20">
        <f>+MOP_Mes_Corriente!DH27*MOP_Mes_Constante!$DC$1</f>
        <v>21184387.79364264</v>
      </c>
      <c r="DI26" s="20">
        <f>+MOP_Mes_Corriente!DI27*MOP_Mes_Constante!$DC$1</f>
        <v>10086596.365805991</v>
      </c>
      <c r="DJ26" s="20">
        <f>+MOP_Mes_Corriente!DJ27*MOP_Mes_Constante!$DC$1</f>
        <v>9992183.8568048608</v>
      </c>
      <c r="DK26" s="20">
        <f>+MOP_Mes_Corriente!DK27*MOP_Mes_Constante!$DC$1</f>
        <v>9992183.8568048608</v>
      </c>
      <c r="DL26" s="20">
        <f>+MOP_Mes_Corriente!DL27*MOP_Mes_Constante!$DC$1</f>
        <v>9737759.0044234172</v>
      </c>
      <c r="DM26" s="20">
        <f>+MOP_Mes_Corriente!DM27*MOP_Mes_Constante!$DC$1</f>
        <v>8838592.2520316876</v>
      </c>
      <c r="DN26" s="20">
        <f>+MOP_Mes_Corriente!DN27*MOP_Mes_Constante!$DC$1</f>
        <v>8308590.7733772285</v>
      </c>
      <c r="DO26" s="20">
        <f t="shared" si="27"/>
        <v>8308590.7733772285</v>
      </c>
      <c r="DP26" s="20">
        <f>+MOP_Mes_Corriente!DP27*MOP_Mes_Constante!$DP$1</f>
        <v>40648121.939429931</v>
      </c>
      <c r="DQ26" s="20">
        <f>+MOP_Mes_Corriente!DQ27*MOP_Mes_Constante!$DP$1</f>
        <v>39783038.804038011</v>
      </c>
      <c r="DR26" s="20">
        <f>+MOP_Mes_Corriente!DR27*MOP_Mes_Constante!$DP$1</f>
        <v>39783038.804038011</v>
      </c>
      <c r="DS26" s="20">
        <f>+MOP_Mes_Corriente!DS27*MOP_Mes_Constante!$DP$1</f>
        <v>39783038.804038011</v>
      </c>
      <c r="DT26" s="20">
        <f>+MOP_Mes_Corriente!DT27*MOP_Mes_Constante!$DP$1</f>
        <v>39783038.804038011</v>
      </c>
      <c r="DU26" s="20">
        <f>+MOP_Mes_Corriente!DU27*MOP_Mes_Constante!$DP$1</f>
        <v>35457623.127078392</v>
      </c>
      <c r="DV26" s="20">
        <f>+MOP_Mes_Corriente!DV27*MOP_Mes_Constante!$DP$1</f>
        <v>35457623.127078392</v>
      </c>
      <c r="DW26" s="20">
        <f>+MOP_Mes_Corriente!DW27*MOP_Mes_Constante!$DP$1</f>
        <v>35368422.24228029</v>
      </c>
      <c r="DX26" s="20">
        <f>+MOP_Mes_Corriente!DX27*MOP_Mes_Constante!$DP$1</f>
        <v>35368422.24228029</v>
      </c>
      <c r="DY26" s="20">
        <f>+MOP_Mes_Corriente!DY27*MOP_Mes_Constante!$DP$1</f>
        <v>33983207.871733971</v>
      </c>
      <c r="DZ26" s="20">
        <f>+MOP_Mes_Corriente!DZ27*MOP_Mes_Constante!$DP$1</f>
        <v>9430002.0017814729</v>
      </c>
      <c r="EA26" s="20">
        <f>+MOP_Mes_Corriente!EA27*MOP_Mes_Constante!$DP$1</f>
        <v>9256258.7048693597</v>
      </c>
      <c r="EB26" s="20">
        <f t="shared" si="28"/>
        <v>9256258.7048693597</v>
      </c>
      <c r="EC26" s="20">
        <f>+MOP_Mes_Corriente!EC27*MOP_Mes_Constante!$EC$1</f>
        <v>46106166.236318864</v>
      </c>
      <c r="ED26" s="20">
        <f>+MOP_Mes_Corriente!ED27*MOP_Mes_Constante!$EC$1</f>
        <v>46106166.236318864</v>
      </c>
      <c r="EE26" s="20">
        <f>+MOP_Mes_Corriente!EE27*MOP_Mes_Constante!$EC$1</f>
        <v>46106166.236318864</v>
      </c>
      <c r="EF26" s="20">
        <f>+MOP_Mes_Corriente!EF27*MOP_Mes_Constante!$EC$1</f>
        <v>46106166.236318864</v>
      </c>
      <c r="EG26" s="20">
        <f>+MOP_Mes_Corriente!EG27*MOP_Mes_Constante!$EC$1</f>
        <v>46209612.553304285</v>
      </c>
      <c r="EH26" s="20">
        <f>+MOP_Mes_Corriente!EH27*MOP_Mes_Constante!$EC$1</f>
        <v>46209612.553304285</v>
      </c>
      <c r="EI26" s="20">
        <f>+MOP_Mes_Corriente!EI27*MOP_Mes_Constante!$EC$1</f>
        <v>46209612.553304285</v>
      </c>
      <c r="EJ26" s="20">
        <f>+MOP_Mes_Corriente!EJ27*MOP_Mes_Constante!$EC$1</f>
        <v>43378804.08899828</v>
      </c>
      <c r="EK26" s="20">
        <f>+MOP_Mes_Corriente!EK27*MOP_Mes_Constante!$EC$1</f>
        <v>43182914.005302012</v>
      </c>
      <c r="EL26" s="20">
        <f>+MOP_Mes_Corriente!EL27*MOP_Mes_Constante!$EC$1</f>
        <v>43182914.005302012</v>
      </c>
      <c r="EM26" s="20">
        <f>+MOP_Mes_Corriente!EM27*MOP_Mes_Constante!$EC$1</f>
        <v>43109494.016284779</v>
      </c>
      <c r="EN26" s="20">
        <f>+MOP_Mes_Corriente!EN27*MOP_Mes_Constante!$EC$1</f>
        <v>34846773.239159241</v>
      </c>
      <c r="EO26" s="20">
        <f t="shared" si="29"/>
        <v>34846773.239159241</v>
      </c>
      <c r="EP26" s="20">
        <f>+MOP_Mes_Corriente!EP27*MOP_Mes_Constante!$EP$1</f>
        <v>57109595</v>
      </c>
      <c r="EQ26" s="20">
        <f>+MOP_Mes_Corriente!EQ27*MOP_Mes_Constante!$EP$1</f>
        <v>57109595</v>
      </c>
      <c r="ER26" s="20">
        <f>+MOP_Mes_Corriente!ER27*MOP_Mes_Constante!$EP$1</f>
        <v>84609595</v>
      </c>
      <c r="ES26" s="20">
        <f>+MOP_Mes_Corriente!ES27*MOP_Mes_Constante!$EP$1</f>
        <v>84609595</v>
      </c>
      <c r="ET26" s="20">
        <f>+MOP_Mes_Corriente!ET27*MOP_Mes_Constante!$EP$1</f>
        <v>77572649</v>
      </c>
      <c r="EU26" s="20">
        <f>+MOP_Mes_Corriente!EU27*MOP_Mes_Constante!$EP$1</f>
        <v>77572649</v>
      </c>
      <c r="EV26" s="20">
        <f>+MOP_Mes_Corriente!EV27*MOP_Mes_Constante!$EP$1</f>
        <v>77594122</v>
      </c>
      <c r="EW26" s="20">
        <f>+MOP_Mes_Corriente!EW27*MOP_Mes_Constante!$EP$1</f>
        <v>77456003</v>
      </c>
      <c r="EX26" s="20">
        <f>+MOP_Mes_Corriente!EX27*MOP_Mes_Constante!$EP$1</f>
        <v>77456003</v>
      </c>
      <c r="EY26" s="20">
        <f>+MOP_Mes_Corriente!EY27*MOP_Mes_Constante!$EP$1</f>
        <v>77456003</v>
      </c>
      <c r="EZ26" s="20">
        <f>+MOP_Mes_Corriente!EZ27*MOP_Mes_Constante!$EP$1</f>
        <v>77456003</v>
      </c>
      <c r="FA26" s="20">
        <f>+MOP_Mes_Corriente!FA27*MOP_Mes_Constante!$EP$1</f>
        <v>55621639</v>
      </c>
      <c r="FB26" s="20">
        <f t="shared" si="30"/>
        <v>55621639</v>
      </c>
      <c r="FC26" s="20">
        <f>+MOP_Mes_Corriente!FC27*MOP_Mes_Constante!$FC$1</f>
        <v>30479549</v>
      </c>
      <c r="FD26" s="20">
        <f>+MOP_Mes_Corriente!FD27*MOP_Mes_Constante!$FC$1</f>
        <v>30479549</v>
      </c>
      <c r="FE26" s="20">
        <f>+MOP_Mes_Corriente!FE27*MOP_Mes_Constante!$FC$1</f>
        <v>30479549</v>
      </c>
      <c r="FF26" s="20">
        <f>+MOP_Mes_Corriente!FF27*MOP_Mes_Constante!$FC$1</f>
        <v>30479549</v>
      </c>
      <c r="FG26" s="20">
        <f>+MOP_Mes_Corriente!FG27*MOP_Mes_Constante!$FC$1</f>
        <v>29565163</v>
      </c>
      <c r="FH26" s="20">
        <f>+MOP_Mes_Corriente!FH27*MOP_Mes_Constante!$FC$1</f>
        <v>29565163</v>
      </c>
      <c r="FI26" s="20">
        <f>+MOP_Mes_Corriente!FI27*MOP_Mes_Constante!$FC$1</f>
        <v>29565163</v>
      </c>
      <c r="FJ26" s="10"/>
      <c r="FK26" s="10"/>
      <c r="FL26" s="10"/>
      <c r="FM26" s="10"/>
      <c r="FN26" s="10"/>
      <c r="FO26" s="20">
        <f t="shared" si="31"/>
        <v>29565163</v>
      </c>
    </row>
    <row r="27" spans="1:171" ht="21.75" customHeight="1">
      <c r="A27" s="10"/>
      <c r="B27" s="15" t="s">
        <v>49</v>
      </c>
      <c r="C27" s="38">
        <f t="shared" ref="C27:AH27" si="32">SUM(C21:C26)</f>
        <v>1750215667.838351</v>
      </c>
      <c r="D27" s="38">
        <f t="shared" si="32"/>
        <v>1750215667.838351</v>
      </c>
      <c r="E27" s="38">
        <f t="shared" si="32"/>
        <v>1735605322.7693903</v>
      </c>
      <c r="F27" s="38">
        <f t="shared" si="32"/>
        <v>1735605322.7693903</v>
      </c>
      <c r="G27" s="38">
        <f t="shared" si="32"/>
        <v>1739607579.9249594</v>
      </c>
      <c r="H27" s="38">
        <f t="shared" si="32"/>
        <v>1752489393.8777993</v>
      </c>
      <c r="I27" s="38">
        <f t="shared" si="32"/>
        <v>1749068505.8929262</v>
      </c>
      <c r="J27" s="38">
        <f t="shared" si="32"/>
        <v>1791972284.5510902</v>
      </c>
      <c r="K27" s="38">
        <f t="shared" si="32"/>
        <v>1793592631.5776362</v>
      </c>
      <c r="L27" s="38">
        <f t="shared" si="32"/>
        <v>1847975078.1996145</v>
      </c>
      <c r="M27" s="38">
        <f t="shared" si="32"/>
        <v>1849182144.3746107</v>
      </c>
      <c r="N27" s="38">
        <f t="shared" si="32"/>
        <v>1867702610.4265168</v>
      </c>
      <c r="O27" s="38">
        <f t="shared" si="32"/>
        <v>1867702610.4265168</v>
      </c>
      <c r="P27" s="38">
        <f t="shared" si="32"/>
        <v>1981613921.9173172</v>
      </c>
      <c r="Q27" s="38">
        <f t="shared" si="32"/>
        <v>1983777221.7988346</v>
      </c>
      <c r="R27" s="38">
        <f t="shared" si="32"/>
        <v>1973872111.2896714</v>
      </c>
      <c r="S27" s="38">
        <f t="shared" si="32"/>
        <v>1961516526.6895862</v>
      </c>
      <c r="T27" s="38">
        <f t="shared" si="32"/>
        <v>1968464216.2656622</v>
      </c>
      <c r="U27" s="38">
        <f t="shared" si="32"/>
        <v>1989443749.0109384</v>
      </c>
      <c r="V27" s="38">
        <f t="shared" si="32"/>
        <v>1989288528.0988772</v>
      </c>
      <c r="W27" s="38">
        <f t="shared" si="32"/>
        <v>1989366498.6674237</v>
      </c>
      <c r="X27" s="38">
        <f t="shared" si="32"/>
        <v>1989056056.8433011</v>
      </c>
      <c r="Y27" s="38">
        <f t="shared" si="32"/>
        <v>1989056056.8433008</v>
      </c>
      <c r="Z27" s="38">
        <f t="shared" si="32"/>
        <v>2044938955.0313957</v>
      </c>
      <c r="AA27" s="38">
        <f t="shared" si="32"/>
        <v>2037696803.6240938</v>
      </c>
      <c r="AB27" s="38">
        <f t="shared" si="32"/>
        <v>2037696803.6240938</v>
      </c>
      <c r="AC27" s="38">
        <f t="shared" si="32"/>
        <v>1921958251.1860559</v>
      </c>
      <c r="AD27" s="38">
        <f t="shared" si="32"/>
        <v>1912617722.7588875</v>
      </c>
      <c r="AE27" s="38">
        <f t="shared" si="32"/>
        <v>1925751580.3416793</v>
      </c>
      <c r="AF27" s="38">
        <f t="shared" si="32"/>
        <v>1922303788.7699542</v>
      </c>
      <c r="AG27" s="38">
        <f t="shared" si="32"/>
        <v>1922303788.7699542</v>
      </c>
      <c r="AH27" s="38">
        <f t="shared" si="32"/>
        <v>1921436238.0713792</v>
      </c>
      <c r="AI27" s="38">
        <f t="shared" ref="AI27:BN27" si="33">SUM(AI21:AI26)</f>
        <v>1921436238.0713792</v>
      </c>
      <c r="AJ27" s="38">
        <f t="shared" si="33"/>
        <v>1921436238.0713789</v>
      </c>
      <c r="AK27" s="38">
        <f t="shared" si="33"/>
        <v>1917980372.5347903</v>
      </c>
      <c r="AL27" s="38">
        <f t="shared" si="33"/>
        <v>1917282100.0213029</v>
      </c>
      <c r="AM27" s="38">
        <f t="shared" si="33"/>
        <v>1923406072.3889885</v>
      </c>
      <c r="AN27" s="38">
        <f t="shared" si="33"/>
        <v>1925535197.478766</v>
      </c>
      <c r="AO27" s="38">
        <f t="shared" si="33"/>
        <v>1925535197.478766</v>
      </c>
      <c r="AP27" s="38">
        <f t="shared" si="33"/>
        <v>1974266984.5467331</v>
      </c>
      <c r="AQ27" s="38">
        <f t="shared" si="33"/>
        <v>1974266984.5467331</v>
      </c>
      <c r="AR27" s="38">
        <f t="shared" si="33"/>
        <v>1973856132.6598132</v>
      </c>
      <c r="AS27" s="38">
        <f t="shared" si="33"/>
        <v>1973856132.6598132</v>
      </c>
      <c r="AT27" s="38">
        <f t="shared" si="33"/>
        <v>1973560555.7627482</v>
      </c>
      <c r="AU27" s="38">
        <f t="shared" si="33"/>
        <v>1962801522.7182467</v>
      </c>
      <c r="AV27" s="38">
        <f t="shared" si="33"/>
        <v>1962262688.9906666</v>
      </c>
      <c r="AW27" s="38">
        <f t="shared" si="33"/>
        <v>1961551087.6109834</v>
      </c>
      <c r="AX27" s="38">
        <f t="shared" si="33"/>
        <v>1961551087.6109834</v>
      </c>
      <c r="AY27" s="38">
        <f t="shared" si="33"/>
        <v>1959807863.7451642</v>
      </c>
      <c r="AZ27" s="38">
        <f t="shared" si="33"/>
        <v>1959428047.4324358</v>
      </c>
      <c r="BA27" s="38">
        <f t="shared" si="33"/>
        <v>1920120385.7830379</v>
      </c>
      <c r="BB27" s="38">
        <f t="shared" si="33"/>
        <v>1920120385.7830379</v>
      </c>
      <c r="BC27" s="38">
        <f t="shared" si="33"/>
        <v>1953612516.9676914</v>
      </c>
      <c r="BD27" s="38">
        <f t="shared" si="33"/>
        <v>1953612516.9676914</v>
      </c>
      <c r="BE27" s="38">
        <f t="shared" si="33"/>
        <v>1945118558.4045897</v>
      </c>
      <c r="BF27" s="38">
        <f t="shared" si="33"/>
        <v>1952651720.577872</v>
      </c>
      <c r="BG27" s="38">
        <f t="shared" si="33"/>
        <v>1952112410.1632605</v>
      </c>
      <c r="BH27" s="38">
        <f t="shared" si="33"/>
        <v>1952112410.1632605</v>
      </c>
      <c r="BI27" s="38">
        <f t="shared" si="33"/>
        <v>1948758597.8818414</v>
      </c>
      <c r="BJ27" s="38">
        <f t="shared" si="33"/>
        <v>1948708167.9728343</v>
      </c>
      <c r="BK27" s="38">
        <f t="shared" si="33"/>
        <v>1948708167.9728343</v>
      </c>
      <c r="BL27" s="38">
        <f t="shared" si="33"/>
        <v>1948505909.4572074</v>
      </c>
      <c r="BM27" s="38">
        <f t="shared" si="33"/>
        <v>1947836991.2947388</v>
      </c>
      <c r="BN27" s="38">
        <f t="shared" si="33"/>
        <v>1790454303.9364376</v>
      </c>
      <c r="BO27" s="38">
        <f t="shared" ref="BO27:CT27" si="34">SUM(BO21:BO26)</f>
        <v>1790454303.9364376</v>
      </c>
      <c r="BP27" s="38">
        <f t="shared" si="34"/>
        <v>2027232783.1475034</v>
      </c>
      <c r="BQ27" s="38">
        <f t="shared" si="34"/>
        <v>2027232783.1475034</v>
      </c>
      <c r="BR27" s="38">
        <f t="shared" si="34"/>
        <v>2027232783.1475034</v>
      </c>
      <c r="BS27" s="38">
        <f t="shared" si="34"/>
        <v>2034868490.2947507</v>
      </c>
      <c r="BT27" s="38">
        <f t="shared" si="34"/>
        <v>2041179969.0399494</v>
      </c>
      <c r="BU27" s="38">
        <f t="shared" si="34"/>
        <v>2034420118.5918059</v>
      </c>
      <c r="BV27" s="38">
        <f t="shared" si="34"/>
        <v>2034372203.6750326</v>
      </c>
      <c r="BW27" s="38">
        <f t="shared" si="34"/>
        <v>2063939841.2973111</v>
      </c>
      <c r="BX27" s="38">
        <f t="shared" si="34"/>
        <v>2079278668.0325227</v>
      </c>
      <c r="BY27" s="38">
        <f t="shared" si="34"/>
        <v>2079278668.0325227</v>
      </c>
      <c r="BZ27" s="38">
        <f t="shared" si="34"/>
        <v>2079278668.0325227</v>
      </c>
      <c r="CA27" s="38">
        <f t="shared" si="34"/>
        <v>2053572688.7101152</v>
      </c>
      <c r="CB27" s="38">
        <f t="shared" si="34"/>
        <v>2053572688.7101152</v>
      </c>
      <c r="CC27" s="38">
        <f t="shared" si="34"/>
        <v>2137866083.3979862</v>
      </c>
      <c r="CD27" s="38">
        <f t="shared" si="34"/>
        <v>2141528109.6434169</v>
      </c>
      <c r="CE27" s="38">
        <f t="shared" si="34"/>
        <v>2306488553.3509889</v>
      </c>
      <c r="CF27" s="38">
        <f t="shared" si="34"/>
        <v>2348143126.1872439</v>
      </c>
      <c r="CG27" s="38">
        <f t="shared" si="34"/>
        <v>2269644702.5259237</v>
      </c>
      <c r="CH27" s="38">
        <f t="shared" si="34"/>
        <v>2269644702.5259237</v>
      </c>
      <c r="CI27" s="38">
        <f t="shared" si="34"/>
        <v>2261126817.1063037</v>
      </c>
      <c r="CJ27" s="38">
        <f t="shared" si="34"/>
        <v>2259556160.1171207</v>
      </c>
      <c r="CK27" s="38">
        <f t="shared" si="34"/>
        <v>2259556160.1171207</v>
      </c>
      <c r="CL27" s="38">
        <f t="shared" si="34"/>
        <v>2233637604.2573671</v>
      </c>
      <c r="CM27" s="38">
        <f t="shared" si="34"/>
        <v>2227283197.2487884</v>
      </c>
      <c r="CN27" s="38">
        <f t="shared" si="34"/>
        <v>1884680274.9086163</v>
      </c>
      <c r="CO27" s="38">
        <f t="shared" si="34"/>
        <v>1884680274.9086163</v>
      </c>
      <c r="CP27" s="38">
        <f t="shared" si="34"/>
        <v>2099770869.714849</v>
      </c>
      <c r="CQ27" s="38">
        <f t="shared" si="34"/>
        <v>2101920348.5394428</v>
      </c>
      <c r="CR27" s="38">
        <f t="shared" si="34"/>
        <v>1994222464.8703012</v>
      </c>
      <c r="CS27" s="38">
        <f t="shared" si="34"/>
        <v>1902622720.18051</v>
      </c>
      <c r="CT27" s="38">
        <f t="shared" si="34"/>
        <v>1893897996.1037118</v>
      </c>
      <c r="CU27" s="38">
        <f t="shared" ref="CU27:DZ27" si="35">SUM(CU21:CU26)</f>
        <v>1892271043.7227376</v>
      </c>
      <c r="CV27" s="38">
        <f t="shared" si="35"/>
        <v>1892271043.7227376</v>
      </c>
      <c r="CW27" s="38">
        <f t="shared" si="35"/>
        <v>1892142808.9872386</v>
      </c>
      <c r="CX27" s="38">
        <f t="shared" si="35"/>
        <v>1891591924.3767977</v>
      </c>
      <c r="CY27" s="38">
        <f t="shared" si="35"/>
        <v>1875877484.4626446</v>
      </c>
      <c r="CZ27" s="38">
        <f t="shared" si="35"/>
        <v>1875759605.3443153</v>
      </c>
      <c r="DA27" s="38">
        <f t="shared" si="35"/>
        <v>1991452276.4366584</v>
      </c>
      <c r="DB27" s="38">
        <f t="shared" si="35"/>
        <v>1991452276.4366584</v>
      </c>
      <c r="DC27" s="38">
        <f t="shared" si="35"/>
        <v>1896552903.7329502</v>
      </c>
      <c r="DD27" s="38">
        <f t="shared" si="35"/>
        <v>1896552903.7329502</v>
      </c>
      <c r="DE27" s="38">
        <f t="shared" si="35"/>
        <v>1882286752.138464</v>
      </c>
      <c r="DF27" s="38">
        <f t="shared" si="35"/>
        <v>1882286752.138464</v>
      </c>
      <c r="DG27" s="38">
        <f t="shared" si="35"/>
        <v>1880396210.207181</v>
      </c>
      <c r="DH27" s="38">
        <f t="shared" si="35"/>
        <v>1879432991.311183</v>
      </c>
      <c r="DI27" s="38">
        <f t="shared" si="35"/>
        <v>1727172637.6251423</v>
      </c>
      <c r="DJ27" s="38">
        <f t="shared" si="35"/>
        <v>1726882806.957927</v>
      </c>
      <c r="DK27" s="38">
        <f t="shared" si="35"/>
        <v>1712760184.8562913</v>
      </c>
      <c r="DL27" s="38">
        <f t="shared" si="35"/>
        <v>1688720451.4539666</v>
      </c>
      <c r="DM27" s="38">
        <f t="shared" si="35"/>
        <v>1687141045.9460971</v>
      </c>
      <c r="DN27" s="38">
        <f t="shared" si="35"/>
        <v>1513327011.061414</v>
      </c>
      <c r="DO27" s="38">
        <f t="shared" si="35"/>
        <v>1513327011.061414</v>
      </c>
      <c r="DP27" s="38">
        <f t="shared" si="35"/>
        <v>3018391242.2102137</v>
      </c>
      <c r="DQ27" s="38">
        <f t="shared" si="35"/>
        <v>3017526159.0748219</v>
      </c>
      <c r="DR27" s="38">
        <f t="shared" si="35"/>
        <v>3017526159.0748219</v>
      </c>
      <c r="DS27" s="38">
        <f t="shared" si="35"/>
        <v>2995944296.4228029</v>
      </c>
      <c r="DT27" s="38">
        <f t="shared" si="35"/>
        <v>2948650482.5629454</v>
      </c>
      <c r="DU27" s="38">
        <f t="shared" si="35"/>
        <v>2798836484.9127083</v>
      </c>
      <c r="DV27" s="38">
        <f t="shared" si="35"/>
        <v>2796844582.3325419</v>
      </c>
      <c r="DW27" s="38">
        <f t="shared" si="35"/>
        <v>2626166858.9002376</v>
      </c>
      <c r="DX27" s="38">
        <f t="shared" si="35"/>
        <v>2622727425.6858673</v>
      </c>
      <c r="DY27" s="38">
        <f t="shared" si="35"/>
        <v>2515375926.6823044</v>
      </c>
      <c r="DZ27" s="38">
        <f t="shared" si="35"/>
        <v>2453940965.3871732</v>
      </c>
      <c r="EA27" s="38">
        <f t="shared" ref="EA27:FF27" si="36">SUM(EA21:EA26)</f>
        <v>2284814183.5457249</v>
      </c>
      <c r="EB27" s="38">
        <f t="shared" si="36"/>
        <v>2284814183.5457249</v>
      </c>
      <c r="EC27" s="38">
        <f t="shared" si="36"/>
        <v>3034611095.7551594</v>
      </c>
      <c r="ED27" s="38">
        <f t="shared" si="36"/>
        <v>3034611095.7551594</v>
      </c>
      <c r="EE27" s="38">
        <f t="shared" si="36"/>
        <v>2962264015.7314892</v>
      </c>
      <c r="EF27" s="38">
        <f t="shared" si="36"/>
        <v>2874522641.3546662</v>
      </c>
      <c r="EG27" s="38">
        <f t="shared" si="36"/>
        <v>2874181479.5391016</v>
      </c>
      <c r="EH27" s="38">
        <f t="shared" si="36"/>
        <v>2853411528.0147686</v>
      </c>
      <c r="EI27" s="38">
        <f t="shared" si="36"/>
        <v>2853411528.0147686</v>
      </c>
      <c r="EJ27" s="38">
        <f t="shared" si="36"/>
        <v>2849474086.0231009</v>
      </c>
      <c r="EK27" s="38">
        <f t="shared" si="36"/>
        <v>2847933393.818594</v>
      </c>
      <c r="EL27" s="38">
        <f t="shared" si="36"/>
        <v>2841765507.5112658</v>
      </c>
      <c r="EM27" s="38">
        <f t="shared" si="36"/>
        <v>2802667583.0484748</v>
      </c>
      <c r="EN27" s="38">
        <f t="shared" si="36"/>
        <v>2403907080.5953412</v>
      </c>
      <c r="EO27" s="38">
        <f t="shared" si="36"/>
        <v>2403907080.5953412</v>
      </c>
      <c r="EP27" s="38">
        <f t="shared" si="36"/>
        <v>3045180505</v>
      </c>
      <c r="EQ27" s="38">
        <f t="shared" si="36"/>
        <v>3045180505</v>
      </c>
      <c r="ER27" s="38">
        <f t="shared" si="36"/>
        <v>3050680505</v>
      </c>
      <c r="ES27" s="38">
        <f t="shared" si="36"/>
        <v>3050546505</v>
      </c>
      <c r="ET27" s="38">
        <f t="shared" si="36"/>
        <v>3042210505</v>
      </c>
      <c r="EU27" s="38">
        <f t="shared" si="36"/>
        <v>2895202922</v>
      </c>
      <c r="EV27" s="38">
        <f t="shared" si="36"/>
        <v>2906266133</v>
      </c>
      <c r="EW27" s="38">
        <f t="shared" si="36"/>
        <v>2906128014</v>
      </c>
      <c r="EX27" s="38">
        <f t="shared" si="36"/>
        <v>2906128014</v>
      </c>
      <c r="EY27" s="38">
        <f t="shared" si="36"/>
        <v>2896128014</v>
      </c>
      <c r="EZ27" s="38">
        <f t="shared" si="36"/>
        <v>2896128014</v>
      </c>
      <c r="FA27" s="38">
        <f t="shared" si="36"/>
        <v>2808364330</v>
      </c>
      <c r="FB27" s="38">
        <f t="shared" si="36"/>
        <v>2808364330</v>
      </c>
      <c r="FC27" s="38">
        <f t="shared" si="36"/>
        <v>2705505486</v>
      </c>
      <c r="FD27" s="38">
        <f t="shared" si="36"/>
        <v>2705505486</v>
      </c>
      <c r="FE27" s="38">
        <f t="shared" si="36"/>
        <v>2647697449</v>
      </c>
      <c r="FF27" s="38">
        <f t="shared" si="36"/>
        <v>2647697449</v>
      </c>
      <c r="FG27" s="38">
        <f t="shared" ref="FG27:GL27" si="37">SUM(FG21:FG26)</f>
        <v>2538107997</v>
      </c>
      <c r="FH27" s="38">
        <f t="shared" si="37"/>
        <v>2537552997</v>
      </c>
      <c r="FI27" s="38">
        <f t="shared" si="37"/>
        <v>2537552997</v>
      </c>
      <c r="FJ27" s="38">
        <f t="shared" si="37"/>
        <v>0</v>
      </c>
      <c r="FK27" s="38">
        <f t="shared" si="37"/>
        <v>0</v>
      </c>
      <c r="FL27" s="38">
        <f t="shared" si="37"/>
        <v>0</v>
      </c>
      <c r="FM27" s="38">
        <f t="shared" si="37"/>
        <v>0</v>
      </c>
      <c r="FN27" s="38">
        <f t="shared" si="37"/>
        <v>0</v>
      </c>
      <c r="FO27" s="38">
        <f t="shared" si="37"/>
        <v>2537552997</v>
      </c>
    </row>
    <row r="28" spans="1:171" ht="14.25" customHeight="1">
      <c r="A28" s="10"/>
      <c r="B28" s="18" t="s">
        <v>52</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row>
    <row r="29" spans="1:171" ht="14.2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row>
    <row r="30" spans="1:171" ht="15.75" customHeight="1">
      <c r="A30" s="10"/>
      <c r="B30" s="104" t="s">
        <v>53</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row>
    <row r="31" spans="1:171" ht="21.75" customHeight="1">
      <c r="A31" s="10"/>
      <c r="B31" s="14"/>
      <c r="C31" s="102" t="s">
        <v>4</v>
      </c>
      <c r="D31" s="103"/>
      <c r="E31" s="103"/>
      <c r="F31" s="103"/>
      <c r="G31" s="103"/>
      <c r="H31" s="103"/>
      <c r="I31" s="103"/>
      <c r="J31" s="103"/>
      <c r="K31" s="103"/>
      <c r="L31" s="103"/>
      <c r="M31" s="103"/>
      <c r="N31" s="103"/>
      <c r="O31" s="103"/>
      <c r="P31" s="102" t="s">
        <v>5</v>
      </c>
      <c r="Q31" s="103"/>
      <c r="R31" s="103"/>
      <c r="S31" s="103"/>
      <c r="T31" s="103"/>
      <c r="U31" s="103"/>
      <c r="V31" s="103"/>
      <c r="W31" s="103"/>
      <c r="X31" s="103"/>
      <c r="Y31" s="103"/>
      <c r="Z31" s="103"/>
      <c r="AA31" s="103"/>
      <c r="AB31" s="103"/>
      <c r="AC31" s="102" t="s">
        <v>6</v>
      </c>
      <c r="AD31" s="103"/>
      <c r="AE31" s="103"/>
      <c r="AF31" s="103"/>
      <c r="AG31" s="103"/>
      <c r="AH31" s="103"/>
      <c r="AI31" s="103"/>
      <c r="AJ31" s="103"/>
      <c r="AK31" s="103"/>
      <c r="AL31" s="103"/>
      <c r="AM31" s="103"/>
      <c r="AN31" s="103"/>
      <c r="AO31" s="103"/>
      <c r="AP31" s="102" t="s">
        <v>7</v>
      </c>
      <c r="AQ31" s="103"/>
      <c r="AR31" s="103"/>
      <c r="AS31" s="103"/>
      <c r="AT31" s="103"/>
      <c r="AU31" s="103"/>
      <c r="AV31" s="103"/>
      <c r="AW31" s="103"/>
      <c r="AX31" s="103"/>
      <c r="AY31" s="103"/>
      <c r="AZ31" s="103"/>
      <c r="BA31" s="103"/>
      <c r="BB31" s="103"/>
      <c r="BC31" s="102" t="s">
        <v>8</v>
      </c>
      <c r="BD31" s="103"/>
      <c r="BE31" s="103"/>
      <c r="BF31" s="103"/>
      <c r="BG31" s="103"/>
      <c r="BH31" s="103"/>
      <c r="BI31" s="103"/>
      <c r="BJ31" s="103"/>
      <c r="BK31" s="103"/>
      <c r="BL31" s="103"/>
      <c r="BM31" s="103"/>
      <c r="BN31" s="103"/>
      <c r="BO31" s="103"/>
      <c r="BP31" s="102" t="s">
        <v>9</v>
      </c>
      <c r="BQ31" s="103"/>
      <c r="BR31" s="103"/>
      <c r="BS31" s="103"/>
      <c r="BT31" s="103"/>
      <c r="BU31" s="103"/>
      <c r="BV31" s="103"/>
      <c r="BW31" s="103"/>
      <c r="BX31" s="103"/>
      <c r="BY31" s="103"/>
      <c r="BZ31" s="103"/>
      <c r="CA31" s="103"/>
      <c r="CB31" s="103"/>
      <c r="CC31" s="102" t="s">
        <v>10</v>
      </c>
      <c r="CD31" s="103"/>
      <c r="CE31" s="103"/>
      <c r="CF31" s="103"/>
      <c r="CG31" s="103"/>
      <c r="CH31" s="103"/>
      <c r="CI31" s="103"/>
      <c r="CJ31" s="103"/>
      <c r="CK31" s="103"/>
      <c r="CL31" s="103"/>
      <c r="CM31" s="103"/>
      <c r="CN31" s="103"/>
      <c r="CO31" s="103"/>
      <c r="CP31" s="102" t="s">
        <v>11</v>
      </c>
      <c r="CQ31" s="103"/>
      <c r="CR31" s="103"/>
      <c r="CS31" s="103"/>
      <c r="CT31" s="103"/>
      <c r="CU31" s="103"/>
      <c r="CV31" s="103"/>
      <c r="CW31" s="103"/>
      <c r="CX31" s="103"/>
      <c r="CY31" s="103"/>
      <c r="CZ31" s="103"/>
      <c r="DA31" s="103"/>
      <c r="DB31" s="103"/>
      <c r="DC31" s="102" t="s">
        <v>12</v>
      </c>
      <c r="DD31" s="103"/>
      <c r="DE31" s="103"/>
      <c r="DF31" s="103"/>
      <c r="DG31" s="103"/>
      <c r="DH31" s="103"/>
      <c r="DI31" s="103"/>
      <c r="DJ31" s="103"/>
      <c r="DK31" s="103"/>
      <c r="DL31" s="103"/>
      <c r="DM31" s="103"/>
      <c r="DN31" s="103"/>
      <c r="DO31" s="103"/>
      <c r="DP31" s="102" t="s">
        <v>13</v>
      </c>
      <c r="DQ31" s="103"/>
      <c r="DR31" s="103"/>
      <c r="DS31" s="103"/>
      <c r="DT31" s="103"/>
      <c r="DU31" s="103"/>
      <c r="DV31" s="103"/>
      <c r="DW31" s="103"/>
      <c r="DX31" s="103"/>
      <c r="DY31" s="103"/>
      <c r="DZ31" s="103"/>
      <c r="EA31" s="103"/>
      <c r="EB31" s="103"/>
      <c r="EC31" s="102" t="s">
        <v>14</v>
      </c>
      <c r="ED31" s="103"/>
      <c r="EE31" s="103"/>
      <c r="EF31" s="103"/>
      <c r="EG31" s="103"/>
      <c r="EH31" s="103"/>
      <c r="EI31" s="103"/>
      <c r="EJ31" s="103"/>
      <c r="EK31" s="103"/>
      <c r="EL31" s="103"/>
      <c r="EM31" s="103"/>
      <c r="EN31" s="103"/>
      <c r="EO31" s="103"/>
      <c r="EP31" s="102" t="s">
        <v>15</v>
      </c>
      <c r="EQ31" s="103"/>
      <c r="ER31" s="103"/>
      <c r="ES31" s="103"/>
      <c r="ET31" s="103"/>
      <c r="EU31" s="103"/>
      <c r="EV31" s="103"/>
      <c r="EW31" s="103"/>
      <c r="EX31" s="103"/>
      <c r="EY31" s="103"/>
      <c r="EZ31" s="103"/>
      <c r="FA31" s="103"/>
      <c r="FB31" s="103"/>
      <c r="FC31" s="102" t="s">
        <v>16</v>
      </c>
      <c r="FD31" s="103"/>
      <c r="FE31" s="103"/>
      <c r="FF31" s="103"/>
      <c r="FG31" s="103"/>
      <c r="FH31" s="103"/>
      <c r="FI31" s="103"/>
      <c r="FJ31" s="103"/>
      <c r="FK31" s="103"/>
      <c r="FL31" s="103"/>
      <c r="FM31" s="103"/>
      <c r="FN31" s="103"/>
      <c r="FO31" s="103"/>
    </row>
    <row r="32" spans="1:171" ht="27.75" customHeight="1">
      <c r="A32" s="10"/>
      <c r="B32" s="15" t="s">
        <v>17</v>
      </c>
      <c r="C32" s="16" t="s">
        <v>18</v>
      </c>
      <c r="D32" s="16" t="s">
        <v>19</v>
      </c>
      <c r="E32" s="16" t="s">
        <v>20</v>
      </c>
      <c r="F32" s="16" t="s">
        <v>21</v>
      </c>
      <c r="G32" s="16" t="s">
        <v>22</v>
      </c>
      <c r="H32" s="16" t="s">
        <v>23</v>
      </c>
      <c r="I32" s="16" t="s">
        <v>24</v>
      </c>
      <c r="J32" s="16" t="s">
        <v>25</v>
      </c>
      <c r="K32" s="16" t="s">
        <v>26</v>
      </c>
      <c r="L32" s="16" t="s">
        <v>27</v>
      </c>
      <c r="M32" s="16" t="s">
        <v>28</v>
      </c>
      <c r="N32" s="16" t="s">
        <v>29</v>
      </c>
      <c r="O32" s="16" t="s">
        <v>30</v>
      </c>
      <c r="P32" s="16" t="s">
        <v>18</v>
      </c>
      <c r="Q32" s="16" t="s">
        <v>19</v>
      </c>
      <c r="R32" s="16" t="s">
        <v>20</v>
      </c>
      <c r="S32" s="16" t="s">
        <v>21</v>
      </c>
      <c r="T32" s="16" t="s">
        <v>22</v>
      </c>
      <c r="U32" s="16" t="s">
        <v>23</v>
      </c>
      <c r="V32" s="16" t="s">
        <v>24</v>
      </c>
      <c r="W32" s="16" t="s">
        <v>25</v>
      </c>
      <c r="X32" s="16" t="s">
        <v>26</v>
      </c>
      <c r="Y32" s="16" t="s">
        <v>27</v>
      </c>
      <c r="Z32" s="16" t="s">
        <v>28</v>
      </c>
      <c r="AA32" s="16" t="s">
        <v>29</v>
      </c>
      <c r="AB32" s="16" t="s">
        <v>31</v>
      </c>
      <c r="AC32" s="16" t="s">
        <v>18</v>
      </c>
      <c r="AD32" s="16" t="s">
        <v>19</v>
      </c>
      <c r="AE32" s="16" t="s">
        <v>20</v>
      </c>
      <c r="AF32" s="16" t="s">
        <v>21</v>
      </c>
      <c r="AG32" s="16" t="s">
        <v>22</v>
      </c>
      <c r="AH32" s="16" t="s">
        <v>23</v>
      </c>
      <c r="AI32" s="16" t="s">
        <v>24</v>
      </c>
      <c r="AJ32" s="16" t="s">
        <v>25</v>
      </c>
      <c r="AK32" s="16" t="s">
        <v>26</v>
      </c>
      <c r="AL32" s="16" t="s">
        <v>27</v>
      </c>
      <c r="AM32" s="16" t="s">
        <v>28</v>
      </c>
      <c r="AN32" s="16" t="s">
        <v>29</v>
      </c>
      <c r="AO32" s="16" t="s">
        <v>32</v>
      </c>
      <c r="AP32" s="16" t="s">
        <v>18</v>
      </c>
      <c r="AQ32" s="16" t="s">
        <v>19</v>
      </c>
      <c r="AR32" s="16" t="s">
        <v>20</v>
      </c>
      <c r="AS32" s="16" t="s">
        <v>21</v>
      </c>
      <c r="AT32" s="16" t="s">
        <v>22</v>
      </c>
      <c r="AU32" s="16" t="s">
        <v>23</v>
      </c>
      <c r="AV32" s="16" t="s">
        <v>24</v>
      </c>
      <c r="AW32" s="16" t="s">
        <v>25</v>
      </c>
      <c r="AX32" s="16" t="s">
        <v>26</v>
      </c>
      <c r="AY32" s="16" t="s">
        <v>27</v>
      </c>
      <c r="AZ32" s="16" t="s">
        <v>28</v>
      </c>
      <c r="BA32" s="16" t="s">
        <v>29</v>
      </c>
      <c r="BB32" s="16" t="s">
        <v>33</v>
      </c>
      <c r="BC32" s="16" t="s">
        <v>18</v>
      </c>
      <c r="BD32" s="16" t="s">
        <v>19</v>
      </c>
      <c r="BE32" s="16" t="s">
        <v>20</v>
      </c>
      <c r="BF32" s="16" t="s">
        <v>21</v>
      </c>
      <c r="BG32" s="16" t="s">
        <v>22</v>
      </c>
      <c r="BH32" s="16" t="s">
        <v>23</v>
      </c>
      <c r="BI32" s="16" t="s">
        <v>24</v>
      </c>
      <c r="BJ32" s="16" t="s">
        <v>25</v>
      </c>
      <c r="BK32" s="16" t="s">
        <v>26</v>
      </c>
      <c r="BL32" s="16" t="s">
        <v>27</v>
      </c>
      <c r="BM32" s="16" t="s">
        <v>28</v>
      </c>
      <c r="BN32" s="16" t="s">
        <v>29</v>
      </c>
      <c r="BO32" s="16" t="s">
        <v>34</v>
      </c>
      <c r="BP32" s="16" t="s">
        <v>18</v>
      </c>
      <c r="BQ32" s="16" t="s">
        <v>19</v>
      </c>
      <c r="BR32" s="16" t="s">
        <v>20</v>
      </c>
      <c r="BS32" s="16" t="s">
        <v>21</v>
      </c>
      <c r="BT32" s="16" t="s">
        <v>22</v>
      </c>
      <c r="BU32" s="16" t="s">
        <v>23</v>
      </c>
      <c r="BV32" s="16" t="s">
        <v>24</v>
      </c>
      <c r="BW32" s="16" t="s">
        <v>25</v>
      </c>
      <c r="BX32" s="16" t="s">
        <v>26</v>
      </c>
      <c r="BY32" s="16" t="s">
        <v>27</v>
      </c>
      <c r="BZ32" s="16" t="s">
        <v>28</v>
      </c>
      <c r="CA32" s="16" t="s">
        <v>29</v>
      </c>
      <c r="CB32" s="16" t="s">
        <v>35</v>
      </c>
      <c r="CC32" s="16" t="s">
        <v>18</v>
      </c>
      <c r="CD32" s="16" t="s">
        <v>19</v>
      </c>
      <c r="CE32" s="16" t="s">
        <v>20</v>
      </c>
      <c r="CF32" s="16" t="s">
        <v>21</v>
      </c>
      <c r="CG32" s="16" t="s">
        <v>22</v>
      </c>
      <c r="CH32" s="16" t="s">
        <v>23</v>
      </c>
      <c r="CI32" s="16" t="s">
        <v>24</v>
      </c>
      <c r="CJ32" s="16" t="s">
        <v>25</v>
      </c>
      <c r="CK32" s="16" t="s">
        <v>26</v>
      </c>
      <c r="CL32" s="16" t="s">
        <v>27</v>
      </c>
      <c r="CM32" s="16" t="s">
        <v>28</v>
      </c>
      <c r="CN32" s="16" t="s">
        <v>29</v>
      </c>
      <c r="CO32" s="16" t="s">
        <v>36</v>
      </c>
      <c r="CP32" s="16" t="s">
        <v>18</v>
      </c>
      <c r="CQ32" s="16" t="s">
        <v>19</v>
      </c>
      <c r="CR32" s="16" t="s">
        <v>20</v>
      </c>
      <c r="CS32" s="16" t="s">
        <v>21</v>
      </c>
      <c r="CT32" s="16" t="s">
        <v>22</v>
      </c>
      <c r="CU32" s="16" t="s">
        <v>23</v>
      </c>
      <c r="CV32" s="16" t="s">
        <v>24</v>
      </c>
      <c r="CW32" s="16" t="s">
        <v>25</v>
      </c>
      <c r="CX32" s="16" t="s">
        <v>26</v>
      </c>
      <c r="CY32" s="16" t="s">
        <v>27</v>
      </c>
      <c r="CZ32" s="16" t="s">
        <v>28</v>
      </c>
      <c r="DA32" s="16" t="s">
        <v>29</v>
      </c>
      <c r="DB32" s="16" t="s">
        <v>37</v>
      </c>
      <c r="DC32" s="16" t="s">
        <v>18</v>
      </c>
      <c r="DD32" s="16" t="s">
        <v>19</v>
      </c>
      <c r="DE32" s="16" t="s">
        <v>20</v>
      </c>
      <c r="DF32" s="16" t="s">
        <v>21</v>
      </c>
      <c r="DG32" s="16" t="s">
        <v>22</v>
      </c>
      <c r="DH32" s="16" t="s">
        <v>23</v>
      </c>
      <c r="DI32" s="16" t="s">
        <v>24</v>
      </c>
      <c r="DJ32" s="16" t="s">
        <v>25</v>
      </c>
      <c r="DK32" s="16" t="s">
        <v>26</v>
      </c>
      <c r="DL32" s="16" t="s">
        <v>27</v>
      </c>
      <c r="DM32" s="16" t="s">
        <v>28</v>
      </c>
      <c r="DN32" s="16" t="s">
        <v>29</v>
      </c>
      <c r="DO32" s="16" t="s">
        <v>38</v>
      </c>
      <c r="DP32" s="16" t="s">
        <v>18</v>
      </c>
      <c r="DQ32" s="16" t="s">
        <v>19</v>
      </c>
      <c r="DR32" s="16" t="s">
        <v>20</v>
      </c>
      <c r="DS32" s="16" t="s">
        <v>21</v>
      </c>
      <c r="DT32" s="16" t="s">
        <v>22</v>
      </c>
      <c r="DU32" s="16" t="s">
        <v>23</v>
      </c>
      <c r="DV32" s="16" t="s">
        <v>24</v>
      </c>
      <c r="DW32" s="16" t="s">
        <v>25</v>
      </c>
      <c r="DX32" s="16" t="s">
        <v>26</v>
      </c>
      <c r="DY32" s="16" t="s">
        <v>27</v>
      </c>
      <c r="DZ32" s="16" t="s">
        <v>28</v>
      </c>
      <c r="EA32" s="16" t="s">
        <v>29</v>
      </c>
      <c r="EB32" s="16" t="s">
        <v>39</v>
      </c>
      <c r="EC32" s="16" t="s">
        <v>18</v>
      </c>
      <c r="ED32" s="16" t="s">
        <v>19</v>
      </c>
      <c r="EE32" s="16" t="s">
        <v>20</v>
      </c>
      <c r="EF32" s="16" t="s">
        <v>21</v>
      </c>
      <c r="EG32" s="16" t="s">
        <v>22</v>
      </c>
      <c r="EH32" s="16" t="s">
        <v>23</v>
      </c>
      <c r="EI32" s="16" t="s">
        <v>24</v>
      </c>
      <c r="EJ32" s="16" t="s">
        <v>25</v>
      </c>
      <c r="EK32" s="16" t="s">
        <v>26</v>
      </c>
      <c r="EL32" s="16" t="s">
        <v>27</v>
      </c>
      <c r="EM32" s="16" t="s">
        <v>28</v>
      </c>
      <c r="EN32" s="16" t="s">
        <v>29</v>
      </c>
      <c r="EO32" s="16" t="s">
        <v>40</v>
      </c>
      <c r="EP32" s="16" t="s">
        <v>18</v>
      </c>
      <c r="EQ32" s="16" t="s">
        <v>19</v>
      </c>
      <c r="ER32" s="16" t="s">
        <v>20</v>
      </c>
      <c r="ES32" s="16" t="s">
        <v>21</v>
      </c>
      <c r="ET32" s="16" t="s">
        <v>22</v>
      </c>
      <c r="EU32" s="16" t="s">
        <v>23</v>
      </c>
      <c r="EV32" s="16" t="s">
        <v>24</v>
      </c>
      <c r="EW32" s="16" t="s">
        <v>25</v>
      </c>
      <c r="EX32" s="16" t="s">
        <v>26</v>
      </c>
      <c r="EY32" s="16" t="s">
        <v>27</v>
      </c>
      <c r="EZ32" s="16" t="s">
        <v>28</v>
      </c>
      <c r="FA32" s="16" t="s">
        <v>29</v>
      </c>
      <c r="FB32" s="16" t="s">
        <v>41</v>
      </c>
      <c r="FC32" s="16" t="s">
        <v>18</v>
      </c>
      <c r="FD32" s="16" t="s">
        <v>19</v>
      </c>
      <c r="FE32" s="16" t="s">
        <v>20</v>
      </c>
      <c r="FF32" s="16" t="s">
        <v>21</v>
      </c>
      <c r="FG32" s="16" t="s">
        <v>22</v>
      </c>
      <c r="FH32" s="16" t="s">
        <v>23</v>
      </c>
      <c r="FI32" s="16" t="s">
        <v>24</v>
      </c>
      <c r="FJ32" s="16" t="s">
        <v>25</v>
      </c>
      <c r="FK32" s="16" t="s">
        <v>26</v>
      </c>
      <c r="FL32" s="16" t="s">
        <v>27</v>
      </c>
      <c r="FM32" s="16" t="s">
        <v>28</v>
      </c>
      <c r="FN32" s="16" t="s">
        <v>29</v>
      </c>
      <c r="FO32" s="16" t="s">
        <v>42</v>
      </c>
    </row>
    <row r="33" spans="1:171" ht="27.75" customHeight="1">
      <c r="A33" s="10"/>
      <c r="B33" s="19" t="s">
        <v>43</v>
      </c>
      <c r="C33" s="20">
        <f>+MOP_Mes_Corriente!C34*MOP_Mes_Constante!$C$1</f>
        <v>0</v>
      </c>
      <c r="D33" s="20">
        <f>+MOP_Mes_Corriente!D34*MOP_Mes_Constante!$C$1</f>
        <v>177420719.18760198</v>
      </c>
      <c r="E33" s="20">
        <f>+MOP_Mes_Corriente!E34*MOP_Mes_Constante!$C$1</f>
        <v>304378525.33204812</v>
      </c>
      <c r="F33" s="20">
        <f>+MOP_Mes_Corriente!F34*MOP_Mes_Constante!$C$1</f>
        <v>429777768.28207034</v>
      </c>
      <c r="G33" s="20">
        <f>+MOP_Mes_Corriente!G34*MOP_Mes_Constante!$C$1</f>
        <v>538877023.37564886</v>
      </c>
      <c r="H33" s="20">
        <f>+MOP_Mes_Corriente!H34*MOP_Mes_Constante!$C$1</f>
        <v>638868064.78095818</v>
      </c>
      <c r="I33" s="20">
        <f>+MOP_Mes_Corriente!I34*MOP_Mes_Constante!$C$1</f>
        <v>723750744.21800399</v>
      </c>
      <c r="J33" s="20">
        <f>+MOP_Mes_Corriente!J34*MOP_Mes_Constante!$C$1</f>
        <v>817960171.92644238</v>
      </c>
      <c r="K33" s="20">
        <f>+MOP_Mes_Corriente!K34*MOP_Mes_Constante!$C$1</f>
        <v>904142982.16995418</v>
      </c>
      <c r="L33" s="20">
        <f>+MOP_Mes_Corriente!L34*MOP_Mes_Constante!$C$1</f>
        <v>1003730915.2623463</v>
      </c>
      <c r="M33" s="20">
        <f>+MOP_Mes_Corriente!M34*MOP_Mes_Constante!$C$1</f>
        <v>1136332493.8024621</v>
      </c>
      <c r="N33" s="20">
        <f>+MOP_Mes_Corriente!N34*MOP_Mes_Constante!$C$1</f>
        <v>1380547587.5103073</v>
      </c>
      <c r="O33" s="20">
        <f t="shared" ref="O33:O38" si="38">N33</f>
        <v>1380547587.5103073</v>
      </c>
      <c r="P33" s="20">
        <f>+MOP_Mes_Corriente!P34*MOP_Mes_Constante!$P$1</f>
        <v>55401381.187952816</v>
      </c>
      <c r="Q33" s="20">
        <f>+MOP_Mes_Corriente!Q34*MOP_Mes_Constante!$P$1</f>
        <v>179869399.95283413</v>
      </c>
      <c r="R33" s="20">
        <f>+MOP_Mes_Corriente!R34*MOP_Mes_Constante!$P$1</f>
        <v>326674327.2947861</v>
      </c>
      <c r="S33" s="20">
        <f>+MOP_Mes_Corriente!S34*MOP_Mes_Constante!$P$1</f>
        <v>454715315.69825244</v>
      </c>
      <c r="T33" s="20">
        <f>+MOP_Mes_Corriente!T34*MOP_Mes_Constante!$P$1</f>
        <v>561735878.40715992</v>
      </c>
      <c r="U33" s="20">
        <f>+MOP_Mes_Corriente!U34*MOP_Mes_Constante!$P$1</f>
        <v>651595786.73930931</v>
      </c>
      <c r="V33" s="20">
        <f>+MOP_Mes_Corriente!V34*MOP_Mes_Constante!$P$1</f>
        <v>739649367.58687282</v>
      </c>
      <c r="W33" s="20">
        <f>+MOP_Mes_Corriente!W34*MOP_Mes_Constante!$P$1</f>
        <v>848324083.85480857</v>
      </c>
      <c r="X33" s="20">
        <f>+MOP_Mes_Corriente!X34*MOP_Mes_Constante!$P$1</f>
        <v>944834686.72652328</v>
      </c>
      <c r="Y33" s="20">
        <f>+MOP_Mes_Corriente!Y34*MOP_Mes_Constante!$P$1</f>
        <v>1068428900.232419</v>
      </c>
      <c r="Z33" s="20">
        <f>+MOP_Mes_Corriente!Z34*MOP_Mes_Constante!$P$1</f>
        <v>1198741113.617559</v>
      </c>
      <c r="AA33" s="20">
        <f>+MOP_Mes_Corriente!AA34*MOP_Mes_Constante!$P$1</f>
        <v>1516261061.000994</v>
      </c>
      <c r="AB33" s="20">
        <f t="shared" ref="AB33:AB38" si="39">AA33</f>
        <v>1516261061.000994</v>
      </c>
      <c r="AC33" s="20">
        <f>+MOP_Mes_Corriente!AC34*MOP_Mes_Constante!$AC$1</f>
        <v>60464074.407248579</v>
      </c>
      <c r="AD33" s="20">
        <f>+MOP_Mes_Corriente!AD34*MOP_Mes_Constante!$AC$1</f>
        <v>178585628.69829851</v>
      </c>
      <c r="AE33" s="20">
        <f>+MOP_Mes_Corriente!AE34*MOP_Mes_Constante!$AC$1</f>
        <v>312271653.13238347</v>
      </c>
      <c r="AF33" s="20">
        <f>+MOP_Mes_Corriente!AF34*MOP_Mes_Constante!$AC$1</f>
        <v>435107100.06639922</v>
      </c>
      <c r="AG33" s="20">
        <f>+MOP_Mes_Corriente!AG34*MOP_Mes_Constante!$AC$1</f>
        <v>541462336.28689992</v>
      </c>
      <c r="AH33" s="20">
        <f>+MOP_Mes_Corriente!AH34*MOP_Mes_Constante!$AC$1</f>
        <v>647658473.68460369</v>
      </c>
      <c r="AI33" s="20">
        <f>+MOP_Mes_Corriente!AI34*MOP_Mes_Constante!$AC$1</f>
        <v>745421781.00041497</v>
      </c>
      <c r="AJ33" s="20">
        <f>+MOP_Mes_Corriente!AJ34*MOP_Mes_Constante!$AC$1</f>
        <v>854598875.4978559</v>
      </c>
      <c r="AK33" s="20">
        <f>+MOP_Mes_Corriente!AK34*MOP_Mes_Constante!$AC$1</f>
        <v>960109925.9435606</v>
      </c>
      <c r="AL33" s="20">
        <f>+MOP_Mes_Corriente!AL34*MOP_Mes_Constante!$AC$1</f>
        <v>1088390423.3443077</v>
      </c>
      <c r="AM33" s="20">
        <f>+MOP_Mes_Corriente!AM34*MOP_Mes_Constante!$AC$1</f>
        <v>1208195022.9677687</v>
      </c>
      <c r="AN33" s="20">
        <f>+MOP_Mes_Corriente!AN34*MOP_Mes_Constante!$AC$1</f>
        <v>1420172381.8174021</v>
      </c>
      <c r="AO33" s="20">
        <f t="shared" ref="AO33:AO38" si="40">AN33</f>
        <v>1420172381.8174021</v>
      </c>
      <c r="AP33" s="20">
        <f>+MOP_Mes_Corriente!AP34*MOP_Mes_Constante!$AP$1</f>
        <v>60151530.13715677</v>
      </c>
      <c r="AQ33" s="20">
        <f>+MOP_Mes_Corriente!AQ34*MOP_Mes_Constante!$AP$1</f>
        <v>159770766.46828079</v>
      </c>
      <c r="AR33" s="20">
        <f>+MOP_Mes_Corriente!AR34*MOP_Mes_Constante!$AP$1</f>
        <v>273196668.63627756</v>
      </c>
      <c r="AS33" s="20">
        <f>+MOP_Mes_Corriente!AS34*MOP_Mes_Constante!$AP$1</f>
        <v>373691988.9787637</v>
      </c>
      <c r="AT33" s="20">
        <f>+MOP_Mes_Corriente!AT34*MOP_Mes_Constante!$AP$1</f>
        <v>471599795.17300147</v>
      </c>
      <c r="AU33" s="20">
        <f>+MOP_Mes_Corriente!AU34*MOP_Mes_Constante!$AP$1</f>
        <v>554166146.58081961</v>
      </c>
      <c r="AV33" s="20">
        <f>+MOP_Mes_Corriente!AV34*MOP_Mes_Constante!$AP$1</f>
        <v>638319106.00189364</v>
      </c>
      <c r="AW33" s="20">
        <f>+MOP_Mes_Corriente!AW34*MOP_Mes_Constante!$AP$1</f>
        <v>735823984.72582173</v>
      </c>
      <c r="AX33" s="20">
        <f>+MOP_Mes_Corriente!AX34*MOP_Mes_Constante!$AP$1</f>
        <v>845755757.11862564</v>
      </c>
      <c r="AY33" s="20">
        <f>+MOP_Mes_Corriente!AY34*MOP_Mes_Constante!$AP$1</f>
        <v>946503488.30812931</v>
      </c>
      <c r="AZ33" s="20">
        <f>+MOP_Mes_Corriente!AZ34*MOP_Mes_Constante!$AP$1</f>
        <v>1071532990.1674557</v>
      </c>
      <c r="BA33" s="20">
        <f>+MOP_Mes_Corriente!BA34*MOP_Mes_Constante!$AP$1</f>
        <v>1341044459.2549708</v>
      </c>
      <c r="BB33" s="20">
        <f t="shared" ref="BB33:BB38" si="41">BA33</f>
        <v>1341044459.2549708</v>
      </c>
      <c r="BC33" s="20">
        <f>+MOP_Mes_Corriente!BC34*MOP_Mes_Constante!$BC$1</f>
        <v>0</v>
      </c>
      <c r="BD33" s="20">
        <f>+MOP_Mes_Corriente!BD34*MOP_Mes_Constante!$BC$1</f>
        <v>116238119.0679151</v>
      </c>
      <c r="BE33" s="20">
        <f>+MOP_Mes_Corriente!BE34*MOP_Mes_Constante!$BC$1</f>
        <v>242841117.50600031</v>
      </c>
      <c r="BF33" s="20">
        <f>+MOP_Mes_Corriente!BF34*MOP_Mes_Constante!$BC$1</f>
        <v>341972983.50494534</v>
      </c>
      <c r="BG33" s="20">
        <f>+MOP_Mes_Corriente!BG34*MOP_Mes_Constante!$BC$1</f>
        <v>445766541.303442</v>
      </c>
      <c r="BH33" s="20">
        <f>+MOP_Mes_Corriente!BH34*MOP_Mes_Constante!$BC$1</f>
        <v>546298547.61862075</v>
      </c>
      <c r="BI33" s="20">
        <f>+MOP_Mes_Corriente!BI34*MOP_Mes_Constante!$BC$1</f>
        <v>637160101.61492825</v>
      </c>
      <c r="BJ33" s="20">
        <f>+MOP_Mes_Corriente!BJ34*MOP_Mes_Constante!$BC$1</f>
        <v>726230084.10470808</v>
      </c>
      <c r="BK33" s="20">
        <f>+MOP_Mes_Corriente!BK34*MOP_Mes_Constante!$BC$1</f>
        <v>822444342.12659919</v>
      </c>
      <c r="BL33" s="20">
        <f>+MOP_Mes_Corriente!BL34*MOP_Mes_Constante!$BC$1</f>
        <v>943593517.36726916</v>
      </c>
      <c r="BM33" s="20">
        <f>+MOP_Mes_Corriente!BM34*MOP_Mes_Constante!$BC$1</f>
        <v>1055359798.8344985</v>
      </c>
      <c r="BN33" s="20">
        <f>+MOP_Mes_Corriente!BN34*MOP_Mes_Constante!$BC$1</f>
        <v>1298848883.0370569</v>
      </c>
      <c r="BO33" s="20">
        <f t="shared" ref="BO33:BO38" si="42">BN33</f>
        <v>1298848883.0370569</v>
      </c>
      <c r="BP33" s="20">
        <f>+MOP_Mes_Corriente!BP34*MOP_Mes_Constante!$BP$1</f>
        <v>0</v>
      </c>
      <c r="BQ33" s="20">
        <f>+MOP_Mes_Corriente!BQ34*MOP_Mes_Constante!$BP$1</f>
        <v>143669775.01690143</v>
      </c>
      <c r="BR33" s="20">
        <f>+MOP_Mes_Corriente!BR34*MOP_Mes_Constante!$BP$1</f>
        <v>271173529.96824586</v>
      </c>
      <c r="BS33" s="20">
        <f>+MOP_Mes_Corriente!BS34*MOP_Mes_Constante!$BP$1</f>
        <v>402294007.76081949</v>
      </c>
      <c r="BT33" s="20">
        <f>+MOP_Mes_Corriente!BT34*MOP_Mes_Constante!$BP$1</f>
        <v>508663214.79487842</v>
      </c>
      <c r="BU33" s="20">
        <f>+MOP_Mes_Corriente!BU34*MOP_Mes_Constante!$BP$1</f>
        <v>605500687.15006411</v>
      </c>
      <c r="BV33" s="20">
        <f>+MOP_Mes_Corriente!BV34*MOP_Mes_Constante!$BP$1</f>
        <v>734701568.86786175</v>
      </c>
      <c r="BW33" s="20">
        <f>+MOP_Mes_Corriente!BW34*MOP_Mes_Constante!$BP$1</f>
        <v>858629501.43072999</v>
      </c>
      <c r="BX33" s="20">
        <f>+MOP_Mes_Corriente!BX34*MOP_Mes_Constante!$BP$1</f>
        <v>953218566.66606927</v>
      </c>
      <c r="BY33" s="20">
        <f>+MOP_Mes_Corriente!BY34*MOP_Mes_Constante!$BP$1</f>
        <v>1075654095.7644048</v>
      </c>
      <c r="BZ33" s="20">
        <f>+MOP_Mes_Corriente!BZ34*MOP_Mes_Constante!$BP$1</f>
        <v>1202821297.7393086</v>
      </c>
      <c r="CA33" s="20">
        <f>+MOP_Mes_Corriente!CA34*MOP_Mes_Constante!$BP$1</f>
        <v>1513240879.8099873</v>
      </c>
      <c r="CB33" s="20">
        <f t="shared" ref="CB33:CB38" si="43">CA33</f>
        <v>1513240879.8099873</v>
      </c>
      <c r="CC33" s="20">
        <f>+MOP_Mes_Corriente!CC34*MOP_Mes_Constante!$CC$1</f>
        <v>0</v>
      </c>
      <c r="CD33" s="20">
        <f>+MOP_Mes_Corriente!CD34*MOP_Mes_Constante!$CC$1</f>
        <v>131594478.73853041</v>
      </c>
      <c r="CE33" s="20">
        <f>+MOP_Mes_Corriente!CE34*MOP_Mes_Constante!$CC$1</f>
        <v>263363073.87616563</v>
      </c>
      <c r="CF33" s="20">
        <f>+MOP_Mes_Corriente!CF34*MOP_Mes_Constante!$CC$1</f>
        <v>370356103.43677735</v>
      </c>
      <c r="CG33" s="20">
        <f>+MOP_Mes_Corriente!CG34*MOP_Mes_Constante!$CC$1</f>
        <v>444975901.69861996</v>
      </c>
      <c r="CH33" s="20">
        <f>+MOP_Mes_Corriente!CH34*MOP_Mes_Constante!$CC$1</f>
        <v>568232968.9548676</v>
      </c>
      <c r="CI33" s="20">
        <f>+MOP_Mes_Corriente!CI34*MOP_Mes_Constante!$CC$1</f>
        <v>682291804.54308105</v>
      </c>
      <c r="CJ33" s="20">
        <f>+MOP_Mes_Corriente!CJ34*MOP_Mes_Constante!$CC$1</f>
        <v>780455801.52555025</v>
      </c>
      <c r="CK33" s="20">
        <f>+MOP_Mes_Corriente!CK34*MOP_Mes_Constante!$CC$1</f>
        <v>860713100.62737787</v>
      </c>
      <c r="CL33" s="20">
        <f>+MOP_Mes_Corriente!CL34*MOP_Mes_Constante!$CC$1</f>
        <v>969833427.68593812</v>
      </c>
      <c r="CM33" s="20">
        <f>+MOP_Mes_Corriente!CM34*MOP_Mes_Constante!$CC$1</f>
        <v>1087234095.0951138</v>
      </c>
      <c r="CN33" s="20">
        <f>+MOP_Mes_Corriente!CN34*MOP_Mes_Constante!$CC$1</f>
        <v>1284885432.3782172</v>
      </c>
      <c r="CO33" s="20">
        <f t="shared" ref="CO33:CO38" si="44">CN33</f>
        <v>1284885432.3782172</v>
      </c>
      <c r="CP33" s="20">
        <f>+MOP_Mes_Corriente!CP34*MOP_Mes_Constante!$CP$1</f>
        <v>0</v>
      </c>
      <c r="CQ33" s="20">
        <f>+MOP_Mes_Corriente!CQ34*MOP_Mes_Constante!$CP$1</f>
        <v>128505412.57238977</v>
      </c>
      <c r="CR33" s="20">
        <f>+MOP_Mes_Corriente!CR34*MOP_Mes_Constante!$CP$1</f>
        <v>251527733.72645006</v>
      </c>
      <c r="CS33" s="20">
        <f>+MOP_Mes_Corriente!CS34*MOP_Mes_Constante!$CP$1</f>
        <v>360385791.28329462</v>
      </c>
      <c r="CT33" s="20">
        <f>+MOP_Mes_Corriente!CT34*MOP_Mes_Constante!$CP$1</f>
        <v>454519921.80696046</v>
      </c>
      <c r="CU33" s="20">
        <f>+MOP_Mes_Corriente!CU34*MOP_Mes_Constante!$CP$1</f>
        <v>548897025.27633405</v>
      </c>
      <c r="CV33" s="20">
        <f>+MOP_Mes_Corriente!CV34*MOP_Mes_Constante!$CP$1</f>
        <v>638010461.0672853</v>
      </c>
      <c r="CW33" s="20">
        <f>+MOP_Mes_Corriente!CW34*MOP_Mes_Constante!$CP$1</f>
        <v>743041569.24501145</v>
      </c>
      <c r="CX33" s="20">
        <f>+MOP_Mes_Corriente!CX34*MOP_Mes_Constante!$CP$1</f>
        <v>828819815.65057993</v>
      </c>
      <c r="CY33" s="20">
        <f>+MOP_Mes_Corriente!CY34*MOP_Mes_Constante!$CP$1</f>
        <v>905559267.44756365</v>
      </c>
      <c r="CZ33" s="20">
        <f>+MOP_Mes_Corriente!CZ34*MOP_Mes_Constante!$CP$1</f>
        <v>1016738812.277958</v>
      </c>
      <c r="DA33" s="20">
        <f>+MOP_Mes_Corriente!DA34*MOP_Mes_Constante!$CP$1</f>
        <v>1242140647.1742456</v>
      </c>
      <c r="DB33" s="20">
        <f t="shared" ref="DB33:DB38" si="45">DA33</f>
        <v>1242140647.1742456</v>
      </c>
      <c r="DC33" s="20">
        <f>+MOP_Mes_Corriente!DC34*MOP_Mes_Constante!$DC$1</f>
        <v>0</v>
      </c>
      <c r="DD33" s="20">
        <f>+MOP_Mes_Corriente!DD34*MOP_Mes_Constante!$DC$1</f>
        <v>65361605.767925143</v>
      </c>
      <c r="DE33" s="20">
        <f>+MOP_Mes_Corriente!DE34*MOP_Mes_Constante!$DC$1</f>
        <v>156914711.67040434</v>
      </c>
      <c r="DF33" s="20">
        <f>+MOP_Mes_Corriente!DF34*MOP_Mes_Constante!$DC$1</f>
        <v>232284474.99249059</v>
      </c>
      <c r="DG33" s="20">
        <f>+MOP_Mes_Corriente!DG34*MOP_Mes_Constante!$DC$1</f>
        <v>318501437.58831412</v>
      </c>
      <c r="DH33" s="20">
        <f>+MOP_Mes_Corriente!DH34*MOP_Mes_Constante!$DC$1</f>
        <v>388064438.2213766</v>
      </c>
      <c r="DI33" s="20">
        <f>+MOP_Mes_Corriente!DI34*MOP_Mes_Constante!$DC$1</f>
        <v>455871633.68912685</v>
      </c>
      <c r="DJ33" s="20">
        <f>+MOP_Mes_Corriente!DJ34*MOP_Mes_Constante!$DC$1</f>
        <v>531127563.62431872</v>
      </c>
      <c r="DK33" s="20">
        <f>+MOP_Mes_Corriente!DK34*MOP_Mes_Constante!$DC$1</f>
        <v>693028031.30130672</v>
      </c>
      <c r="DL33" s="20">
        <f>+MOP_Mes_Corriente!DL34*MOP_Mes_Constante!$DC$1</f>
        <v>765094369.49490833</v>
      </c>
      <c r="DM33" s="20">
        <f>+MOP_Mes_Corriente!DM34*MOP_Mes_Constante!$DC$1</f>
        <v>854589954.82831025</v>
      </c>
      <c r="DN33" s="20">
        <f>+MOP_Mes_Corriente!DN34*MOP_Mes_Constante!$DC$1</f>
        <v>1074234906.8480613</v>
      </c>
      <c r="DO33" s="20">
        <f t="shared" ref="DO33:DO38" si="46">DN33</f>
        <v>1074234906.8480613</v>
      </c>
      <c r="DP33" s="20">
        <f>+MOP_Mes_Corriente!DP34*MOP_Mes_Constante!$DP$1</f>
        <v>0</v>
      </c>
      <c r="DQ33" s="20">
        <f>+MOP_Mes_Corriente!DQ34*MOP_Mes_Constante!$DP$1</f>
        <v>19686335.739904989</v>
      </c>
      <c r="DR33" s="20">
        <f>+MOP_Mes_Corriente!DR34*MOP_Mes_Constante!$DP$1</f>
        <v>149720682.21377674</v>
      </c>
      <c r="DS33" s="20">
        <f>+MOP_Mes_Corriente!DS34*MOP_Mes_Constante!$DP$1</f>
        <v>334944349.27019006</v>
      </c>
      <c r="DT33" s="20">
        <f>+MOP_Mes_Corriente!DT34*MOP_Mes_Constante!$DP$1</f>
        <v>471774343.33788604</v>
      </c>
      <c r="DU33" s="20">
        <f>+MOP_Mes_Corriente!DU34*MOP_Mes_Constante!$DP$1</f>
        <v>589274747.89311171</v>
      </c>
      <c r="DV33" s="20">
        <f>+MOP_Mes_Corriente!DV34*MOP_Mes_Constante!$DP$1</f>
        <v>695930117.74168658</v>
      </c>
      <c r="DW33" s="20">
        <f>+MOP_Mes_Corriente!DW34*MOP_Mes_Constante!$DP$1</f>
        <v>791413010.26603329</v>
      </c>
      <c r="DX33" s="20">
        <f>+MOP_Mes_Corriente!DX34*MOP_Mes_Constante!$DP$1</f>
        <v>891813555.46318293</v>
      </c>
      <c r="DY33" s="20">
        <f>+MOP_Mes_Corriente!DY34*MOP_Mes_Constante!$DP$1</f>
        <v>1017026693.0576011</v>
      </c>
      <c r="DZ33" s="20">
        <f>+MOP_Mes_Corriente!DZ34*MOP_Mes_Constante!$DP$1</f>
        <v>1177592748.4418054</v>
      </c>
      <c r="EA33" s="20">
        <f>+MOP_Mes_Corriente!EA34*MOP_Mes_Constante!$DP$1</f>
        <v>1532689445.0861046</v>
      </c>
      <c r="EB33" s="20">
        <f t="shared" ref="EB33:EB38" si="47">EA33</f>
        <v>1532689445.0861046</v>
      </c>
      <c r="EC33" s="20">
        <f>+MOP_Mes_Corriente!EC34*MOP_Mes_Constante!$EC$1</f>
        <v>0</v>
      </c>
      <c r="ED33" s="20">
        <f>+MOP_Mes_Corriente!ED34*MOP_Mes_Constante!$EC$1</f>
        <v>118981681.08104523</v>
      </c>
      <c r="EE33" s="20">
        <f>+MOP_Mes_Corriente!EE34*MOP_Mes_Constante!$EC$1</f>
        <v>253513360.80818018</v>
      </c>
      <c r="EF33" s="20">
        <f>+MOP_Mes_Corriente!EF34*MOP_Mes_Constante!$EC$1</f>
        <v>393071036.74152613</v>
      </c>
      <c r="EG33" s="20">
        <f>+MOP_Mes_Corriente!EG34*MOP_Mes_Constante!$EC$1</f>
        <v>539859447.82143521</v>
      </c>
      <c r="EH33" s="20">
        <f>+MOP_Mes_Corriente!EH34*MOP_Mes_Constante!$EC$1</f>
        <v>801556476.76576376</v>
      </c>
      <c r="EI33" s="20">
        <f>+MOP_Mes_Corriente!EI34*MOP_Mes_Constante!$EC$1</f>
        <v>885801091.49573922</v>
      </c>
      <c r="EJ33" s="20">
        <f>+MOP_Mes_Corriente!EJ34*MOP_Mes_Constante!$EC$1</f>
        <v>975519785.32626367</v>
      </c>
      <c r="EK33" s="20">
        <f>+MOP_Mes_Corriente!EK34*MOP_Mes_Constante!$EC$1</f>
        <v>1110261222.1158867</v>
      </c>
      <c r="EL33" s="20">
        <f>+MOP_Mes_Corriente!EL34*MOP_Mes_Constante!$EC$1</f>
        <v>1254410814.8890357</v>
      </c>
      <c r="EM33" s="20">
        <f>+MOP_Mes_Corriente!EM34*MOP_Mes_Constante!$EC$1</f>
        <v>1459765656.2556329</v>
      </c>
      <c r="EN33" s="20">
        <f>+MOP_Mes_Corriente!EN34*MOP_Mes_Constante!$EC$1</f>
        <v>1658823284.7983332</v>
      </c>
      <c r="EO33" s="20">
        <f t="shared" ref="EO33:EO38" si="48">EN33</f>
        <v>1658823284.7983332</v>
      </c>
      <c r="EP33" s="20">
        <f>+MOP_Mes_Corriente!EP34*MOP_Mes_Constante!$EP$1</f>
        <v>1418928</v>
      </c>
      <c r="EQ33" s="20">
        <f>+MOP_Mes_Corriente!EQ34*MOP_Mes_Constante!$EP$1</f>
        <v>262166719</v>
      </c>
      <c r="ER33" s="20">
        <f>+MOP_Mes_Corriente!ER34*MOP_Mes_Constante!$EP$1</f>
        <v>478250448</v>
      </c>
      <c r="ES33" s="20">
        <f>+MOP_Mes_Corriente!ES34*MOP_Mes_Constante!$EP$1</f>
        <v>666185288</v>
      </c>
      <c r="ET33" s="20">
        <f>+MOP_Mes_Corriente!ET34*MOP_Mes_Constante!$EP$1</f>
        <v>837833362</v>
      </c>
      <c r="EU33" s="20">
        <f>+MOP_Mes_Corriente!EU34*MOP_Mes_Constante!$EP$1</f>
        <v>982362882</v>
      </c>
      <c r="EV33" s="20">
        <f>+MOP_Mes_Corriente!EV34*MOP_Mes_Constante!$EP$1</f>
        <v>1108324387</v>
      </c>
      <c r="EW33" s="20">
        <f>+MOP_Mes_Corriente!EW34*MOP_Mes_Constante!$EP$1</f>
        <v>1217723031</v>
      </c>
      <c r="EX33" s="20">
        <f>+MOP_Mes_Corriente!EX34*MOP_Mes_Constante!$EP$1</f>
        <v>1369623467</v>
      </c>
      <c r="EY33" s="20">
        <f>+MOP_Mes_Corriente!EY34*MOP_Mes_Constante!$EP$1</f>
        <v>1492337572</v>
      </c>
      <c r="EZ33" s="20">
        <f>+MOP_Mes_Corriente!EZ34*MOP_Mes_Constante!$EP$1</f>
        <v>1632445535</v>
      </c>
      <c r="FA33" s="20">
        <f>+MOP_Mes_Corriente!FA34*MOP_Mes_Constante!$EP$1</f>
        <v>1947648753</v>
      </c>
      <c r="FB33" s="20">
        <f t="shared" ref="FB33:FB38" si="49">FA33</f>
        <v>1947648753</v>
      </c>
      <c r="FC33" s="20">
        <f>+MOP_Mes_Corriente!FC34*MOP_Mes_Constante!$FC$1</f>
        <v>0</v>
      </c>
      <c r="FD33" s="20">
        <f>+MOP_Mes_Corriente!FD34*MOP_Mes_Constante!$FC$1</f>
        <v>162224034</v>
      </c>
      <c r="FE33" s="20">
        <f>+MOP_Mes_Corriente!FE34*MOP_Mes_Constante!$FC$1</f>
        <v>321332158</v>
      </c>
      <c r="FF33" s="20">
        <f>+MOP_Mes_Corriente!FF34*MOP_Mes_Constante!$FC$1</f>
        <v>469566556</v>
      </c>
      <c r="FG33" s="20">
        <f>+MOP_Mes_Corriente!FG34*MOP_Mes_Constante!$FC$1</f>
        <v>614978745</v>
      </c>
      <c r="FH33" s="20">
        <f>+MOP_Mes_Corriente!FH34*MOP_Mes_Constante!$FC$1</f>
        <v>776558972</v>
      </c>
      <c r="FI33" s="20">
        <f>+MOP_Mes_Corriente!FI34*MOP_Mes_Constante!$FC$1</f>
        <v>909487841</v>
      </c>
      <c r="FJ33" s="10"/>
      <c r="FK33" s="10"/>
      <c r="FL33" s="10"/>
      <c r="FM33" s="10"/>
      <c r="FN33" s="10"/>
      <c r="FO33" s="20">
        <f t="shared" ref="FO33:FO38" si="50">FI33</f>
        <v>909487841</v>
      </c>
    </row>
    <row r="34" spans="1:171" ht="27.75" customHeight="1">
      <c r="A34" s="10"/>
      <c r="B34" s="19" t="s">
        <v>44</v>
      </c>
      <c r="C34" s="20">
        <f>+MOP_Mes_Corriente!C35*MOP_Mes_Constante!$C$1</f>
        <v>0</v>
      </c>
      <c r="D34" s="20">
        <f>+MOP_Mes_Corriente!D35*MOP_Mes_Constante!$C$1</f>
        <v>0</v>
      </c>
      <c r="E34" s="20">
        <f>+MOP_Mes_Corriente!E35*MOP_Mes_Constante!$C$1</f>
        <v>0</v>
      </c>
      <c r="F34" s="20">
        <f>+MOP_Mes_Corriente!F35*MOP_Mes_Constante!$C$1</f>
        <v>20819876.21207178</v>
      </c>
      <c r="G34" s="20">
        <f>+MOP_Mes_Corriente!G35*MOP_Mes_Constante!$C$1</f>
        <v>29980636.134064961</v>
      </c>
      <c r="H34" s="20">
        <f>+MOP_Mes_Corriente!H35*MOP_Mes_Constante!$C$1</f>
        <v>38891528.822482578</v>
      </c>
      <c r="I34" s="20">
        <f>+MOP_Mes_Corriente!I35*MOP_Mes_Constante!$C$1</f>
        <v>45694275.493400574</v>
      </c>
      <c r="J34" s="20">
        <f>+MOP_Mes_Corriente!J35*MOP_Mes_Constante!$C$1</f>
        <v>57654617.536408134</v>
      </c>
      <c r="K34" s="20">
        <f>+MOP_Mes_Corriente!K35*MOP_Mes_Constante!$C$1</f>
        <v>72450573.357259393</v>
      </c>
      <c r="L34" s="20">
        <f>+MOP_Mes_Corriente!L35*MOP_Mes_Constante!$C$1</f>
        <v>88713119.85496071</v>
      </c>
      <c r="M34" s="20">
        <f>+MOP_Mes_Corriente!M35*MOP_Mes_Constante!$C$1</f>
        <v>110542003.98428001</v>
      </c>
      <c r="N34" s="20">
        <f>+MOP_Mes_Corriente!N35*MOP_Mes_Constante!$C$1</f>
        <v>169674191.66899008</v>
      </c>
      <c r="O34" s="20">
        <f t="shared" si="38"/>
        <v>169674191.66899008</v>
      </c>
      <c r="P34" s="20">
        <f>+MOP_Mes_Corriente!P35*MOP_Mes_Constante!$P$1</f>
        <v>6418615.9928967161</v>
      </c>
      <c r="Q34" s="20">
        <f>+MOP_Mes_Corriente!Q35*MOP_Mes_Constante!$P$1</f>
        <v>18651689.383719273</v>
      </c>
      <c r="R34" s="20">
        <f>+MOP_Mes_Corriente!R35*MOP_Mes_Constante!$P$1</f>
        <v>35450837.360704631</v>
      </c>
      <c r="S34" s="20">
        <f>+MOP_Mes_Corriente!S35*MOP_Mes_Constante!$P$1</f>
        <v>48388036.270492949</v>
      </c>
      <c r="T34" s="20">
        <f>+MOP_Mes_Corriente!T35*MOP_Mes_Constante!$P$1</f>
        <v>59180271.545105815</v>
      </c>
      <c r="U34" s="20">
        <f>+MOP_Mes_Corriente!U35*MOP_Mes_Constante!$P$1</f>
        <v>74519329.356158525</v>
      </c>
      <c r="V34" s="20">
        <f>+MOP_Mes_Corriente!V35*MOP_Mes_Constante!$P$1</f>
        <v>85365306.767154396</v>
      </c>
      <c r="W34" s="20">
        <f>+MOP_Mes_Corriente!W35*MOP_Mes_Constante!$P$1</f>
        <v>96260855.528626189</v>
      </c>
      <c r="X34" s="20">
        <f>+MOP_Mes_Corriente!X35*MOP_Mes_Constante!$P$1</f>
        <v>113644456.80579624</v>
      </c>
      <c r="Y34" s="20">
        <f>+MOP_Mes_Corriente!Y35*MOP_Mes_Constante!$P$1</f>
        <v>126300985.26239517</v>
      </c>
      <c r="Z34" s="20">
        <f>+MOP_Mes_Corriente!Z35*MOP_Mes_Constante!$P$1</f>
        <v>148959374.97485432</v>
      </c>
      <c r="AA34" s="20">
        <f>+MOP_Mes_Corriente!AA35*MOP_Mes_Constante!$P$1</f>
        <v>197449833.76417097</v>
      </c>
      <c r="AB34" s="20">
        <f t="shared" si="39"/>
        <v>197449833.76417097</v>
      </c>
      <c r="AC34" s="20">
        <f>+MOP_Mes_Corriente!AC35*MOP_Mes_Constante!$AC$1</f>
        <v>2485475.3177479594</v>
      </c>
      <c r="AD34" s="20">
        <f>+MOP_Mes_Corriente!AD35*MOP_Mes_Constante!$AC$1</f>
        <v>10217808.087148983</v>
      </c>
      <c r="AE34" s="20">
        <f>+MOP_Mes_Corriente!AE35*MOP_Mes_Constante!$AC$1</f>
        <v>21888438.640752524</v>
      </c>
      <c r="AF34" s="20">
        <f>+MOP_Mes_Corriente!AF35*MOP_Mes_Constante!$AC$1</f>
        <v>30312587.170009684</v>
      </c>
      <c r="AG34" s="20">
        <f>+MOP_Mes_Corriente!AG35*MOP_Mes_Constante!$AC$1</f>
        <v>40355237.677963756</v>
      </c>
      <c r="AH34" s="20">
        <f>+MOP_Mes_Corriente!AH35*MOP_Mes_Constante!$AC$1</f>
        <v>58576060.39811869</v>
      </c>
      <c r="AI34" s="20">
        <f>+MOP_Mes_Corriente!AI35*MOP_Mes_Constante!$AC$1</f>
        <v>68763925.894867897</v>
      </c>
      <c r="AJ34" s="20">
        <f>+MOP_Mes_Corriente!AJ35*MOP_Mes_Constante!$AC$1</f>
        <v>79319753.80080232</v>
      </c>
      <c r="AK34" s="20">
        <f>+MOP_Mes_Corriente!AK35*MOP_Mes_Constante!$AC$1</f>
        <v>91292488.481117725</v>
      </c>
      <c r="AL34" s="20">
        <f>+MOP_Mes_Corriente!AL35*MOP_Mes_Constante!$AC$1</f>
        <v>102943284.77023101</v>
      </c>
      <c r="AM34" s="20">
        <f>+MOP_Mes_Corriente!AM35*MOP_Mes_Constante!$AC$1</f>
        <v>127714003.42011343</v>
      </c>
      <c r="AN34" s="20">
        <f>+MOP_Mes_Corriente!AN35*MOP_Mes_Constante!$AC$1</f>
        <v>189757685.12021026</v>
      </c>
      <c r="AO34" s="20">
        <f t="shared" si="40"/>
        <v>189757685.12021026</v>
      </c>
      <c r="AP34" s="20">
        <f>+MOP_Mes_Corriente!AP35*MOP_Mes_Constante!$AP$1</f>
        <v>1875637.8820505883</v>
      </c>
      <c r="AQ34" s="20">
        <f>+MOP_Mes_Corriente!AQ35*MOP_Mes_Constante!$AP$1</f>
        <v>8391005.4327066131</v>
      </c>
      <c r="AR34" s="20">
        <f>+MOP_Mes_Corriente!AR35*MOP_Mes_Constante!$AP$1</f>
        <v>16373736.409035573</v>
      </c>
      <c r="AS34" s="20">
        <f>+MOP_Mes_Corriente!AS35*MOP_Mes_Constante!$AP$1</f>
        <v>29113821.880156904</v>
      </c>
      <c r="AT34" s="20">
        <f>+MOP_Mes_Corriente!AT35*MOP_Mes_Constante!$AP$1</f>
        <v>39727267.046124712</v>
      </c>
      <c r="AU34" s="20">
        <f>+MOP_Mes_Corriente!AU35*MOP_Mes_Constante!$AP$1</f>
        <v>53217975.958880015</v>
      </c>
      <c r="AV34" s="20">
        <f>+MOP_Mes_Corriente!AV35*MOP_Mes_Constante!$AP$1</f>
        <v>64662881.892060056</v>
      </c>
      <c r="AW34" s="20">
        <f>+MOP_Mes_Corriente!AW35*MOP_Mes_Constante!$AP$1</f>
        <v>79970095.572839171</v>
      </c>
      <c r="AX34" s="20">
        <f>+MOP_Mes_Corriente!AX35*MOP_Mes_Constante!$AP$1</f>
        <v>97477817.181117266</v>
      </c>
      <c r="AY34" s="20">
        <f>+MOP_Mes_Corriente!AY35*MOP_Mes_Constante!$AP$1</f>
        <v>117543968.17097254</v>
      </c>
      <c r="AZ34" s="20">
        <f>+MOP_Mes_Corriente!AZ35*MOP_Mes_Constante!$AP$1</f>
        <v>145740984.41065872</v>
      </c>
      <c r="BA34" s="20">
        <f>+MOP_Mes_Corriente!BA35*MOP_Mes_Constante!$AP$1</f>
        <v>215575616.651427</v>
      </c>
      <c r="BB34" s="20">
        <f t="shared" si="41"/>
        <v>215575616.651427</v>
      </c>
      <c r="BC34" s="20">
        <f>+MOP_Mes_Corriente!BC35*MOP_Mes_Constante!$BC$1</f>
        <v>0</v>
      </c>
      <c r="BD34" s="20">
        <f>+MOP_Mes_Corriente!BD35*MOP_Mes_Constante!$BC$1</f>
        <v>12213740.694184363</v>
      </c>
      <c r="BE34" s="20">
        <f>+MOP_Mes_Corriente!BE35*MOP_Mes_Constante!$BC$1</f>
        <v>22463014.54094686</v>
      </c>
      <c r="BF34" s="20">
        <f>+MOP_Mes_Corriente!BF35*MOP_Mes_Constante!$BC$1</f>
        <v>32692593.346960314</v>
      </c>
      <c r="BG34" s="20">
        <f>+MOP_Mes_Corriente!BG35*MOP_Mes_Constante!$BC$1</f>
        <v>45357441.104048543</v>
      </c>
      <c r="BH34" s="20">
        <f>+MOP_Mes_Corriente!BH35*MOP_Mes_Constante!$BC$1</f>
        <v>59098212.410655431</v>
      </c>
      <c r="BI34" s="20">
        <f>+MOP_Mes_Corriente!BI35*MOP_Mes_Constante!$BC$1</f>
        <v>72721957.511275232</v>
      </c>
      <c r="BJ34" s="20">
        <f>+MOP_Mes_Corriente!BJ35*MOP_Mes_Constante!$BC$1</f>
        <v>81171821.60279575</v>
      </c>
      <c r="BK34" s="20">
        <f>+MOP_Mes_Corriente!BK35*MOP_Mes_Constante!$BC$1</f>
        <v>94388943.142819494</v>
      </c>
      <c r="BL34" s="20">
        <f>+MOP_Mes_Corriente!BL35*MOP_Mes_Constante!$BC$1</f>
        <v>105869545.34669659</v>
      </c>
      <c r="BM34" s="20">
        <f>+MOP_Mes_Corriente!BM35*MOP_Mes_Constante!$BC$1</f>
        <v>122167058.2874852</v>
      </c>
      <c r="BN34" s="20">
        <f>+MOP_Mes_Corriente!BN35*MOP_Mes_Constante!$BC$1</f>
        <v>172391767.99472508</v>
      </c>
      <c r="BO34" s="20">
        <f t="shared" si="42"/>
        <v>172391767.99472508</v>
      </c>
      <c r="BP34" s="20">
        <f>+MOP_Mes_Corriente!BP35*MOP_Mes_Constante!$BP$1</f>
        <v>0</v>
      </c>
      <c r="BQ34" s="20">
        <f>+MOP_Mes_Corriente!BQ35*MOP_Mes_Constante!$BP$1</f>
        <v>0</v>
      </c>
      <c r="BR34" s="20">
        <f>+MOP_Mes_Corriente!BR35*MOP_Mes_Constante!$BP$1</f>
        <v>0</v>
      </c>
      <c r="BS34" s="20">
        <f>+MOP_Mes_Corriente!BS35*MOP_Mes_Constante!$BP$1</f>
        <v>20703695.586683743</v>
      </c>
      <c r="BT34" s="20">
        <f>+MOP_Mes_Corriente!BT35*MOP_Mes_Constante!$BP$1</f>
        <v>29278827.488604356</v>
      </c>
      <c r="BU34" s="20">
        <f>+MOP_Mes_Corriente!BU35*MOP_Mes_Constante!$BP$1</f>
        <v>37842950.850960314</v>
      </c>
      <c r="BV34" s="20">
        <f>+MOP_Mes_Corriente!BV35*MOP_Mes_Constante!$BP$1</f>
        <v>50609114.486043543</v>
      </c>
      <c r="BW34" s="20">
        <f>+MOP_Mes_Corriente!BW35*MOP_Mes_Constante!$BP$1</f>
        <v>62449436.021254808</v>
      </c>
      <c r="BX34" s="20">
        <f>+MOP_Mes_Corriente!BX35*MOP_Mes_Constante!$BP$1</f>
        <v>73981559.018950075</v>
      </c>
      <c r="BY34" s="20">
        <f>+MOP_Mes_Corriente!BY35*MOP_Mes_Constante!$BP$1</f>
        <v>95245267.365172863</v>
      </c>
      <c r="BZ34" s="20">
        <f>+MOP_Mes_Corriente!BZ35*MOP_Mes_Constante!$BP$1</f>
        <v>128629083.98719592</v>
      </c>
      <c r="CA34" s="20">
        <f>+MOP_Mes_Corriente!CA35*MOP_Mes_Constante!$BP$1</f>
        <v>185551104.17362359</v>
      </c>
      <c r="CB34" s="20">
        <f t="shared" si="43"/>
        <v>185551104.17362359</v>
      </c>
      <c r="CC34" s="20">
        <f>+MOP_Mes_Corriente!CC35*MOP_Mes_Constante!$CC$1</f>
        <v>0</v>
      </c>
      <c r="CD34" s="20">
        <f>+MOP_Mes_Corriente!CD35*MOP_Mes_Constante!$CC$1</f>
        <v>0</v>
      </c>
      <c r="CE34" s="20">
        <f>+MOP_Mes_Corriente!CE35*MOP_Mes_Constante!$CC$1</f>
        <v>21645413.968668409</v>
      </c>
      <c r="CF34" s="20">
        <f>+MOP_Mes_Corriente!CF35*MOP_Mes_Constante!$CC$1</f>
        <v>37150434.955613583</v>
      </c>
      <c r="CG34" s="20">
        <f>+MOP_Mes_Corriente!CG35*MOP_Mes_Constante!$CC$1</f>
        <v>47505553.832898177</v>
      </c>
      <c r="CH34" s="20">
        <f>+MOP_Mes_Corriente!CH35*MOP_Mes_Constante!$CC$1</f>
        <v>57364011.770980984</v>
      </c>
      <c r="CI34" s="20">
        <f>+MOP_Mes_Corriente!CI35*MOP_Mes_Constante!$CC$1</f>
        <v>67928938.919060051</v>
      </c>
      <c r="CJ34" s="20">
        <f>+MOP_Mes_Corriente!CJ35*MOP_Mes_Constante!$CC$1</f>
        <v>81992058.008951887</v>
      </c>
      <c r="CK34" s="20">
        <f>+MOP_Mes_Corriente!CK35*MOP_Mes_Constante!$CC$1</f>
        <v>97124532.689295053</v>
      </c>
      <c r="CL34" s="20">
        <f>+MOP_Mes_Corriente!CL35*MOP_Mes_Constante!$CC$1</f>
        <v>118243816.89891833</v>
      </c>
      <c r="CM34" s="20">
        <f>+MOP_Mes_Corriente!CM35*MOP_Mes_Constante!$CC$1</f>
        <v>147100642.18052965</v>
      </c>
      <c r="CN34" s="20">
        <f>+MOP_Mes_Corriente!CN35*MOP_Mes_Constante!$CC$1</f>
        <v>189216851.08243194</v>
      </c>
      <c r="CO34" s="20">
        <f t="shared" si="44"/>
        <v>189216851.08243194</v>
      </c>
      <c r="CP34" s="20">
        <f>+MOP_Mes_Corriente!CP35*MOP_Mes_Constante!$CP$1</f>
        <v>0</v>
      </c>
      <c r="CQ34" s="20">
        <f>+MOP_Mes_Corriente!CQ35*MOP_Mes_Constante!$CP$1</f>
        <v>12072772.426218094</v>
      </c>
      <c r="CR34" s="20">
        <f>+MOP_Mes_Corriente!CR35*MOP_Mes_Constante!$CP$1</f>
        <v>23801925.954988394</v>
      </c>
      <c r="CS34" s="20">
        <f>+MOP_Mes_Corriente!CS35*MOP_Mes_Constante!$CP$1</f>
        <v>34296532.74501159</v>
      </c>
      <c r="CT34" s="20">
        <f>+MOP_Mes_Corriente!CT35*MOP_Mes_Constante!$CP$1</f>
        <v>48621038.427146159</v>
      </c>
      <c r="CU34" s="20">
        <f>+MOP_Mes_Corriente!CU35*MOP_Mes_Constante!$CP$1</f>
        <v>58343235.322969824</v>
      </c>
      <c r="CV34" s="20">
        <f>+MOP_Mes_Corriente!CV35*MOP_Mes_Constante!$CP$1</f>
        <v>68471044.124825969</v>
      </c>
      <c r="CW34" s="20">
        <f>+MOP_Mes_Corriente!CW35*MOP_Mes_Constante!$CP$1</f>
        <v>80399896.287702993</v>
      </c>
      <c r="CX34" s="20">
        <f>+MOP_Mes_Corriente!CX35*MOP_Mes_Constante!$CP$1</f>
        <v>94935049.419257522</v>
      </c>
      <c r="CY34" s="20">
        <f>+MOP_Mes_Corriente!CY35*MOP_Mes_Constante!$CP$1</f>
        <v>111330926.96867748</v>
      </c>
      <c r="CZ34" s="20">
        <f>+MOP_Mes_Corriente!CZ35*MOP_Mes_Constante!$CP$1</f>
        <v>128175755.37911831</v>
      </c>
      <c r="DA34" s="20">
        <f>+MOP_Mes_Corriente!DA35*MOP_Mes_Constante!$CP$1</f>
        <v>164532400.63433871</v>
      </c>
      <c r="DB34" s="20">
        <f t="shared" si="45"/>
        <v>164532400.63433871</v>
      </c>
      <c r="DC34" s="20">
        <f>+MOP_Mes_Corriente!DC35*MOP_Mes_Constante!$DC$1</f>
        <v>0</v>
      </c>
      <c r="DD34" s="20">
        <f>+MOP_Mes_Corriente!DD35*MOP_Mes_Constante!$DC$1</f>
        <v>2429067.510749924</v>
      </c>
      <c r="DE34" s="20">
        <f>+MOP_Mes_Corriente!DE35*MOP_Mes_Constante!$DC$1</f>
        <v>11130217.628844775</v>
      </c>
      <c r="DF34" s="20">
        <f>+MOP_Mes_Corriente!DF35*MOP_Mes_Constante!$DC$1</f>
        <v>19608870.058018733</v>
      </c>
      <c r="DG34" s="20">
        <f>+MOP_Mes_Corriente!DG35*MOP_Mes_Constante!$DC$1</f>
        <v>25950781.9553544</v>
      </c>
      <c r="DH34" s="20">
        <f>+MOP_Mes_Corriente!DH35*MOP_Mes_Constante!$DC$1</f>
        <v>34652075.94012963</v>
      </c>
      <c r="DI34" s="20">
        <f>+MOP_Mes_Corriente!DI35*MOP_Mes_Constante!$DC$1</f>
        <v>45543741.257689558</v>
      </c>
      <c r="DJ34" s="20">
        <f>+MOP_Mes_Corriente!DJ35*MOP_Mes_Constante!$DC$1</f>
        <v>52743959.522271395</v>
      </c>
      <c r="DK34" s="20">
        <f>+MOP_Mes_Corriente!DK35*MOP_Mes_Constante!$DC$1</f>
        <v>62404736.3651888</v>
      </c>
      <c r="DL34" s="20">
        <f>+MOP_Mes_Corriente!DL35*MOP_Mes_Constante!$DC$1</f>
        <v>77500227.669992834</v>
      </c>
      <c r="DM34" s="20">
        <f>+MOP_Mes_Corriente!DM35*MOP_Mes_Constante!$DC$1</f>
        <v>93808012.680999935</v>
      </c>
      <c r="DN34" s="20">
        <f>+MOP_Mes_Corriente!DN35*MOP_Mes_Constante!$DC$1</f>
        <v>144423924.3660118</v>
      </c>
      <c r="DO34" s="20">
        <f t="shared" si="46"/>
        <v>144423924.3660118</v>
      </c>
      <c r="DP34" s="20">
        <f>+MOP_Mes_Corriente!DP35*MOP_Mes_Constante!$DP$1</f>
        <v>0</v>
      </c>
      <c r="DQ34" s="20">
        <f>+MOP_Mes_Corriente!DQ35*MOP_Mes_Constante!$DP$1</f>
        <v>6954860.7381235166</v>
      </c>
      <c r="DR34" s="20">
        <f>+MOP_Mes_Corriente!DR35*MOP_Mes_Constante!$DP$1</f>
        <v>23076064.521377675</v>
      </c>
      <c r="DS34" s="20">
        <f>+MOP_Mes_Corriente!DS35*MOP_Mes_Constante!$DP$1</f>
        <v>35625234.065914489</v>
      </c>
      <c r="DT34" s="20">
        <f>+MOP_Mes_Corriente!DT35*MOP_Mes_Constante!$DP$1</f>
        <v>51447766.815320671</v>
      </c>
      <c r="DU34" s="20">
        <f>+MOP_Mes_Corriente!DU35*MOP_Mes_Constante!$DP$1</f>
        <v>68766867.436460808</v>
      </c>
      <c r="DV34" s="20">
        <f>+MOP_Mes_Corriente!DV35*MOP_Mes_Constante!$DP$1</f>
        <v>85834289.421021387</v>
      </c>
      <c r="DW34" s="20">
        <f>+MOP_Mes_Corriente!DW35*MOP_Mes_Constante!$DP$1</f>
        <v>100364418.24406177</v>
      </c>
      <c r="DX34" s="20">
        <f>+MOP_Mes_Corriente!DX35*MOP_Mes_Constante!$DP$1</f>
        <v>112596730.54453683</v>
      </c>
      <c r="DY34" s="20">
        <f>+MOP_Mes_Corriente!DY35*MOP_Mes_Constante!$DP$1</f>
        <v>121911752.18408552</v>
      </c>
      <c r="DZ34" s="20">
        <f>+MOP_Mes_Corriente!DZ35*MOP_Mes_Constante!$DP$1</f>
        <v>139924451.59204277</v>
      </c>
      <c r="EA34" s="20">
        <f>+MOP_Mes_Corriente!EA35*MOP_Mes_Constante!$DP$1</f>
        <v>211899374.94477436</v>
      </c>
      <c r="EB34" s="20">
        <f t="shared" si="47"/>
        <v>211899374.94477436</v>
      </c>
      <c r="EC34" s="20">
        <f>+MOP_Mes_Corriente!EC35*MOP_Mes_Constante!$EC$1</f>
        <v>0</v>
      </c>
      <c r="ED34" s="20">
        <f>+MOP_Mes_Corriente!ED35*MOP_Mes_Constante!$EC$1</f>
        <v>6596864.735845482</v>
      </c>
      <c r="EE34" s="20">
        <f>+MOP_Mes_Corriente!EE35*MOP_Mes_Constante!$EC$1</f>
        <v>24713366.506343488</v>
      </c>
      <c r="EF34" s="20">
        <f>+MOP_Mes_Corriente!EF35*MOP_Mes_Constante!$EC$1</f>
        <v>41277154.575837895</v>
      </c>
      <c r="EG34" s="20">
        <f>+MOP_Mes_Corriente!EG35*MOP_Mes_Constante!$EC$1</f>
        <v>60640406.875591725</v>
      </c>
      <c r="EH34" s="20">
        <f>+MOP_Mes_Corriente!EH35*MOP_Mes_Constante!$EC$1</f>
        <v>123454653.27665211</v>
      </c>
      <c r="EI34" s="20">
        <f>+MOP_Mes_Corriente!EI35*MOP_Mes_Constante!$EC$1</f>
        <v>141381021.75099409</v>
      </c>
      <c r="EJ34" s="20">
        <f>+MOP_Mes_Corriente!EJ35*MOP_Mes_Constante!$EC$1</f>
        <v>162514186.74228361</v>
      </c>
      <c r="EK34" s="20">
        <f>+MOP_Mes_Corriente!EK35*MOP_Mes_Constante!$EC$1</f>
        <v>181174713.7282711</v>
      </c>
      <c r="EL34" s="20">
        <f>+MOP_Mes_Corriente!EL35*MOP_Mes_Constante!$EC$1</f>
        <v>200168571.64362803</v>
      </c>
      <c r="EM34" s="20">
        <f>+MOP_Mes_Corriente!EM35*MOP_Mes_Constante!$EC$1</f>
        <v>218882220.38231388</v>
      </c>
      <c r="EN34" s="20">
        <f>+MOP_Mes_Corriente!EN35*MOP_Mes_Constante!$EC$1</f>
        <v>252301644.44309783</v>
      </c>
      <c r="EO34" s="20">
        <f t="shared" si="48"/>
        <v>252301644.44309783</v>
      </c>
      <c r="EP34" s="20">
        <f>+MOP_Mes_Corriente!EP35*MOP_Mes_Constante!$EP$1</f>
        <v>2068692</v>
      </c>
      <c r="EQ34" s="20">
        <f>+MOP_Mes_Corriente!EQ35*MOP_Mes_Constante!$EP$1</f>
        <v>14027617</v>
      </c>
      <c r="ER34" s="20">
        <f>+MOP_Mes_Corriente!ER35*MOP_Mes_Constante!$EP$1</f>
        <v>36168803</v>
      </c>
      <c r="ES34" s="20">
        <f>+MOP_Mes_Corriente!ES35*MOP_Mes_Constante!$EP$1</f>
        <v>53822571</v>
      </c>
      <c r="ET34" s="20">
        <f>+MOP_Mes_Corriente!ET35*MOP_Mes_Constante!$EP$1</f>
        <v>71880596</v>
      </c>
      <c r="EU34" s="20">
        <f>+MOP_Mes_Corriente!EU35*MOP_Mes_Constante!$EP$1</f>
        <v>92473645</v>
      </c>
      <c r="EV34" s="20">
        <f>+MOP_Mes_Corriente!EV35*MOP_Mes_Constante!$EP$1</f>
        <v>108898696</v>
      </c>
      <c r="EW34" s="20">
        <f>+MOP_Mes_Corriente!EW35*MOP_Mes_Constante!$EP$1</f>
        <v>131234326</v>
      </c>
      <c r="EX34" s="20">
        <f>+MOP_Mes_Corriente!EX35*MOP_Mes_Constante!$EP$1</f>
        <v>152827107</v>
      </c>
      <c r="EY34" s="20">
        <f>+MOP_Mes_Corriente!EY35*MOP_Mes_Constante!$EP$1</f>
        <v>173770614</v>
      </c>
      <c r="EZ34" s="20">
        <f>+MOP_Mes_Corriente!EZ35*MOP_Mes_Constante!$EP$1</f>
        <v>201417551</v>
      </c>
      <c r="FA34" s="20">
        <f>+MOP_Mes_Corriente!FA35*MOP_Mes_Constante!$EP$1</f>
        <v>252789386</v>
      </c>
      <c r="FB34" s="20">
        <f t="shared" si="49"/>
        <v>252789386</v>
      </c>
      <c r="FC34" s="20">
        <f>+MOP_Mes_Corriente!FC35*MOP_Mes_Constante!$FC$1</f>
        <v>0</v>
      </c>
      <c r="FD34" s="20">
        <f>+MOP_Mes_Corriente!FD35*MOP_Mes_Constante!$FC$1</f>
        <v>9585447</v>
      </c>
      <c r="FE34" s="20">
        <f>+MOP_Mes_Corriente!FE35*MOP_Mes_Constante!$FC$1</f>
        <v>24838996</v>
      </c>
      <c r="FF34" s="20">
        <f>+MOP_Mes_Corriente!FF35*MOP_Mes_Constante!$FC$1</f>
        <v>36118123</v>
      </c>
      <c r="FG34" s="20">
        <f>+MOP_Mes_Corriente!FG35*MOP_Mes_Constante!$FC$1</f>
        <v>47381569</v>
      </c>
      <c r="FH34" s="20">
        <f>+MOP_Mes_Corriente!FH35*MOP_Mes_Constante!$FC$1</f>
        <v>59374806</v>
      </c>
      <c r="FI34" s="20">
        <f>+MOP_Mes_Corriente!FI35*MOP_Mes_Constante!$FC$1</f>
        <v>73650703</v>
      </c>
      <c r="FJ34" s="10"/>
      <c r="FK34" s="10"/>
      <c r="FL34" s="10"/>
      <c r="FM34" s="10"/>
      <c r="FN34" s="10"/>
      <c r="FO34" s="20">
        <f t="shared" si="50"/>
        <v>73650703</v>
      </c>
    </row>
    <row r="35" spans="1:171" ht="27.75" customHeight="1">
      <c r="A35" s="10"/>
      <c r="B35" s="19" t="s">
        <v>45</v>
      </c>
      <c r="C35" s="20">
        <f>+MOP_Mes_Corriente!C36*MOP_Mes_Constante!$C$1</f>
        <v>0</v>
      </c>
      <c r="D35" s="20">
        <f>+MOP_Mes_Corriente!D36*MOP_Mes_Constante!$C$1</f>
        <v>0</v>
      </c>
      <c r="E35" s="20">
        <f>+MOP_Mes_Corriente!E36*MOP_Mes_Constante!$C$1</f>
        <v>3440218.7248998969</v>
      </c>
      <c r="F35" s="20">
        <f>+MOP_Mes_Corriente!F36*MOP_Mes_Constante!$C$1</f>
        <v>18339479.770428594</v>
      </c>
      <c r="G35" s="20">
        <f>+MOP_Mes_Corriente!G36*MOP_Mes_Constante!$C$1</f>
        <v>26593509.699836873</v>
      </c>
      <c r="H35" s="20">
        <f>+MOP_Mes_Corriente!H36*MOP_Mes_Constante!$C$1</f>
        <v>34842840.622868165</v>
      </c>
      <c r="I35" s="20">
        <f>+MOP_Mes_Corriente!I36*MOP_Mes_Constante!$C$1</f>
        <v>43055796.375500523</v>
      </c>
      <c r="J35" s="20">
        <f>+MOP_Mes_Corriente!J36*MOP_Mes_Constante!$C$1</f>
        <v>50776223.344208814</v>
      </c>
      <c r="K35" s="20">
        <f>+MOP_Mes_Corriente!K36*MOP_Mes_Constante!$C$1</f>
        <v>59702250.073854379</v>
      </c>
      <c r="L35" s="20">
        <f>+MOP_Mes_Corriente!L36*MOP_Mes_Constante!$C$1</f>
        <v>69428248.611893833</v>
      </c>
      <c r="M35" s="20">
        <f>+MOP_Mes_Corriente!M36*MOP_Mes_Constante!$C$1</f>
        <v>80066387.481239811</v>
      </c>
      <c r="N35" s="20">
        <f>+MOP_Mes_Corriente!N36*MOP_Mes_Constante!$C$1</f>
        <v>109239904.45617679</v>
      </c>
      <c r="O35" s="20">
        <f t="shared" si="38"/>
        <v>109239904.45617679</v>
      </c>
      <c r="P35" s="20">
        <f>+MOP_Mes_Corriente!P36*MOP_Mes_Constante!$P$1</f>
        <v>5714682.9478619099</v>
      </c>
      <c r="Q35" s="20">
        <f>+MOP_Mes_Corriente!Q36*MOP_Mes_Constante!$P$1</f>
        <v>13255032.353743425</v>
      </c>
      <c r="R35" s="20">
        <f>+MOP_Mes_Corriente!R36*MOP_Mes_Constante!$P$1</f>
        <v>28802328.331581179</v>
      </c>
      <c r="S35" s="20">
        <f>+MOP_Mes_Corriente!S36*MOP_Mes_Constante!$P$1</f>
        <v>40892651.258417375</v>
      </c>
      <c r="T35" s="20">
        <f>+MOP_Mes_Corriente!T36*MOP_Mes_Constante!$P$1</f>
        <v>51662317.412416518</v>
      </c>
      <c r="U35" s="20">
        <f>+MOP_Mes_Corriente!U36*MOP_Mes_Constante!$P$1</f>
        <v>60354433.925557584</v>
      </c>
      <c r="V35" s="20">
        <f>+MOP_Mes_Corriente!V36*MOP_Mes_Constante!$P$1</f>
        <v>71256208.597812161</v>
      </c>
      <c r="W35" s="20">
        <f>+MOP_Mes_Corriente!W36*MOP_Mes_Constante!$P$1</f>
        <v>80202469.862480432</v>
      </c>
      <c r="X35" s="20">
        <f>+MOP_Mes_Corriente!X36*MOP_Mes_Constante!$P$1</f>
        <v>90521674.064213634</v>
      </c>
      <c r="Y35" s="20">
        <f>+MOP_Mes_Corriente!Y36*MOP_Mes_Constante!$P$1</f>
        <v>99254206.998437241</v>
      </c>
      <c r="Z35" s="20">
        <f>+MOP_Mes_Corriente!Z36*MOP_Mes_Constante!$P$1</f>
        <v>112855569.80338112</v>
      </c>
      <c r="AA35" s="20">
        <f>+MOP_Mes_Corriente!AA36*MOP_Mes_Constante!$P$1</f>
        <v>145173265.29308134</v>
      </c>
      <c r="AB35" s="20">
        <f t="shared" si="39"/>
        <v>145173265.29308134</v>
      </c>
      <c r="AC35" s="20">
        <f>+MOP_Mes_Corriente!AC36*MOP_Mes_Constante!$AC$1</f>
        <v>0</v>
      </c>
      <c r="AD35" s="20">
        <f>+MOP_Mes_Corriente!AD36*MOP_Mes_Constante!$AC$1</f>
        <v>11319354.136948403</v>
      </c>
      <c r="AE35" s="20">
        <f>+MOP_Mes_Corriente!AE36*MOP_Mes_Constante!$AC$1</f>
        <v>22080200.596209712</v>
      </c>
      <c r="AF35" s="20">
        <f>+MOP_Mes_Corriente!AF36*MOP_Mes_Constante!$AC$1</f>
        <v>30345118.809793886</v>
      </c>
      <c r="AG35" s="20">
        <f>+MOP_Mes_Corriente!AG36*MOP_Mes_Constante!$AC$1</f>
        <v>37951112.619449437</v>
      </c>
      <c r="AH35" s="20">
        <f>+MOP_Mes_Corriente!AH36*MOP_Mes_Constante!$AC$1</f>
        <v>47973281.97842025</v>
      </c>
      <c r="AI35" s="20">
        <f>+MOP_Mes_Corriente!AI36*MOP_Mes_Constante!$AC$1</f>
        <v>55311205.64504081</v>
      </c>
      <c r="AJ35" s="20">
        <f>+MOP_Mes_Corriente!AJ36*MOP_Mes_Constante!$AC$1</f>
        <v>66438497.055471018</v>
      </c>
      <c r="AK35" s="20">
        <f>+MOP_Mes_Corriente!AK36*MOP_Mes_Constante!$AC$1</f>
        <v>73829029.963757083</v>
      </c>
      <c r="AL35" s="20">
        <f>+MOP_Mes_Corriente!AL36*MOP_Mes_Constante!$AC$1</f>
        <v>81605621.421496749</v>
      </c>
      <c r="AM35" s="20">
        <f>+MOP_Mes_Corriente!AM36*MOP_Mes_Constante!$AC$1</f>
        <v>91191229.898187861</v>
      </c>
      <c r="AN35" s="20">
        <f>+MOP_Mes_Corriente!AN36*MOP_Mes_Constante!$AC$1</f>
        <v>121324057.23834555</v>
      </c>
      <c r="AO35" s="20">
        <f t="shared" si="40"/>
        <v>121324057.23834555</v>
      </c>
      <c r="AP35" s="20">
        <f>+MOP_Mes_Corriente!AP36*MOP_Mes_Constante!$AP$1</f>
        <v>0</v>
      </c>
      <c r="AQ35" s="20">
        <f>+MOP_Mes_Corriente!AQ36*MOP_Mes_Constante!$AP$1</f>
        <v>10992419.084539428</v>
      </c>
      <c r="AR35" s="20">
        <f>+MOP_Mes_Corriente!AR36*MOP_Mes_Constante!$AP$1</f>
        <v>23051986.042472608</v>
      </c>
      <c r="AS35" s="20">
        <f>+MOP_Mes_Corriente!AS36*MOP_Mes_Constante!$AP$1</f>
        <v>33849532.756661706</v>
      </c>
      <c r="AT35" s="20">
        <f>+MOP_Mes_Corriente!AT36*MOP_Mes_Constante!$AP$1</f>
        <v>43481597.597457051</v>
      </c>
      <c r="AU35" s="20">
        <f>+MOP_Mes_Corriente!AU36*MOP_Mes_Constante!$AP$1</f>
        <v>54896025.118896253</v>
      </c>
      <c r="AV35" s="20">
        <f>+MOP_Mes_Corriente!AV36*MOP_Mes_Constante!$AP$1</f>
        <v>66056246.163668327</v>
      </c>
      <c r="AW35" s="20">
        <f>+MOP_Mes_Corriente!AW36*MOP_Mes_Constante!$AP$1</f>
        <v>77925783.77870959</v>
      </c>
      <c r="AX35" s="20">
        <f>+MOP_Mes_Corriente!AX36*MOP_Mes_Constante!$AP$1</f>
        <v>89358098.136074662</v>
      </c>
      <c r="AY35" s="20">
        <f>+MOP_Mes_Corriente!AY36*MOP_Mes_Constante!$AP$1</f>
        <v>99057900.334370345</v>
      </c>
      <c r="AZ35" s="20">
        <f>+MOP_Mes_Corriente!AZ36*MOP_Mes_Constante!$AP$1</f>
        <v>112499980.93602055</v>
      </c>
      <c r="BA35" s="20">
        <f>+MOP_Mes_Corriente!BA36*MOP_Mes_Constante!$AP$1</f>
        <v>148087995.02718788</v>
      </c>
      <c r="BB35" s="20">
        <f t="shared" si="41"/>
        <v>148087995.02718788</v>
      </c>
      <c r="BC35" s="20">
        <f>+MOP_Mes_Corriente!BC36*MOP_Mes_Constante!$BC$1</f>
        <v>0</v>
      </c>
      <c r="BD35" s="20">
        <f>+MOP_Mes_Corriente!BD36*MOP_Mes_Constante!$BC$1</f>
        <v>2218669.6101806676</v>
      </c>
      <c r="BE35" s="20">
        <f>+MOP_Mes_Corriente!BE36*MOP_Mes_Constante!$BC$1</f>
        <v>14379868.10259792</v>
      </c>
      <c r="BF35" s="20">
        <f>+MOP_Mes_Corriente!BF36*MOP_Mes_Constante!$BC$1</f>
        <v>23039834.721877892</v>
      </c>
      <c r="BG35" s="20">
        <f>+MOP_Mes_Corriente!BG36*MOP_Mes_Constante!$BC$1</f>
        <v>38200713.706976138</v>
      </c>
      <c r="BH35" s="20">
        <f>+MOP_Mes_Corriente!BH36*MOP_Mes_Constante!$BC$1</f>
        <v>47021917.713042341</v>
      </c>
      <c r="BI35" s="20">
        <f>+MOP_Mes_Corriente!BI36*MOP_Mes_Constante!$BC$1</f>
        <v>56011105.186865367</v>
      </c>
      <c r="BJ35" s="20">
        <f>+MOP_Mes_Corriente!BJ36*MOP_Mes_Constante!$BC$1</f>
        <v>64122633.578003444</v>
      </c>
      <c r="BK35" s="20">
        <f>+MOP_Mes_Corriente!BK36*MOP_Mes_Constante!$BC$1</f>
        <v>73663178.451272607</v>
      </c>
      <c r="BL35" s="20">
        <f>+MOP_Mes_Corriente!BL36*MOP_Mes_Constante!$BC$1</f>
        <v>84955668.449426368</v>
      </c>
      <c r="BM35" s="20">
        <f>+MOP_Mes_Corriente!BM36*MOP_Mes_Constante!$BC$1</f>
        <v>103684126.33680604</v>
      </c>
      <c r="BN35" s="20">
        <f>+MOP_Mes_Corriente!BN36*MOP_Mes_Constante!$BC$1</f>
        <v>146732822.80891472</v>
      </c>
      <c r="BO35" s="20">
        <f t="shared" si="42"/>
        <v>146732822.80891472</v>
      </c>
      <c r="BP35" s="20">
        <f>+MOP_Mes_Corriente!BP36*MOP_Mes_Constante!$BP$1</f>
        <v>0</v>
      </c>
      <c r="BQ35" s="20">
        <f>+MOP_Mes_Corriente!BQ36*MOP_Mes_Constante!$BP$1</f>
        <v>11952631.302176697</v>
      </c>
      <c r="BR35" s="20">
        <f>+MOP_Mes_Corriente!BR36*MOP_Mes_Constante!$BP$1</f>
        <v>23072996.588220231</v>
      </c>
      <c r="BS35" s="20">
        <f>+MOP_Mes_Corriente!BS36*MOP_Mes_Constante!$BP$1</f>
        <v>35562490.400512166</v>
      </c>
      <c r="BT35" s="20">
        <f>+MOP_Mes_Corriente!BT36*MOP_Mes_Constante!$BP$1</f>
        <v>46510566.236619726</v>
      </c>
      <c r="BU35" s="20">
        <f>+MOP_Mes_Corriente!BU36*MOP_Mes_Constante!$BP$1</f>
        <v>55209199.710883491</v>
      </c>
      <c r="BV35" s="20">
        <f>+MOP_Mes_Corriente!BV36*MOP_Mes_Constante!$BP$1</f>
        <v>63539175.11600513</v>
      </c>
      <c r="BW35" s="20">
        <f>+MOP_Mes_Corriente!BW36*MOP_Mes_Constante!$BP$1</f>
        <v>76691528.783354685</v>
      </c>
      <c r="BX35" s="20">
        <f>+MOP_Mes_Corriente!BX36*MOP_Mes_Constante!$BP$1</f>
        <v>87410144.629705518</v>
      </c>
      <c r="BY35" s="20">
        <f>+MOP_Mes_Corriente!BY36*MOP_Mes_Constante!$BP$1</f>
        <v>99427369.436619729</v>
      </c>
      <c r="BZ35" s="20">
        <f>+MOP_Mes_Corriente!BZ36*MOP_Mes_Constante!$BP$1</f>
        <v>113001290.43303458</v>
      </c>
      <c r="CA35" s="20">
        <f>+MOP_Mes_Corriente!CA36*MOP_Mes_Constante!$BP$1</f>
        <v>153543290.64430219</v>
      </c>
      <c r="CB35" s="20">
        <f t="shared" si="43"/>
        <v>153543290.64430219</v>
      </c>
      <c r="CC35" s="20">
        <f>+MOP_Mes_Corriente!CC36*MOP_Mes_Constante!$CC$1</f>
        <v>0</v>
      </c>
      <c r="CD35" s="20">
        <f>+MOP_Mes_Corriente!CD36*MOP_Mes_Constante!$CC$1</f>
        <v>0</v>
      </c>
      <c r="CE35" s="20">
        <f>+MOP_Mes_Corriente!CE36*MOP_Mes_Constante!$CC$1</f>
        <v>19081849.42782544</v>
      </c>
      <c r="CF35" s="20">
        <f>+MOP_Mes_Corriente!CF36*MOP_Mes_Constante!$CC$1</f>
        <v>32569459.161506902</v>
      </c>
      <c r="CG35" s="20">
        <f>+MOP_Mes_Corriente!CG36*MOP_Mes_Constante!$CC$1</f>
        <v>44738059.027228653</v>
      </c>
      <c r="CH35" s="20">
        <f>+MOP_Mes_Corriente!CH36*MOP_Mes_Constante!$CC$1</f>
        <v>60418971.905259237</v>
      </c>
      <c r="CI35" s="20">
        <f>+MOP_Mes_Corriente!CI36*MOP_Mes_Constante!$CC$1</f>
        <v>74398166.056695268</v>
      </c>
      <c r="CJ35" s="20">
        <f>+MOP_Mes_Corriente!CJ36*MOP_Mes_Constante!$CC$1</f>
        <v>87760020.152182028</v>
      </c>
      <c r="CK35" s="20">
        <f>+MOP_Mes_Corriente!CK36*MOP_Mes_Constante!$CC$1</f>
        <v>102137742.29317419</v>
      </c>
      <c r="CL35" s="20">
        <f>+MOP_Mes_Corriente!CL36*MOP_Mes_Constante!$CC$1</f>
        <v>124493160.15442</v>
      </c>
      <c r="CM35" s="20">
        <f>+MOP_Mes_Corriente!CM36*MOP_Mes_Constante!$CC$1</f>
        <v>153384833.71130177</v>
      </c>
      <c r="CN35" s="20">
        <f>+MOP_Mes_Corriente!CN36*MOP_Mes_Constante!$CC$1</f>
        <v>197652316.72435659</v>
      </c>
      <c r="CO35" s="20">
        <f t="shared" si="44"/>
        <v>197652316.72435659</v>
      </c>
      <c r="CP35" s="20">
        <f>+MOP_Mes_Corriente!CP36*MOP_Mes_Constante!$CP$1</f>
        <v>0</v>
      </c>
      <c r="CQ35" s="20">
        <f>+MOP_Mes_Corriente!CQ36*MOP_Mes_Constante!$CP$1</f>
        <v>8449691.8134570755</v>
      </c>
      <c r="CR35" s="20">
        <f>+MOP_Mes_Corriente!CR36*MOP_Mes_Constante!$CP$1</f>
        <v>27717710.558700692</v>
      </c>
      <c r="CS35" s="20">
        <f>+MOP_Mes_Corriente!CS36*MOP_Mes_Constante!$CP$1</f>
        <v>45188725.52088166</v>
      </c>
      <c r="CT35" s="20">
        <f>+MOP_Mes_Corriente!CT36*MOP_Mes_Constante!$CP$1</f>
        <v>59937995.296983749</v>
      </c>
      <c r="CU35" s="20">
        <f>+MOP_Mes_Corriente!CU36*MOP_Mes_Constante!$CP$1</f>
        <v>73857592.545243606</v>
      </c>
      <c r="CV35" s="20">
        <f>+MOP_Mes_Corriente!CV36*MOP_Mes_Constante!$CP$1</f>
        <v>85172383.227842212</v>
      </c>
      <c r="CW35" s="20">
        <f>+MOP_Mes_Corriente!CW36*MOP_Mes_Constante!$CP$1</f>
        <v>96577374.251276076</v>
      </c>
      <c r="CX35" s="20">
        <f>+MOP_Mes_Corriente!CX36*MOP_Mes_Constante!$CP$1</f>
        <v>110084729.20997678</v>
      </c>
      <c r="CY35" s="20">
        <f>+MOP_Mes_Corriente!CY36*MOP_Mes_Constante!$CP$1</f>
        <v>127417465.62877028</v>
      </c>
      <c r="CZ35" s="20">
        <f>+MOP_Mes_Corriente!CZ36*MOP_Mes_Constante!$CP$1</f>
        <v>145290360.92575404</v>
      </c>
      <c r="DA35" s="20">
        <f>+MOP_Mes_Corriente!DA36*MOP_Mes_Constante!$CP$1</f>
        <v>175989918.84640369</v>
      </c>
      <c r="DB35" s="20">
        <f t="shared" si="45"/>
        <v>175989918.84640369</v>
      </c>
      <c r="DC35" s="20">
        <f>+MOP_Mes_Corriente!DC36*MOP_Mes_Constante!$DC$1</f>
        <v>0</v>
      </c>
      <c r="DD35" s="20">
        <f>+MOP_Mes_Corriente!DD36*MOP_Mes_Constante!$DC$1</f>
        <v>0</v>
      </c>
      <c r="DE35" s="20">
        <f>+MOP_Mes_Corriente!DE36*MOP_Mes_Constante!$DC$1</f>
        <v>8151631.1011212878</v>
      </c>
      <c r="DF35" s="20">
        <f>+MOP_Mes_Corriente!DF36*MOP_Mes_Constante!$DC$1</f>
        <v>20371687.164077781</v>
      </c>
      <c r="DG35" s="20">
        <f>+MOP_Mes_Corriente!DG36*MOP_Mes_Constante!$DC$1</f>
        <v>29672955.784178596</v>
      </c>
      <c r="DH35" s="20">
        <f>+MOP_Mes_Corriente!DH36*MOP_Mes_Constante!$DC$1</f>
        <v>37388739.405205242</v>
      </c>
      <c r="DI35" s="20">
        <f>+MOP_Mes_Corriente!DI36*MOP_Mes_Constante!$DC$1</f>
        <v>46110917.661763214</v>
      </c>
      <c r="DJ35" s="20">
        <f>+MOP_Mes_Corriente!DJ36*MOP_Mes_Constante!$DC$1</f>
        <v>54060589.16654668</v>
      </c>
      <c r="DK35" s="20">
        <f>+MOP_Mes_Corriente!DK36*MOP_Mes_Constante!$DC$1</f>
        <v>63520766.402839243</v>
      </c>
      <c r="DL35" s="20">
        <f>+MOP_Mes_Corriente!DL36*MOP_Mes_Constante!$DC$1</f>
        <v>72915820.363131404</v>
      </c>
      <c r="DM35" s="20">
        <f>+MOP_Mes_Corriente!DM36*MOP_Mes_Constante!$DC$1</f>
        <v>87432592.210677952</v>
      </c>
      <c r="DN35" s="20">
        <f>+MOP_Mes_Corriente!DN36*MOP_Mes_Constante!$DC$1</f>
        <v>122482575.28978506</v>
      </c>
      <c r="DO35" s="20">
        <f t="shared" si="46"/>
        <v>122482575.28978506</v>
      </c>
      <c r="DP35" s="20">
        <f>+MOP_Mes_Corriente!DP36*MOP_Mes_Constante!$DP$1</f>
        <v>0</v>
      </c>
      <c r="DQ35" s="20">
        <f>+MOP_Mes_Corriente!DQ36*MOP_Mes_Constante!$DP$1</f>
        <v>2490532.1739904992</v>
      </c>
      <c r="DR35" s="20">
        <f>+MOP_Mes_Corriente!DR36*MOP_Mes_Constante!$DP$1</f>
        <v>31990288.818883613</v>
      </c>
      <c r="DS35" s="20">
        <f>+MOP_Mes_Corriente!DS36*MOP_Mes_Constante!$DP$1</f>
        <v>53489619.295724474</v>
      </c>
      <c r="DT35" s="20">
        <f>+MOP_Mes_Corriente!DT36*MOP_Mes_Constante!$DP$1</f>
        <v>74271454.145486936</v>
      </c>
      <c r="DU35" s="20">
        <f>+MOP_Mes_Corriente!DU36*MOP_Mes_Constante!$DP$1</f>
        <v>91706691.096199527</v>
      </c>
      <c r="DV35" s="20">
        <f>+MOP_Mes_Corriente!DV36*MOP_Mes_Constante!$DP$1</f>
        <v>111126237.3598575</v>
      </c>
      <c r="DW35" s="20">
        <f>+MOP_Mes_Corriente!DW36*MOP_Mes_Constante!$DP$1</f>
        <v>130084817.58669835</v>
      </c>
      <c r="DX35" s="20">
        <f>+MOP_Mes_Corriente!DX36*MOP_Mes_Constante!$DP$1</f>
        <v>147051141.63064134</v>
      </c>
      <c r="DY35" s="20">
        <f>+MOP_Mes_Corriente!DY36*MOP_Mes_Constante!$DP$1</f>
        <v>168711272.67933494</v>
      </c>
      <c r="DZ35" s="20">
        <f>+MOP_Mes_Corriente!DZ36*MOP_Mes_Constante!$DP$1</f>
        <v>198132954.489905</v>
      </c>
      <c r="EA35" s="20">
        <f>+MOP_Mes_Corriente!EA36*MOP_Mes_Constante!$DP$1</f>
        <v>263890784.87351546</v>
      </c>
      <c r="EB35" s="20">
        <f t="shared" si="47"/>
        <v>263890784.87351546</v>
      </c>
      <c r="EC35" s="20">
        <f>+MOP_Mes_Corriente!EC36*MOP_Mes_Constante!$EC$1</f>
        <v>0</v>
      </c>
      <c r="ED35" s="20">
        <f>+MOP_Mes_Corriente!ED36*MOP_Mes_Constante!$EC$1</f>
        <v>11404963.688884677</v>
      </c>
      <c r="EE35" s="20">
        <f>+MOP_Mes_Corriente!EE36*MOP_Mes_Constante!$EC$1</f>
        <v>26215530.130088989</v>
      </c>
      <c r="EF35" s="20">
        <f>+MOP_Mes_Corriente!EF36*MOP_Mes_Constante!$EC$1</f>
        <v>44918638.723537192</v>
      </c>
      <c r="EG35" s="20">
        <f>+MOP_Mes_Corriente!EG36*MOP_Mes_Constante!$EC$1</f>
        <v>61790105.104714997</v>
      </c>
      <c r="EH35" s="20">
        <f>+MOP_Mes_Corriente!EH36*MOP_Mes_Constante!$EC$1</f>
        <v>83658357.555576563</v>
      </c>
      <c r="EI35" s="20">
        <f>+MOP_Mes_Corriente!EI36*MOP_Mes_Constante!$EC$1</f>
        <v>94073796.189168692</v>
      </c>
      <c r="EJ35" s="20">
        <f>+MOP_Mes_Corriente!EJ36*MOP_Mes_Constante!$EC$1</f>
        <v>108502605.37663318</v>
      </c>
      <c r="EK35" s="20">
        <f>+MOP_Mes_Corriente!EK36*MOP_Mes_Constante!$EC$1</f>
        <v>125734754.92785454</v>
      </c>
      <c r="EL35" s="20">
        <f>+MOP_Mes_Corriente!EL36*MOP_Mes_Constante!$EC$1</f>
        <v>139361243.79094863</v>
      </c>
      <c r="EM35" s="20">
        <f>+MOP_Mes_Corriente!EM36*MOP_Mes_Constante!$EC$1</f>
        <v>155639875.88089371</v>
      </c>
      <c r="EN35" s="20">
        <f>+MOP_Mes_Corriente!EN36*MOP_Mes_Constante!$EC$1</f>
        <v>196286692.737739</v>
      </c>
      <c r="EO35" s="20">
        <f t="shared" si="48"/>
        <v>196286692.737739</v>
      </c>
      <c r="EP35" s="20">
        <f>+MOP_Mes_Corriente!EP36*MOP_Mes_Constante!$EP$1</f>
        <v>2010108</v>
      </c>
      <c r="EQ35" s="20">
        <f>+MOP_Mes_Corriente!EQ36*MOP_Mes_Constante!$EP$1</f>
        <v>18132777</v>
      </c>
      <c r="ER35" s="20">
        <f>+MOP_Mes_Corriente!ER36*MOP_Mes_Constante!$EP$1</f>
        <v>36591973</v>
      </c>
      <c r="ES35" s="20">
        <f>+MOP_Mes_Corriente!ES36*MOP_Mes_Constante!$EP$1</f>
        <v>55560502</v>
      </c>
      <c r="ET35" s="20">
        <f>+MOP_Mes_Corriente!ET36*MOP_Mes_Constante!$EP$1</f>
        <v>73627660</v>
      </c>
      <c r="EU35" s="20">
        <f>+MOP_Mes_Corriente!EU36*MOP_Mes_Constante!$EP$1</f>
        <v>93134581</v>
      </c>
      <c r="EV35" s="20">
        <f>+MOP_Mes_Corriente!EV36*MOP_Mes_Constante!$EP$1</f>
        <v>109996503</v>
      </c>
      <c r="EW35" s="20">
        <f>+MOP_Mes_Corriente!EW36*MOP_Mes_Constante!$EP$1</f>
        <v>127458124</v>
      </c>
      <c r="EX35" s="20">
        <f>+MOP_Mes_Corriente!EX36*MOP_Mes_Constante!$EP$1</f>
        <v>147026821</v>
      </c>
      <c r="EY35" s="20">
        <f>+MOP_Mes_Corriente!EY36*MOP_Mes_Constante!$EP$1</f>
        <v>167611651</v>
      </c>
      <c r="EZ35" s="20">
        <f>+MOP_Mes_Corriente!EZ36*MOP_Mes_Constante!$EP$1</f>
        <v>186253362</v>
      </c>
      <c r="FA35" s="20">
        <f>+MOP_Mes_Corriente!FA36*MOP_Mes_Constante!$EP$1</f>
        <v>231742834</v>
      </c>
      <c r="FB35" s="20">
        <f t="shared" si="49"/>
        <v>231742834</v>
      </c>
      <c r="FC35" s="20">
        <f>+MOP_Mes_Corriente!FC36*MOP_Mes_Constante!$FC$1</f>
        <v>0</v>
      </c>
      <c r="FD35" s="20">
        <f>+MOP_Mes_Corriente!FD36*MOP_Mes_Constante!$FC$1</f>
        <v>19469514</v>
      </c>
      <c r="FE35" s="20">
        <f>+MOP_Mes_Corriente!FE36*MOP_Mes_Constante!$FC$1</f>
        <v>40366706</v>
      </c>
      <c r="FF35" s="20">
        <f>+MOP_Mes_Corriente!FF36*MOP_Mes_Constante!$FC$1</f>
        <v>60258504</v>
      </c>
      <c r="FG35" s="20">
        <f>+MOP_Mes_Corriente!FG36*MOP_Mes_Constante!$FC$1</f>
        <v>79539794</v>
      </c>
      <c r="FH35" s="20">
        <f>+MOP_Mes_Corriente!FH36*MOP_Mes_Constante!$FC$1</f>
        <v>99543928</v>
      </c>
      <c r="FI35" s="20">
        <f>+MOP_Mes_Corriente!FI36*MOP_Mes_Constante!$FC$1</f>
        <v>119758712</v>
      </c>
      <c r="FJ35" s="10"/>
      <c r="FK35" s="10"/>
      <c r="FL35" s="10"/>
      <c r="FM35" s="10"/>
      <c r="FN35" s="10"/>
      <c r="FO35" s="20">
        <f t="shared" si="50"/>
        <v>119758712</v>
      </c>
    </row>
    <row r="36" spans="1:171" ht="27.75" customHeight="1">
      <c r="A36" s="10"/>
      <c r="B36" s="19" t="s">
        <v>46</v>
      </c>
      <c r="C36" s="20">
        <f>+MOP_Mes_Corriente!C37*MOP_Mes_Constante!$C$1</f>
        <v>0</v>
      </c>
      <c r="D36" s="20">
        <f>+MOP_Mes_Corriente!D37*MOP_Mes_Constante!$C$1</f>
        <v>12072280.476642447</v>
      </c>
      <c r="E36" s="20">
        <f>+MOP_Mes_Corriente!E37*MOP_Mes_Constante!$C$1</f>
        <v>21378537.8395373</v>
      </c>
      <c r="F36" s="20">
        <f>+MOP_Mes_Corriente!F37*MOP_Mes_Constante!$C$1</f>
        <v>29641730.831380695</v>
      </c>
      <c r="G36" s="20">
        <f>+MOP_Mes_Corriente!G37*MOP_Mes_Constante!$C$1</f>
        <v>36663462.541895308</v>
      </c>
      <c r="H36" s="20">
        <f>+MOP_Mes_Corriente!H37*MOP_Mes_Constante!$C$1</f>
        <v>42801664.388551094</v>
      </c>
      <c r="I36" s="20">
        <f>+MOP_Mes_Corriente!I37*MOP_Mes_Constante!$C$1</f>
        <v>49213306.277324639</v>
      </c>
      <c r="J36" s="20">
        <f>+MOP_Mes_Corriente!J37*MOP_Mes_Constante!$C$1</f>
        <v>56535753.331454851</v>
      </c>
      <c r="K36" s="20">
        <f>+MOP_Mes_Corriente!K37*MOP_Mes_Constante!$C$1</f>
        <v>63882910.677739888</v>
      </c>
      <c r="L36" s="20">
        <f>+MOP_Mes_Corriente!L37*MOP_Mes_Constante!$C$1</f>
        <v>71898974.822482586</v>
      </c>
      <c r="M36" s="20">
        <f>+MOP_Mes_Corriente!M37*MOP_Mes_Constante!$C$1</f>
        <v>80329003.605220243</v>
      </c>
      <c r="N36" s="20">
        <f>+MOP_Mes_Corriente!N37*MOP_Mes_Constante!$C$1</f>
        <v>90516196.656384408</v>
      </c>
      <c r="O36" s="20">
        <f t="shared" si="38"/>
        <v>90516196.656384408</v>
      </c>
      <c r="P36" s="20">
        <f>+MOP_Mes_Corriente!P37*MOP_Mes_Constante!$P$1</f>
        <v>3737269.4217928671</v>
      </c>
      <c r="Q36" s="20">
        <f>+MOP_Mes_Corriente!Q37*MOP_Mes_Constante!$P$1</f>
        <v>9174640.897002412</v>
      </c>
      <c r="R36" s="20">
        <f>+MOP_Mes_Corriente!R37*MOP_Mes_Constante!$P$1</f>
        <v>15339200.614291796</v>
      </c>
      <c r="S36" s="20">
        <f>+MOP_Mes_Corriente!S37*MOP_Mes_Constante!$P$1</f>
        <v>20347869.004688159</v>
      </c>
      <c r="T36" s="20">
        <f>+MOP_Mes_Corriente!T37*MOP_Mes_Constante!$P$1</f>
        <v>24419794.712885343</v>
      </c>
      <c r="U36" s="20">
        <f>+MOP_Mes_Corriente!U37*MOP_Mes_Constante!$P$1</f>
        <v>30350625.885210957</v>
      </c>
      <c r="V36" s="20">
        <f>+MOP_Mes_Corriente!V37*MOP_Mes_Constante!$P$1</f>
        <v>37795095.333712161</v>
      </c>
      <c r="W36" s="20">
        <f>+MOP_Mes_Corriente!W37*MOP_Mes_Constante!$P$1</f>
        <v>46857109.489131965</v>
      </c>
      <c r="X36" s="20">
        <f>+MOP_Mes_Corriente!X37*MOP_Mes_Constante!$P$1</f>
        <v>55293622.174172446</v>
      </c>
      <c r="Y36" s="20">
        <f>+MOP_Mes_Corriente!Y37*MOP_Mes_Constante!$P$1</f>
        <v>65593093.141355284</v>
      </c>
      <c r="Z36" s="20">
        <f>+MOP_Mes_Corriente!Z37*MOP_Mes_Constante!$P$1</f>
        <v>77888223.852819979</v>
      </c>
      <c r="AA36" s="20">
        <f>+MOP_Mes_Corriente!AA37*MOP_Mes_Constante!$P$1</f>
        <v>102695237.30956098</v>
      </c>
      <c r="AB36" s="20">
        <f t="shared" si="39"/>
        <v>102695237.30956098</v>
      </c>
      <c r="AC36" s="20">
        <f>+MOP_Mes_Corriente!AC37*MOP_Mes_Constante!$AC$1</f>
        <v>7926337.6608106242</v>
      </c>
      <c r="AD36" s="20">
        <f>+MOP_Mes_Corriente!AD37*MOP_Mes_Constante!$AC$1</f>
        <v>15516555.348180939</v>
      </c>
      <c r="AE36" s="20">
        <f>+MOP_Mes_Corriente!AE37*MOP_Mes_Constante!$AC$1</f>
        <v>24514839.558998477</v>
      </c>
      <c r="AF36" s="20">
        <f>+MOP_Mes_Corriente!AF37*MOP_Mes_Constante!$AC$1</f>
        <v>32719988.970535342</v>
      </c>
      <c r="AG36" s="20">
        <f>+MOP_Mes_Corriente!AG37*MOP_Mes_Constante!$AC$1</f>
        <v>41394551.323557891</v>
      </c>
      <c r="AH36" s="20">
        <f>+MOP_Mes_Corriente!AH37*MOP_Mes_Constante!$AC$1</f>
        <v>51028207.599391341</v>
      </c>
      <c r="AI36" s="20">
        <f>+MOP_Mes_Corriente!AI37*MOP_Mes_Constante!$AC$1</f>
        <v>58710229.98533684</v>
      </c>
      <c r="AJ36" s="20">
        <f>+MOP_Mes_Corriente!AJ37*MOP_Mes_Constante!$AC$1</f>
        <v>65327290.05782266</v>
      </c>
      <c r="AK36" s="20">
        <f>+MOP_Mes_Corriente!AK37*MOP_Mes_Constante!$AC$1</f>
        <v>71831888.958915472</v>
      </c>
      <c r="AL36" s="20">
        <f>+MOP_Mes_Corriente!AL37*MOP_Mes_Constante!$AC$1</f>
        <v>80637091.751279563</v>
      </c>
      <c r="AM36" s="20">
        <f>+MOP_Mes_Corriente!AM37*MOP_Mes_Constante!$AC$1</f>
        <v>86865753.607967913</v>
      </c>
      <c r="AN36" s="20">
        <f>+MOP_Mes_Corriente!AN37*MOP_Mes_Constante!$AC$1</f>
        <v>100394921.09531055</v>
      </c>
      <c r="AO36" s="20">
        <f t="shared" si="40"/>
        <v>100394921.09531055</v>
      </c>
      <c r="AP36" s="20">
        <f>+MOP_Mes_Corriente!AP37*MOP_Mes_Constante!$AP$1</f>
        <v>7742738.7926416872</v>
      </c>
      <c r="AQ36" s="20">
        <f>+MOP_Mes_Corriente!AQ37*MOP_Mes_Constante!$AP$1</f>
        <v>14238341.11619099</v>
      </c>
      <c r="AR36" s="20">
        <f>+MOP_Mes_Corriente!AR37*MOP_Mes_Constante!$AP$1</f>
        <v>21053086.68280806</v>
      </c>
      <c r="AS36" s="20">
        <f>+MOP_Mes_Corriente!AS37*MOP_Mes_Constante!$AP$1</f>
        <v>28093880.592993371</v>
      </c>
      <c r="AT36" s="20">
        <f>+MOP_Mes_Corriente!AT37*MOP_Mes_Constante!$AP$1</f>
        <v>34694043.243879341</v>
      </c>
      <c r="AU36" s="20">
        <f>+MOP_Mes_Corriente!AU37*MOP_Mes_Constante!$AP$1</f>
        <v>41210859.121330984</v>
      </c>
      <c r="AV36" s="20">
        <f>+MOP_Mes_Corriente!AV37*MOP_Mes_Constante!$AP$1</f>
        <v>47905822.150412552</v>
      </c>
      <c r="AW36" s="20">
        <f>+MOP_Mes_Corriente!AW37*MOP_Mes_Constante!$AP$1</f>
        <v>55055312.986608952</v>
      </c>
      <c r="AX36" s="20">
        <f>+MOP_Mes_Corriente!AX37*MOP_Mes_Constante!$AP$1</f>
        <v>61539856.300554574</v>
      </c>
      <c r="AY36" s="20">
        <f>+MOP_Mes_Corriente!AY37*MOP_Mes_Constante!$AP$1</f>
        <v>71396326.07737048</v>
      </c>
      <c r="AZ36" s="20">
        <f>+MOP_Mes_Corriente!AZ37*MOP_Mes_Constante!$AP$1</f>
        <v>83355030.374949276</v>
      </c>
      <c r="BA36" s="20">
        <f>+MOP_Mes_Corriente!BA37*MOP_Mes_Constante!$AP$1</f>
        <v>106660178.02975787</v>
      </c>
      <c r="BB36" s="20">
        <f t="shared" si="41"/>
        <v>106660178.02975787</v>
      </c>
      <c r="BC36" s="20">
        <f>+MOP_Mes_Corriente!BC37*MOP_Mes_Constante!$BC$1</f>
        <v>5467473.8533561928</v>
      </c>
      <c r="BD36" s="20">
        <f>+MOP_Mes_Corriente!BD37*MOP_Mes_Constante!$BC$1</f>
        <v>12805810.879599106</v>
      </c>
      <c r="BE36" s="20">
        <f>+MOP_Mes_Corriente!BE37*MOP_Mes_Constante!$BC$1</f>
        <v>18841371.894500863</v>
      </c>
      <c r="BF36" s="20">
        <f>+MOP_Mes_Corriente!BF37*MOP_Mes_Constante!$BC$1</f>
        <v>23487047.15495187</v>
      </c>
      <c r="BG36" s="20">
        <f>+MOP_Mes_Corriente!BG37*MOP_Mes_Constante!$BC$1</f>
        <v>27748371.584333383</v>
      </c>
      <c r="BH36" s="20">
        <f>+MOP_Mes_Corriente!BH37*MOP_Mes_Constante!$BC$1</f>
        <v>33007087.227218788</v>
      </c>
      <c r="BI36" s="20">
        <f>+MOP_Mes_Corriente!BI37*MOP_Mes_Constante!$BC$1</f>
        <v>37611960.368719511</v>
      </c>
      <c r="BJ36" s="20">
        <f>+MOP_Mes_Corriente!BJ37*MOP_Mes_Constante!$BC$1</f>
        <v>42944302.237900577</v>
      </c>
      <c r="BK36" s="20">
        <f>+MOP_Mes_Corriente!BK37*MOP_Mes_Constante!$BC$1</f>
        <v>48872217.009890556</v>
      </c>
      <c r="BL36" s="20">
        <f>+MOP_Mes_Corriente!BL37*MOP_Mes_Constante!$BC$1</f>
        <v>59829682.391401835</v>
      </c>
      <c r="BM36" s="20">
        <f>+MOP_Mes_Corriente!BM37*MOP_Mes_Constante!$BC$1</f>
        <v>70214013.297903225</v>
      </c>
      <c r="BN36" s="20">
        <f>+MOP_Mes_Corriente!BN37*MOP_Mes_Constante!$BC$1</f>
        <v>87459755.495186627</v>
      </c>
      <c r="BO36" s="20">
        <f t="shared" si="42"/>
        <v>87459755.495186627</v>
      </c>
      <c r="BP36" s="20">
        <f>+MOP_Mes_Corriente!BP37*MOP_Mes_Constante!$BP$1</f>
        <v>0</v>
      </c>
      <c r="BQ36" s="20">
        <f>+MOP_Mes_Corriente!BQ37*MOP_Mes_Constante!$BP$1</f>
        <v>6938245.0279129324</v>
      </c>
      <c r="BR36" s="20">
        <f>+MOP_Mes_Corriente!BR37*MOP_Mes_Constante!$BP$1</f>
        <v>12064152.046862997</v>
      </c>
      <c r="BS36" s="20">
        <f>+MOP_Mes_Corriente!BS37*MOP_Mes_Constante!$BP$1</f>
        <v>17641466.545966711</v>
      </c>
      <c r="BT36" s="20">
        <f>+MOP_Mes_Corriente!BT37*MOP_Mes_Constante!$BP$1</f>
        <v>21932729.290140849</v>
      </c>
      <c r="BU36" s="20">
        <f>+MOP_Mes_Corriente!BU37*MOP_Mes_Constante!$BP$1</f>
        <v>26321769.241997443</v>
      </c>
      <c r="BV36" s="20">
        <f>+MOP_Mes_Corriente!BV37*MOP_Mes_Constante!$BP$1</f>
        <v>30462225.206658132</v>
      </c>
      <c r="BW36" s="20">
        <f>+MOP_Mes_Corriente!BW37*MOP_Mes_Constante!$BP$1</f>
        <v>35363712.745198466</v>
      </c>
      <c r="BX36" s="20">
        <f>+MOP_Mes_Corriente!BX37*MOP_Mes_Constante!$BP$1</f>
        <v>42171203.910883486</v>
      </c>
      <c r="BY36" s="20">
        <f>+MOP_Mes_Corriente!BY37*MOP_Mes_Constante!$BP$1</f>
        <v>52831248.842765689</v>
      </c>
      <c r="BZ36" s="20">
        <f>+MOP_Mes_Corriente!BZ37*MOP_Mes_Constante!$BP$1</f>
        <v>67620444.616901413</v>
      </c>
      <c r="CA36" s="20">
        <f>+MOP_Mes_Corriente!CA37*MOP_Mes_Constante!$BP$1</f>
        <v>86263759.611011535</v>
      </c>
      <c r="CB36" s="20">
        <f t="shared" si="43"/>
        <v>86263759.611011535</v>
      </c>
      <c r="CC36" s="20">
        <f>+MOP_Mes_Corriente!CC37*MOP_Mes_Constante!$CC$1</f>
        <v>3623321.3353226413</v>
      </c>
      <c r="CD36" s="20">
        <f>+MOP_Mes_Corriente!CD37*MOP_Mes_Constante!$CC$1</f>
        <v>13644699.341290565</v>
      </c>
      <c r="CE36" s="20">
        <f>+MOP_Mes_Corriente!CE37*MOP_Mes_Constante!$CC$1</f>
        <v>22085979.142111156</v>
      </c>
      <c r="CF36" s="20">
        <f>+MOP_Mes_Corriente!CF37*MOP_Mes_Constante!$CC$1</f>
        <v>27463726.999627009</v>
      </c>
      <c r="CG36" s="20">
        <f>+MOP_Mes_Corriente!CG37*MOP_Mes_Constante!$CC$1</f>
        <v>31560170.081312947</v>
      </c>
      <c r="CH36" s="20">
        <f>+MOP_Mes_Corriente!CH37*MOP_Mes_Constante!$CC$1</f>
        <v>36945879.804550543</v>
      </c>
      <c r="CI36" s="20">
        <f>+MOP_Mes_Corriente!CI37*MOP_Mes_Constante!$CC$1</f>
        <v>43666279.964938462</v>
      </c>
      <c r="CJ36" s="20">
        <f>+MOP_Mes_Corriente!CJ37*MOP_Mes_Constante!$CC$1</f>
        <v>52038968.992167108</v>
      </c>
      <c r="CK36" s="20">
        <f>+MOP_Mes_Corriente!CK37*MOP_Mes_Constante!$CC$1</f>
        <v>60903997.73442746</v>
      </c>
      <c r="CL36" s="20">
        <f>+MOP_Mes_Corriente!CL37*MOP_Mes_Constante!$CC$1</f>
        <v>71070225.728459537</v>
      </c>
      <c r="CM36" s="20">
        <f>+MOP_Mes_Corriente!CM37*MOP_Mes_Constante!$CC$1</f>
        <v>80752134.28646028</v>
      </c>
      <c r="CN36" s="20">
        <f>+MOP_Mes_Corriente!CN37*MOP_Mes_Constante!$CC$1</f>
        <v>97008799.682954133</v>
      </c>
      <c r="CO36" s="20">
        <f t="shared" si="44"/>
        <v>97008799.682954133</v>
      </c>
      <c r="CP36" s="20">
        <f>+MOP_Mes_Corriente!CP37*MOP_Mes_Constante!$CP$1</f>
        <v>4848483.4809744768</v>
      </c>
      <c r="CQ36" s="20">
        <f>+MOP_Mes_Corriente!CQ37*MOP_Mes_Constante!$CP$1</f>
        <v>11363274.490719255</v>
      </c>
      <c r="CR36" s="20">
        <f>+MOP_Mes_Corriente!CR37*MOP_Mes_Constante!$CP$1</f>
        <v>19083629.186310902</v>
      </c>
      <c r="CS36" s="20">
        <f>+MOP_Mes_Corriente!CS37*MOP_Mes_Constante!$CP$1</f>
        <v>25411543.767981432</v>
      </c>
      <c r="CT36" s="20">
        <f>+MOP_Mes_Corriente!CT37*MOP_Mes_Constante!$CP$1</f>
        <v>33357389.809280735</v>
      </c>
      <c r="CU36" s="20">
        <f>+MOP_Mes_Corriente!CU37*MOP_Mes_Constante!$CP$1</f>
        <v>40165182.676566117</v>
      </c>
      <c r="CV36" s="20">
        <f>+MOP_Mes_Corriente!CV37*MOP_Mes_Constante!$CP$1</f>
        <v>46193969.489095122</v>
      </c>
      <c r="CW36" s="20">
        <f>+MOP_Mes_Corriente!CW37*MOP_Mes_Constante!$CP$1</f>
        <v>53939199.213689081</v>
      </c>
      <c r="CX36" s="20">
        <f>+MOP_Mes_Corriente!CX37*MOP_Mes_Constante!$CP$1</f>
        <v>61365070.323897898</v>
      </c>
      <c r="CY36" s="20">
        <f>+MOP_Mes_Corriente!CY37*MOP_Mes_Constante!$CP$1</f>
        <v>68224929.003480271</v>
      </c>
      <c r="CZ36" s="20">
        <f>+MOP_Mes_Corriente!CZ37*MOP_Mes_Constante!$CP$1</f>
        <v>77246965.76450114</v>
      </c>
      <c r="DA36" s="20">
        <f>+MOP_Mes_Corriente!DA37*MOP_Mes_Constante!$CP$1</f>
        <v>92351401.521577701</v>
      </c>
      <c r="DB36" s="20">
        <f t="shared" si="45"/>
        <v>92351401.521577701</v>
      </c>
      <c r="DC36" s="20">
        <f>+MOP_Mes_Corriente!DC37*MOP_Mes_Constante!$DC$1</f>
        <v>0</v>
      </c>
      <c r="DD36" s="20">
        <f>+MOP_Mes_Corriente!DD37*MOP_Mes_Constante!$DC$1</f>
        <v>7678174.8476494225</v>
      </c>
      <c r="DE36" s="20">
        <f>+MOP_Mes_Corriente!DE37*MOP_Mes_Constante!$DC$1</f>
        <v>14314014.240715982</v>
      </c>
      <c r="DF36" s="20">
        <f>+MOP_Mes_Corriente!DF37*MOP_Mes_Constante!$DC$1</f>
        <v>19943643.32743546</v>
      </c>
      <c r="DG36" s="20">
        <f>+MOP_Mes_Corriente!DG37*MOP_Mes_Constante!$DC$1</f>
        <v>24582661.527003407</v>
      </c>
      <c r="DH36" s="20">
        <f>+MOP_Mes_Corriente!DH37*MOP_Mes_Constante!$DC$1</f>
        <v>29887164.279600877</v>
      </c>
      <c r="DI36" s="20">
        <f>+MOP_Mes_Corriente!DI37*MOP_Mes_Constante!$DC$1</f>
        <v>33485305.922641721</v>
      </c>
      <c r="DJ36" s="20">
        <f>+MOP_Mes_Corriente!DJ37*MOP_Mes_Constante!$DC$1</f>
        <v>37703891.73212634</v>
      </c>
      <c r="DK36" s="20">
        <f>+MOP_Mes_Corriente!DK37*MOP_Mes_Constante!$DC$1</f>
        <v>42913586.34235163</v>
      </c>
      <c r="DL36" s="20">
        <f>+MOP_Mes_Corriente!DL37*MOP_Mes_Constante!$DC$1</f>
        <v>50466493.773891598</v>
      </c>
      <c r="DM36" s="20">
        <f>+MOP_Mes_Corriente!DM37*MOP_Mes_Constante!$DC$1</f>
        <v>56058029.661146</v>
      </c>
      <c r="DN36" s="20">
        <f>+MOP_Mes_Corriente!DN37*MOP_Mes_Constante!$DC$1</f>
        <v>71247535.593663231</v>
      </c>
      <c r="DO36" s="20">
        <f t="shared" si="46"/>
        <v>71247535.593663231</v>
      </c>
      <c r="DP36" s="20">
        <f>+MOP_Mes_Corriente!DP37*MOP_Mes_Constante!$DP$1</f>
        <v>0</v>
      </c>
      <c r="DQ36" s="20">
        <f>+MOP_Mes_Corriente!DQ37*MOP_Mes_Constante!$DP$1</f>
        <v>10653627.493467934</v>
      </c>
      <c r="DR36" s="20">
        <f>+MOP_Mes_Corriente!DR37*MOP_Mes_Constante!$DP$1</f>
        <v>20542084.628266037</v>
      </c>
      <c r="DS36" s="20">
        <f>+MOP_Mes_Corriente!DS37*MOP_Mes_Constante!$DP$1</f>
        <v>29468263.293349173</v>
      </c>
      <c r="DT36" s="20">
        <f>+MOP_Mes_Corriente!DT37*MOP_Mes_Constante!$DP$1</f>
        <v>37861475.052256532</v>
      </c>
      <c r="DU36" s="20">
        <f>+MOP_Mes_Corriente!DU37*MOP_Mes_Constante!$DP$1</f>
        <v>46502322.265439436</v>
      </c>
      <c r="DV36" s="20">
        <f>+MOP_Mes_Corriente!DV37*MOP_Mes_Constante!$DP$1</f>
        <v>54879895.483966753</v>
      </c>
      <c r="DW36" s="20">
        <f>+MOP_Mes_Corriente!DW37*MOP_Mes_Constante!$DP$1</f>
        <v>62887780.831353925</v>
      </c>
      <c r="DX36" s="20">
        <f>+MOP_Mes_Corriente!DX37*MOP_Mes_Constante!$DP$1</f>
        <v>71649530.982185274</v>
      </c>
      <c r="DY36" s="20">
        <f>+MOP_Mes_Corriente!DY37*MOP_Mes_Constante!$DP$1</f>
        <v>80199057.856888369</v>
      </c>
      <c r="DZ36" s="20">
        <f>+MOP_Mes_Corriente!DZ37*MOP_Mes_Constante!$DP$1</f>
        <v>93374881.729809985</v>
      </c>
      <c r="EA36" s="20">
        <f>+MOP_Mes_Corriente!EA37*MOP_Mes_Constante!$DP$1</f>
        <v>112856229.53266035</v>
      </c>
      <c r="EB36" s="20">
        <f t="shared" si="47"/>
        <v>112856229.53266035</v>
      </c>
      <c r="EC36" s="20">
        <f>+MOP_Mes_Corriente!EC37*MOP_Mes_Constante!$EC$1</f>
        <v>0</v>
      </c>
      <c r="ED36" s="20">
        <f>+MOP_Mes_Corriente!ED37*MOP_Mes_Constante!$EC$1</f>
        <v>14850034.31452376</v>
      </c>
      <c r="EE36" s="20">
        <f>+MOP_Mes_Corriente!EE37*MOP_Mes_Constante!$EC$1</f>
        <v>24831574.612762727</v>
      </c>
      <c r="EF36" s="20">
        <f>+MOP_Mes_Corriente!EF37*MOP_Mes_Constante!$EC$1</f>
        <v>36186716.486460887</v>
      </c>
      <c r="EG36" s="20">
        <f>+MOP_Mes_Corriente!EG37*MOP_Mes_Constante!$EC$1</f>
        <v>45857042.677901901</v>
      </c>
      <c r="EH36" s="20">
        <f>+MOP_Mes_Corriente!EH37*MOP_Mes_Constante!$EC$1</f>
        <v>59154760.525279284</v>
      </c>
      <c r="EI36" s="20">
        <f>+MOP_Mes_Corriente!EI37*MOP_Mes_Constante!$EC$1</f>
        <v>69585227.83980304</v>
      </c>
      <c r="EJ36" s="20">
        <f>+MOP_Mes_Corriente!EJ37*MOP_Mes_Constante!$EC$1</f>
        <v>79900897.67297858</v>
      </c>
      <c r="EK36" s="20">
        <f>+MOP_Mes_Corriente!EK37*MOP_Mes_Constante!$EC$1</f>
        <v>90015830.962507069</v>
      </c>
      <c r="EL36" s="20">
        <f>+MOP_Mes_Corriente!EL37*MOP_Mes_Constante!$EC$1</f>
        <v>101411337.58909294</v>
      </c>
      <c r="EM36" s="20">
        <f>+MOP_Mes_Corriente!EM37*MOP_Mes_Constante!$EC$1</f>
        <v>112608168.32266612</v>
      </c>
      <c r="EN36" s="20">
        <f>+MOP_Mes_Corriente!EN37*MOP_Mes_Constante!$EC$1</f>
        <v>127214660.00757429</v>
      </c>
      <c r="EO36" s="20">
        <f t="shared" si="48"/>
        <v>127214660.00757429</v>
      </c>
      <c r="EP36" s="20">
        <f>+MOP_Mes_Corriente!EP37*MOP_Mes_Constante!$EP$1</f>
        <v>11343929</v>
      </c>
      <c r="EQ36" s="20">
        <f>+MOP_Mes_Corriente!EQ37*MOP_Mes_Constante!$EP$1</f>
        <v>22880886</v>
      </c>
      <c r="ER36" s="20">
        <f>+MOP_Mes_Corriente!ER37*MOP_Mes_Constante!$EP$1</f>
        <v>31954442</v>
      </c>
      <c r="ES36" s="20">
        <f>+MOP_Mes_Corriente!ES37*MOP_Mes_Constante!$EP$1</f>
        <v>40743206</v>
      </c>
      <c r="ET36" s="20">
        <f>+MOP_Mes_Corriente!ET37*MOP_Mes_Constante!$EP$1</f>
        <v>50003253</v>
      </c>
      <c r="EU36" s="20">
        <f>+MOP_Mes_Corriente!EU37*MOP_Mes_Constante!$EP$1</f>
        <v>61155170</v>
      </c>
      <c r="EV36" s="20">
        <f>+MOP_Mes_Corriente!EV37*MOP_Mes_Constante!$EP$1</f>
        <v>73000387</v>
      </c>
      <c r="EW36" s="20">
        <f>+MOP_Mes_Corriente!EW37*MOP_Mes_Constante!$EP$1</f>
        <v>82403582</v>
      </c>
      <c r="EX36" s="20">
        <f>+MOP_Mes_Corriente!EX37*MOP_Mes_Constante!$EP$1</f>
        <v>91424463</v>
      </c>
      <c r="EY36" s="20">
        <f>+MOP_Mes_Corriente!EY37*MOP_Mes_Constante!$EP$1</f>
        <v>102261627</v>
      </c>
      <c r="EZ36" s="20">
        <f>+MOP_Mes_Corriente!EZ37*MOP_Mes_Constante!$EP$1</f>
        <v>115278067</v>
      </c>
      <c r="FA36" s="20">
        <f>+MOP_Mes_Corriente!FA37*MOP_Mes_Constante!$EP$1</f>
        <v>140810158</v>
      </c>
      <c r="FB36" s="20">
        <f t="shared" si="49"/>
        <v>140810158</v>
      </c>
      <c r="FC36" s="20">
        <f>+MOP_Mes_Corriente!FC37*MOP_Mes_Constante!$FC$1</f>
        <v>5334724</v>
      </c>
      <c r="FD36" s="20">
        <f>+MOP_Mes_Corriente!FD37*MOP_Mes_Constante!$FC$1</f>
        <v>18823694</v>
      </c>
      <c r="FE36" s="20">
        <f>+MOP_Mes_Corriente!FE37*MOP_Mes_Constante!$FC$1</f>
        <v>29721986</v>
      </c>
      <c r="FF36" s="20">
        <f>+MOP_Mes_Corriente!FF37*MOP_Mes_Constante!$FC$1</f>
        <v>39558533</v>
      </c>
      <c r="FG36" s="20">
        <f>+MOP_Mes_Corriente!FG37*MOP_Mes_Constante!$FC$1</f>
        <v>50252046</v>
      </c>
      <c r="FH36" s="20">
        <f>+MOP_Mes_Corriente!FH37*MOP_Mes_Constante!$FC$1</f>
        <v>57851838</v>
      </c>
      <c r="FI36" s="20">
        <f>+MOP_Mes_Corriente!FI37*MOP_Mes_Constante!$FC$1</f>
        <v>65221155</v>
      </c>
      <c r="FJ36" s="10"/>
      <c r="FK36" s="10"/>
      <c r="FL36" s="10"/>
      <c r="FM36" s="10"/>
      <c r="FN36" s="10"/>
      <c r="FO36" s="20">
        <f t="shared" si="50"/>
        <v>65221155</v>
      </c>
    </row>
    <row r="37" spans="1:171" ht="27.75" customHeight="1">
      <c r="A37" s="10"/>
      <c r="B37" s="19" t="s">
        <v>47</v>
      </c>
      <c r="C37" s="20">
        <f>+MOP_Mes_Corriente!C38*MOP_Mes_Constante!$C$1</f>
        <v>0</v>
      </c>
      <c r="D37" s="20">
        <f>+MOP_Mes_Corriente!D38*MOP_Mes_Constante!$C$1</f>
        <v>5109973.3729793867</v>
      </c>
      <c r="E37" s="20">
        <f>+MOP_Mes_Corriente!E38*MOP_Mes_Constante!$C$1</f>
        <v>10261989.890256563</v>
      </c>
      <c r="F37" s="20">
        <f>+MOP_Mes_Corriente!F38*MOP_Mes_Constante!$C$1</f>
        <v>16538188.591428149</v>
      </c>
      <c r="G37" s="20">
        <f>+MOP_Mes_Corriente!G38*MOP_Mes_Constante!$C$1</f>
        <v>21680816.81803352</v>
      </c>
      <c r="H37" s="20">
        <f>+MOP_Mes_Corriente!H38*MOP_Mes_Constante!$C$1</f>
        <v>24635867.995550945</v>
      </c>
      <c r="I37" s="20">
        <f>+MOP_Mes_Corriente!I38*MOP_Mes_Constante!$C$1</f>
        <v>30681742.468634143</v>
      </c>
      <c r="J37" s="20">
        <f>+MOP_Mes_Corriente!J38*MOP_Mes_Constante!$C$1</f>
        <v>36799540.905531667</v>
      </c>
      <c r="K37" s="20">
        <f>+MOP_Mes_Corriente!K38*MOP_Mes_Constante!$C$1</f>
        <v>43899551.580898717</v>
      </c>
      <c r="L37" s="20">
        <f>+MOP_Mes_Corriente!L38*MOP_Mes_Constante!$C$1</f>
        <v>49546290.83197391</v>
      </c>
      <c r="M37" s="20">
        <f>+MOP_Mes_Corriente!M38*MOP_Mes_Constante!$C$1</f>
        <v>57763626.382619023</v>
      </c>
      <c r="N37" s="20">
        <f>+MOP_Mes_Corriente!N38*MOP_Mes_Constante!$C$1</f>
        <v>73330092.862227499</v>
      </c>
      <c r="O37" s="20">
        <f t="shared" si="38"/>
        <v>73330092.862227499</v>
      </c>
      <c r="P37" s="20">
        <f>+MOP_Mes_Corriente!P38*MOP_Mes_Constante!$P$1</f>
        <v>3514550.696121607</v>
      </c>
      <c r="Q37" s="20">
        <f>+MOP_Mes_Corriente!Q38*MOP_Mes_Constante!$P$1</f>
        <v>7049505.181133681</v>
      </c>
      <c r="R37" s="20">
        <f>+MOP_Mes_Corriente!R38*MOP_Mes_Constante!$P$1</f>
        <v>13832208.897570673</v>
      </c>
      <c r="S37" s="20">
        <f>+MOP_Mes_Corriente!S38*MOP_Mes_Constante!$P$1</f>
        <v>17205072.392953537</v>
      </c>
      <c r="T37" s="20">
        <f>+MOP_Mes_Corriente!T38*MOP_Mes_Constante!$P$1</f>
        <v>19594965.314107109</v>
      </c>
      <c r="U37" s="20">
        <f>+MOP_Mes_Corriente!U38*MOP_Mes_Constante!$P$1</f>
        <v>22600574.579343647</v>
      </c>
      <c r="V37" s="20">
        <f>+MOP_Mes_Corriente!V38*MOP_Mes_Constante!$P$1</f>
        <v>25642626.610313956</v>
      </c>
      <c r="W37" s="20">
        <f>+MOP_Mes_Corriente!W38*MOP_Mes_Constante!$P$1</f>
        <v>28856564.070464544</v>
      </c>
      <c r="X37" s="20">
        <f>+MOP_Mes_Corriente!X38*MOP_Mes_Constante!$P$1</f>
        <v>31133825.593408141</v>
      </c>
      <c r="Y37" s="20">
        <f>+MOP_Mes_Corriente!Y38*MOP_Mes_Constante!$P$1</f>
        <v>33727567.033953674</v>
      </c>
      <c r="Z37" s="20">
        <f>+MOP_Mes_Corriente!Z38*MOP_Mes_Constante!$P$1</f>
        <v>39751951.402187794</v>
      </c>
      <c r="AA37" s="20">
        <f>+MOP_Mes_Corriente!AA38*MOP_Mes_Constante!$P$1</f>
        <v>53583365.568688713</v>
      </c>
      <c r="AB37" s="20">
        <f t="shared" si="39"/>
        <v>53583365.568688713</v>
      </c>
      <c r="AC37" s="20">
        <f>+MOP_Mes_Corriente!AC38*MOP_Mes_Constante!$AC$1</f>
        <v>1957114.2711301702</v>
      </c>
      <c r="AD37" s="20">
        <f>+MOP_Mes_Corriente!AD38*MOP_Mes_Constante!$AC$1</f>
        <v>4882452.9071794162</v>
      </c>
      <c r="AE37" s="20">
        <f>+MOP_Mes_Corriente!AE38*MOP_Mes_Constante!$AC$1</f>
        <v>10138208.04343616</v>
      </c>
      <c r="AF37" s="20">
        <f>+MOP_Mes_Corriente!AF38*MOP_Mes_Constante!$AC$1</f>
        <v>14893888.21552082</v>
      </c>
      <c r="AG37" s="20">
        <f>+MOP_Mes_Corriente!AG38*MOP_Mes_Constante!$AC$1</f>
        <v>18836726.28247337</v>
      </c>
      <c r="AH37" s="20">
        <f>+MOP_Mes_Corriente!AH38*MOP_Mes_Constante!$AC$1</f>
        <v>22034084.38207221</v>
      </c>
      <c r="AI37" s="20">
        <f>+MOP_Mes_Corriente!AI38*MOP_Mes_Constante!$AC$1</f>
        <v>27877396.541707013</v>
      </c>
      <c r="AJ37" s="20">
        <f>+MOP_Mes_Corriente!AJ38*MOP_Mes_Constante!$AC$1</f>
        <v>32413414.08604233</v>
      </c>
      <c r="AK37" s="20">
        <f>+MOP_Mes_Corriente!AK38*MOP_Mes_Constante!$AC$1</f>
        <v>37172080.808963895</v>
      </c>
      <c r="AL37" s="20">
        <f>+MOP_Mes_Corriente!AL38*MOP_Mes_Constante!$AC$1</f>
        <v>43648661.147599943</v>
      </c>
      <c r="AM37" s="20">
        <f>+MOP_Mes_Corriente!AM38*MOP_Mes_Constante!$AC$1</f>
        <v>52828985.909531057</v>
      </c>
      <c r="AN37" s="20">
        <f>+MOP_Mes_Corriente!AN38*MOP_Mes_Constante!$AC$1</f>
        <v>65972711.50366579</v>
      </c>
      <c r="AO37" s="20">
        <f t="shared" si="40"/>
        <v>65972711.50366579</v>
      </c>
      <c r="AP37" s="20">
        <f>+MOP_Mes_Corriente!AP38*MOP_Mes_Constante!$AP$1</f>
        <v>2514100.2364398753</v>
      </c>
      <c r="AQ37" s="20">
        <f>+MOP_Mes_Corriente!AQ38*MOP_Mes_Constante!$AP$1</f>
        <v>7373439.105910996</v>
      </c>
      <c r="AR37" s="20">
        <f>+MOP_Mes_Corriente!AR38*MOP_Mes_Constante!$AP$1</f>
        <v>13165070.367374543</v>
      </c>
      <c r="AS37" s="20">
        <f>+MOP_Mes_Corriente!AS38*MOP_Mes_Constante!$AP$1</f>
        <v>17309745.680508588</v>
      </c>
      <c r="AT37" s="20">
        <f>+MOP_Mes_Corriente!AT38*MOP_Mes_Constante!$AP$1</f>
        <v>22392005.689977005</v>
      </c>
      <c r="AU37" s="20">
        <f>+MOP_Mes_Corriente!AU38*MOP_Mes_Constante!$AP$1</f>
        <v>26928270.143649396</v>
      </c>
      <c r="AV37" s="20">
        <f>+MOP_Mes_Corriente!AV38*MOP_Mes_Constante!$AP$1</f>
        <v>32367319.547680236</v>
      </c>
      <c r="AW37" s="20">
        <f>+MOP_Mes_Corriente!AW38*MOP_Mes_Constante!$AP$1</f>
        <v>36873738.12417151</v>
      </c>
      <c r="AX37" s="20">
        <f>+MOP_Mes_Corriente!AX38*MOP_Mes_Constante!$AP$1</f>
        <v>42279001.610983357</v>
      </c>
      <c r="AY37" s="20">
        <f>+MOP_Mes_Corriente!AY38*MOP_Mes_Constante!$AP$1</f>
        <v>48730004.33653456</v>
      </c>
      <c r="AZ37" s="20">
        <f>+MOP_Mes_Corriente!AZ38*MOP_Mes_Constante!$AP$1</f>
        <v>56556132.761260651</v>
      </c>
      <c r="BA37" s="20">
        <f>+MOP_Mes_Corriente!BA38*MOP_Mes_Constante!$AP$1</f>
        <v>72211500.557554439</v>
      </c>
      <c r="BB37" s="20">
        <f t="shared" si="41"/>
        <v>72211500.557554439</v>
      </c>
      <c r="BC37" s="20">
        <f>+MOP_Mes_Corriente!BC38*MOP_Mes_Constante!$BC$1</f>
        <v>3344432.3183436645</v>
      </c>
      <c r="BD37" s="20">
        <f>+MOP_Mes_Corriente!BD38*MOP_Mes_Constante!$BC$1</f>
        <v>11011134.331531059</v>
      </c>
      <c r="BE37" s="20">
        <f>+MOP_Mes_Corriente!BE38*MOP_Mes_Constante!$BC$1</f>
        <v>14394410.647500992</v>
      </c>
      <c r="BF37" s="20">
        <f>+MOP_Mes_Corriente!BF38*MOP_Mes_Constante!$BC$1</f>
        <v>16329838.512462091</v>
      </c>
      <c r="BG37" s="20">
        <f>+MOP_Mes_Corriente!BG38*MOP_Mes_Constante!$BC$1</f>
        <v>19048039.425029676</v>
      </c>
      <c r="BH37" s="20">
        <f>+MOP_Mes_Corriente!BH38*MOP_Mes_Constante!$BC$1</f>
        <v>21100234.142160099</v>
      </c>
      <c r="BI37" s="20">
        <f>+MOP_Mes_Corriente!BI38*MOP_Mes_Constante!$BC$1</f>
        <v>25309199.358301472</v>
      </c>
      <c r="BJ37" s="20">
        <f>+MOP_Mes_Corriente!BJ38*MOP_Mes_Constante!$BC$1</f>
        <v>28102311.739417125</v>
      </c>
      <c r="BK37" s="20">
        <f>+MOP_Mes_Corriente!BK38*MOP_Mes_Constante!$BC$1</f>
        <v>30354783.797177907</v>
      </c>
      <c r="BL37" s="20">
        <f>+MOP_Mes_Corriente!BL38*MOP_Mes_Constante!$BC$1</f>
        <v>34088154.627456158</v>
      </c>
      <c r="BM37" s="20">
        <f>+MOP_Mes_Corriente!BM38*MOP_Mes_Constante!$BC$1</f>
        <v>39348688.628774904</v>
      </c>
      <c r="BN37" s="20">
        <f>+MOP_Mes_Corriente!BN38*MOP_Mes_Constante!$BC$1</f>
        <v>49117833.720427282</v>
      </c>
      <c r="BO37" s="20">
        <f t="shared" si="42"/>
        <v>49117833.720427282</v>
      </c>
      <c r="BP37" s="20">
        <f>+MOP_Mes_Corriente!BP38*MOP_Mes_Constante!$BP$1</f>
        <v>0</v>
      </c>
      <c r="BQ37" s="20">
        <f>+MOP_Mes_Corriente!BQ38*MOP_Mes_Constante!$BP$1</f>
        <v>4083298.015620999</v>
      </c>
      <c r="BR37" s="20">
        <f>+MOP_Mes_Corriente!BR38*MOP_Mes_Constante!$BP$1</f>
        <v>12108880.097055059</v>
      </c>
      <c r="BS37" s="20">
        <f>+MOP_Mes_Corriente!BS38*MOP_Mes_Constante!$BP$1</f>
        <v>17447253.74827145</v>
      </c>
      <c r="BT37" s="20">
        <f>+MOP_Mes_Corriente!BT38*MOP_Mes_Constante!$BP$1</f>
        <v>21396321.44711908</v>
      </c>
      <c r="BU37" s="20">
        <f>+MOP_Mes_Corriente!BU38*MOP_Mes_Constante!$BP$1</f>
        <v>24790423.89065301</v>
      </c>
      <c r="BV37" s="20">
        <f>+MOP_Mes_Corriente!BV38*MOP_Mes_Constante!$BP$1</f>
        <v>27709435.594878364</v>
      </c>
      <c r="BW37" s="20">
        <f>+MOP_Mes_Corriente!BW38*MOP_Mes_Constante!$BP$1</f>
        <v>30493208.320870683</v>
      </c>
      <c r="BX37" s="20">
        <f>+MOP_Mes_Corriente!BX38*MOP_Mes_Constante!$BP$1</f>
        <v>34917396.137516007</v>
      </c>
      <c r="BY37" s="20">
        <f>+MOP_Mes_Corriente!BY38*MOP_Mes_Constante!$BP$1</f>
        <v>43317591.727528811</v>
      </c>
      <c r="BZ37" s="20">
        <f>+MOP_Mes_Corriente!BZ38*MOP_Mes_Constante!$BP$1</f>
        <v>53662660.084763132</v>
      </c>
      <c r="CA37" s="20">
        <f>+MOP_Mes_Corriente!CA38*MOP_Mes_Constante!$BP$1</f>
        <v>75460701.593085796</v>
      </c>
      <c r="CB37" s="20">
        <f t="shared" si="43"/>
        <v>75460701.593085796</v>
      </c>
      <c r="CC37" s="20">
        <f>+MOP_Mes_Corriente!CC38*MOP_Mes_Constante!$CC$1</f>
        <v>412513.21521820221</v>
      </c>
      <c r="CD37" s="20">
        <f>+MOP_Mes_Corriente!CD38*MOP_Mes_Constante!$CC$1</f>
        <v>5817870.1767997025</v>
      </c>
      <c r="CE37" s="20">
        <f>+MOP_Mes_Corriente!CE38*MOP_Mes_Constante!$CC$1</f>
        <v>10888019.142857144</v>
      </c>
      <c r="CF37" s="20">
        <f>+MOP_Mes_Corriente!CF38*MOP_Mes_Constante!$CC$1</f>
        <v>14891426.173069751</v>
      </c>
      <c r="CG37" s="20">
        <f>+MOP_Mes_Corriente!CG38*MOP_Mes_Constante!$CC$1</f>
        <v>18742902.982469231</v>
      </c>
      <c r="CH37" s="20">
        <f>+MOP_Mes_Corriente!CH38*MOP_Mes_Constante!$CC$1</f>
        <v>21876010.574412536</v>
      </c>
      <c r="CI37" s="20">
        <f>+MOP_Mes_Corriente!CI38*MOP_Mes_Constante!$CC$1</f>
        <v>23771582.596046254</v>
      </c>
      <c r="CJ37" s="20">
        <f>+MOP_Mes_Corriente!CJ38*MOP_Mes_Constante!$CC$1</f>
        <v>25594766.980977248</v>
      </c>
      <c r="CK37" s="20">
        <f>+MOP_Mes_Corriente!CK38*MOP_Mes_Constante!$CC$1</f>
        <v>28467949.067512125</v>
      </c>
      <c r="CL37" s="20">
        <f>+MOP_Mes_Corriente!CL38*MOP_Mes_Constante!$CC$1</f>
        <v>36539153.579261474</v>
      </c>
      <c r="CM37" s="20">
        <f>+MOP_Mes_Corriente!CM38*MOP_Mes_Constante!$CC$1</f>
        <v>53805223.524058193</v>
      </c>
      <c r="CN37" s="20">
        <f>+MOP_Mes_Corriente!CN38*MOP_Mes_Constante!$CC$1</f>
        <v>79127459.957478553</v>
      </c>
      <c r="CO37" s="20">
        <f t="shared" si="44"/>
        <v>79127459.957478553</v>
      </c>
      <c r="CP37" s="20">
        <f>+MOP_Mes_Corriente!CP38*MOP_Mes_Constante!$CP$1</f>
        <v>6640195.3788863095</v>
      </c>
      <c r="CQ37" s="20">
        <f>+MOP_Mes_Corriente!CQ38*MOP_Mes_Constante!$CP$1</f>
        <v>13871058.936890949</v>
      </c>
      <c r="CR37" s="20">
        <f>+MOP_Mes_Corriente!CR38*MOP_Mes_Constante!$CP$1</f>
        <v>23395111.174941991</v>
      </c>
      <c r="CS37" s="20">
        <f>+MOP_Mes_Corriente!CS38*MOP_Mes_Constante!$CP$1</f>
        <v>34674529.24941995</v>
      </c>
      <c r="CT37" s="20">
        <f>+MOP_Mes_Corriente!CT38*MOP_Mes_Constante!$CP$1</f>
        <v>42984064.058700688</v>
      </c>
      <c r="CU37" s="20">
        <f>+MOP_Mes_Corriente!CU38*MOP_Mes_Constante!$CP$1</f>
        <v>49641875.394431546</v>
      </c>
      <c r="CV37" s="20">
        <f>+MOP_Mes_Corriente!CV38*MOP_Mes_Constante!$CP$1</f>
        <v>53144605.229930386</v>
      </c>
      <c r="CW37" s="20">
        <f>+MOP_Mes_Corriente!CW38*MOP_Mes_Constante!$CP$1</f>
        <v>57761077.255684443</v>
      </c>
      <c r="CX37" s="20">
        <f>+MOP_Mes_Corriente!CX38*MOP_Mes_Constante!$CP$1</f>
        <v>61632080.469605558</v>
      </c>
      <c r="CY37" s="20">
        <f>+MOP_Mes_Corriente!CY38*MOP_Mes_Constante!$CP$1</f>
        <v>63405760.664965183</v>
      </c>
      <c r="CZ37" s="20">
        <f>+MOP_Mes_Corriente!CZ38*MOP_Mes_Constante!$CP$1</f>
        <v>65717251.02877029</v>
      </c>
      <c r="DA37" s="20">
        <f>+MOP_Mes_Corriente!DA38*MOP_Mes_Constante!$CP$1</f>
        <v>71850732.243619472</v>
      </c>
      <c r="DB37" s="20">
        <f t="shared" si="45"/>
        <v>71850732.243619472</v>
      </c>
      <c r="DC37" s="20">
        <f>+MOP_Mes_Corriente!DC38*MOP_Mes_Constante!$DC$1</f>
        <v>943608.06912869087</v>
      </c>
      <c r="DD37" s="20">
        <f>+MOP_Mes_Corriente!DD38*MOP_Mes_Constante!$DC$1</f>
        <v>2169548.8787161824</v>
      </c>
      <c r="DE37" s="20">
        <f>+MOP_Mes_Corriente!DE38*MOP_Mes_Constante!$DC$1</f>
        <v>5693300.2084147744</v>
      </c>
      <c r="DF37" s="20">
        <f>+MOP_Mes_Corriente!DF38*MOP_Mes_Constante!$DC$1</f>
        <v>8589868.1168604102</v>
      </c>
      <c r="DG37" s="20">
        <f>+MOP_Mes_Corriente!DG38*MOP_Mes_Constante!$DC$1</f>
        <v>9235745.2148955911</v>
      </c>
      <c r="DH37" s="20">
        <f>+MOP_Mes_Corriente!DH38*MOP_Mes_Constante!$DC$1</f>
        <v>10684268.010287013</v>
      </c>
      <c r="DI37" s="20">
        <f>+MOP_Mes_Corriente!DI38*MOP_Mes_Constante!$DC$1</f>
        <v>13607849.135891376</v>
      </c>
      <c r="DJ37" s="20">
        <f>+MOP_Mes_Corriente!DJ38*MOP_Mes_Constante!$DC$1</f>
        <v>16351274.334944973</v>
      </c>
      <c r="DK37" s="20">
        <f>+MOP_Mes_Corriente!DK38*MOP_Mes_Constante!$DC$1</f>
        <v>19662672.82460653</v>
      </c>
      <c r="DL37" s="20">
        <f>+MOP_Mes_Corriente!DL38*MOP_Mes_Constante!$DC$1</f>
        <v>31104165.123752717</v>
      </c>
      <c r="DM37" s="20">
        <f>+MOP_Mes_Corriente!DM38*MOP_Mes_Constante!$DC$1</f>
        <v>44989030.676679373</v>
      </c>
      <c r="DN37" s="20">
        <f>+MOP_Mes_Corriente!DN38*MOP_Mes_Constante!$DC$1</f>
        <v>73551314.333093345</v>
      </c>
      <c r="DO37" s="20">
        <f t="shared" si="46"/>
        <v>73551314.333093345</v>
      </c>
      <c r="DP37" s="20">
        <f>+MOP_Mes_Corriente!DP38*MOP_Mes_Constante!$DP$1</f>
        <v>0</v>
      </c>
      <c r="DQ37" s="20">
        <f>+MOP_Mes_Corriente!DQ38*MOP_Mes_Constante!$DP$1</f>
        <v>14285764.464370547</v>
      </c>
      <c r="DR37" s="20">
        <f>+MOP_Mes_Corriente!DR38*MOP_Mes_Constante!$DP$1</f>
        <v>28981642.134798102</v>
      </c>
      <c r="DS37" s="20">
        <f>+MOP_Mes_Corriente!DS38*MOP_Mes_Constante!$DP$1</f>
        <v>37378631.062945373</v>
      </c>
      <c r="DT37" s="20">
        <f>+MOP_Mes_Corriente!DT38*MOP_Mes_Constante!$DP$1</f>
        <v>43557000.748218529</v>
      </c>
      <c r="DU37" s="20">
        <f>+MOP_Mes_Corriente!DU38*MOP_Mes_Constante!$DP$1</f>
        <v>50052748.890142523</v>
      </c>
      <c r="DV37" s="20">
        <f>+MOP_Mes_Corriente!DV38*MOP_Mes_Constante!$DP$1</f>
        <v>54706164.081947751</v>
      </c>
      <c r="DW37" s="20">
        <f>+MOP_Mes_Corriente!DW38*MOP_Mes_Constante!$DP$1</f>
        <v>65589540.354513071</v>
      </c>
      <c r="DX37" s="20">
        <f>+MOP_Mes_Corriente!DX38*MOP_Mes_Constante!$DP$1</f>
        <v>72987445.850950122</v>
      </c>
      <c r="DY37" s="20">
        <f>+MOP_Mes_Corriente!DY38*MOP_Mes_Constante!$DP$1</f>
        <v>80952787.491092637</v>
      </c>
      <c r="DZ37" s="20">
        <f>+MOP_Mes_Corriente!DZ38*MOP_Mes_Constante!$DP$1</f>
        <v>96984394.614014268</v>
      </c>
      <c r="EA37" s="20">
        <f>+MOP_Mes_Corriente!EA38*MOP_Mes_Constante!$DP$1</f>
        <v>132793747.56769598</v>
      </c>
      <c r="EB37" s="20">
        <f t="shared" si="47"/>
        <v>132793747.56769598</v>
      </c>
      <c r="EC37" s="20">
        <f>+MOP_Mes_Corriente!EC38*MOP_Mes_Constante!$EC$1</f>
        <v>0</v>
      </c>
      <c r="ED37" s="20">
        <f>+MOP_Mes_Corriente!ED38*MOP_Mes_Constante!$EC$1</f>
        <v>11174169.783374358</v>
      </c>
      <c r="EE37" s="20">
        <f>+MOP_Mes_Corriente!EE38*MOP_Mes_Constante!$EC$1</f>
        <v>22438908.88619579</v>
      </c>
      <c r="EF37" s="20">
        <f>+MOP_Mes_Corriente!EF38*MOP_Mes_Constante!$EC$1</f>
        <v>34465279.773527727</v>
      </c>
      <c r="EG37" s="20">
        <f>+MOP_Mes_Corriente!EG38*MOP_Mes_Constante!$EC$1</f>
        <v>45642940.870100342</v>
      </c>
      <c r="EH37" s="20">
        <f>+MOP_Mes_Corriente!EH38*MOP_Mes_Constante!$EC$1</f>
        <v>61173603.330619179</v>
      </c>
      <c r="EI37" s="20">
        <f>+MOP_Mes_Corriente!EI38*MOP_Mes_Constante!$EC$1</f>
        <v>68897251.901912495</v>
      </c>
      <c r="EJ37" s="20">
        <f>+MOP_Mes_Corriente!EJ38*MOP_Mes_Constante!$EC$1</f>
        <v>77328442.247490987</v>
      </c>
      <c r="EK37" s="20">
        <f>+MOP_Mes_Corriente!EK38*MOP_Mes_Constante!$EC$1</f>
        <v>89846117.969323963</v>
      </c>
      <c r="EL37" s="20">
        <f>+MOP_Mes_Corriente!EL38*MOP_Mes_Constante!$EC$1</f>
        <v>102772558.70933533</v>
      </c>
      <c r="EM37" s="20">
        <f>+MOP_Mes_Corriente!EM38*MOP_Mes_Constante!$EC$1</f>
        <v>115539829.70479073</v>
      </c>
      <c r="EN37" s="20">
        <f>+MOP_Mes_Corriente!EN38*MOP_Mes_Constante!$EC$1</f>
        <v>125414612.36943756</v>
      </c>
      <c r="EO37" s="20">
        <f t="shared" si="48"/>
        <v>125414612.36943756</v>
      </c>
      <c r="EP37" s="20">
        <f>+MOP_Mes_Corriente!EP38*MOP_Mes_Constante!$EP$1</f>
        <v>5480453</v>
      </c>
      <c r="EQ37" s="20">
        <f>+MOP_Mes_Corriente!EQ38*MOP_Mes_Constante!$EP$1</f>
        <v>18789767</v>
      </c>
      <c r="ER37" s="20">
        <f>+MOP_Mes_Corriente!ER38*MOP_Mes_Constante!$EP$1</f>
        <v>33876924</v>
      </c>
      <c r="ES37" s="20">
        <f>+MOP_Mes_Corriente!ES38*MOP_Mes_Constante!$EP$1</f>
        <v>51049771</v>
      </c>
      <c r="ET37" s="20">
        <f>+MOP_Mes_Corriente!ET38*MOP_Mes_Constante!$EP$1</f>
        <v>63060218</v>
      </c>
      <c r="EU37" s="20">
        <f>+MOP_Mes_Corriente!EU38*MOP_Mes_Constante!$EP$1</f>
        <v>70081917</v>
      </c>
      <c r="EV37" s="20">
        <f>+MOP_Mes_Corriente!EV38*MOP_Mes_Constante!$EP$1</f>
        <v>74458174</v>
      </c>
      <c r="EW37" s="20">
        <f>+MOP_Mes_Corriente!EW38*MOP_Mes_Constante!$EP$1</f>
        <v>78656297</v>
      </c>
      <c r="EX37" s="20">
        <f>+MOP_Mes_Corriente!EX38*MOP_Mes_Constante!$EP$1</f>
        <v>86517922</v>
      </c>
      <c r="EY37" s="20">
        <f>+MOP_Mes_Corriente!EY38*MOP_Mes_Constante!$EP$1</f>
        <v>100099974</v>
      </c>
      <c r="EZ37" s="20">
        <f>+MOP_Mes_Corriente!EZ38*MOP_Mes_Constante!$EP$1</f>
        <v>112429460</v>
      </c>
      <c r="FA37" s="20">
        <f>+MOP_Mes_Corriente!FA38*MOP_Mes_Constante!$EP$1</f>
        <v>142638019</v>
      </c>
      <c r="FB37" s="20">
        <f t="shared" si="49"/>
        <v>142638019</v>
      </c>
      <c r="FC37" s="20">
        <f>+MOP_Mes_Corriente!FC38*MOP_Mes_Constante!$FC$1</f>
        <v>8605874</v>
      </c>
      <c r="FD37" s="20">
        <f>+MOP_Mes_Corriente!FD38*MOP_Mes_Constante!$FC$1</f>
        <v>22342962</v>
      </c>
      <c r="FE37" s="20">
        <f>+MOP_Mes_Corriente!FE38*MOP_Mes_Constante!$FC$1</f>
        <v>30219385</v>
      </c>
      <c r="FF37" s="20">
        <f>+MOP_Mes_Corriente!FF38*MOP_Mes_Constante!$FC$1</f>
        <v>33540799</v>
      </c>
      <c r="FG37" s="20">
        <f>+MOP_Mes_Corriente!FG38*MOP_Mes_Constante!$FC$1</f>
        <v>36963751</v>
      </c>
      <c r="FH37" s="20">
        <f>+MOP_Mes_Corriente!FH38*MOP_Mes_Constante!$FC$1</f>
        <v>51185776</v>
      </c>
      <c r="FI37" s="20">
        <f>+MOP_Mes_Corriente!FI38*MOP_Mes_Constante!$FC$1</f>
        <v>55356746</v>
      </c>
      <c r="FJ37" s="10"/>
      <c r="FK37" s="10"/>
      <c r="FL37" s="10"/>
      <c r="FM37" s="10"/>
      <c r="FN37" s="10"/>
      <c r="FO37" s="20">
        <f t="shared" si="50"/>
        <v>55356746</v>
      </c>
    </row>
    <row r="38" spans="1:171" ht="27.75" customHeight="1">
      <c r="A38" s="10"/>
      <c r="B38" s="19" t="s">
        <v>48</v>
      </c>
      <c r="C38" s="20">
        <f>+MOP_Mes_Corriente!C39*MOP_Mes_Constante!$C$1</f>
        <v>0</v>
      </c>
      <c r="D38" s="20">
        <f>+MOP_Mes_Corriente!D39*MOP_Mes_Constante!$C$1</f>
        <v>93317.405605813445</v>
      </c>
      <c r="E38" s="20">
        <f>+MOP_Mes_Corriente!E39*MOP_Mes_Constante!$C$1</f>
        <v>4705845.8617825899</v>
      </c>
      <c r="F38" s="20">
        <f>+MOP_Mes_Corriente!F39*MOP_Mes_Constante!$C$1</f>
        <v>6775704.699391963</v>
      </c>
      <c r="G38" s="20">
        <f>+MOP_Mes_Corriente!G39*MOP_Mes_Constante!$C$1</f>
        <v>13934924.475456031</v>
      </c>
      <c r="H38" s="20">
        <f>+MOP_Mes_Corriente!H39*MOP_Mes_Constante!$C$1</f>
        <v>28119234.941420738</v>
      </c>
      <c r="I38" s="20">
        <f>+MOP_Mes_Corriente!I39*MOP_Mes_Constante!$C$1</f>
        <v>31822254.509862084</v>
      </c>
      <c r="J38" s="20">
        <f>+MOP_Mes_Corriente!J39*MOP_Mes_Constante!$C$1</f>
        <v>32618373.133026849</v>
      </c>
      <c r="K38" s="20">
        <f>+MOP_Mes_Corriente!K39*MOP_Mes_Constante!$C$1</f>
        <v>32871988.229274809</v>
      </c>
      <c r="L38" s="20">
        <f>+MOP_Mes_Corriente!L39*MOP_Mes_Constante!$C$1</f>
        <v>33325463.409165066</v>
      </c>
      <c r="M38" s="20">
        <f>+MOP_Mes_Corriente!M39*MOP_Mes_Constante!$C$1</f>
        <v>38297631.128577791</v>
      </c>
      <c r="N38" s="20">
        <f>+MOP_Mes_Corriente!N39*MOP_Mes_Constante!$C$1</f>
        <v>41097845.18493253</v>
      </c>
      <c r="O38" s="20">
        <f t="shared" si="38"/>
        <v>41097845.18493253</v>
      </c>
      <c r="P38" s="20">
        <f>+MOP_Mes_Corriente!P39*MOP_Mes_Constante!$P$1</f>
        <v>462741.47861912189</v>
      </c>
      <c r="Q38" s="20">
        <f>+MOP_Mes_Corriente!Q39*MOP_Mes_Constante!$P$1</f>
        <v>1442298.7449921858</v>
      </c>
      <c r="R38" s="20">
        <f>+MOP_Mes_Corriente!R39*MOP_Mes_Constante!$P$1</f>
        <v>2093919.2382440679</v>
      </c>
      <c r="S38" s="20">
        <f>+MOP_Mes_Corriente!S39*MOP_Mes_Constante!$P$1</f>
        <v>2655230.6526495232</v>
      </c>
      <c r="T38" s="20">
        <f>+MOP_Mes_Corriente!T39*MOP_Mes_Constante!$P$1</f>
        <v>3100812.4594402602</v>
      </c>
      <c r="U38" s="20">
        <f>+MOP_Mes_Corriente!U39*MOP_Mes_Constante!$P$1</f>
        <v>3532422.8319363534</v>
      </c>
      <c r="V38" s="20">
        <f>+MOP_Mes_Corriente!V39*MOP_Mes_Constante!$P$1</f>
        <v>5381662.6898707179</v>
      </c>
      <c r="W38" s="20">
        <f>+MOP_Mes_Corriente!W39*MOP_Mes_Constante!$P$1</f>
        <v>6814173.204148314</v>
      </c>
      <c r="X38" s="20">
        <f>+MOP_Mes_Corriente!X39*MOP_Mes_Constante!$P$1</f>
        <v>8702156.201733198</v>
      </c>
      <c r="Y38" s="20">
        <f>+MOP_Mes_Corriente!Y39*MOP_Mes_Constante!$P$1</f>
        <v>11137207.542832784</v>
      </c>
      <c r="Z38" s="20">
        <f>+MOP_Mes_Corriente!Z39*MOP_Mes_Constante!$P$1</f>
        <v>14082030.746696969</v>
      </c>
      <c r="AA38" s="20">
        <f>+MOP_Mes_Corriente!AA39*MOP_Mes_Constante!$P$1</f>
        <v>18586231.172893871</v>
      </c>
      <c r="AB38" s="20">
        <f t="shared" si="39"/>
        <v>18586231.172893871</v>
      </c>
      <c r="AC38" s="20">
        <f>+MOP_Mes_Corriente!AC39*MOP_Mes_Constante!$AC$1</f>
        <v>0</v>
      </c>
      <c r="AD38" s="20">
        <f>+MOP_Mes_Corriente!AD39*MOP_Mes_Constante!$AC$1</f>
        <v>2603534.7605477935</v>
      </c>
      <c r="AE38" s="20">
        <f>+MOP_Mes_Corriente!AE39*MOP_Mes_Constante!$AC$1</f>
        <v>3662681.1592198089</v>
      </c>
      <c r="AF38" s="20">
        <f>+MOP_Mes_Corriente!AF39*MOP_Mes_Constante!$AC$1</f>
        <v>6222369.8470051186</v>
      </c>
      <c r="AG38" s="20">
        <f>+MOP_Mes_Corriente!AG39*MOP_Mes_Constante!$AC$1</f>
        <v>8725527.1780329235</v>
      </c>
      <c r="AH38" s="20">
        <f>+MOP_Mes_Corriente!AH39*MOP_Mes_Constante!$AC$1</f>
        <v>10863252.204177618</v>
      </c>
      <c r="AI38" s="20">
        <f>+MOP_Mes_Corriente!AI39*MOP_Mes_Constante!$AC$1</f>
        <v>12561074.615299487</v>
      </c>
      <c r="AJ38" s="20">
        <f>+MOP_Mes_Corriente!AJ39*MOP_Mes_Constante!$AC$1</f>
        <v>13063992.546133628</v>
      </c>
      <c r="AK38" s="20">
        <f>+MOP_Mes_Corriente!AK39*MOP_Mes_Constante!$AC$1</f>
        <v>15531430.668695532</v>
      </c>
      <c r="AL38" s="20">
        <f>+MOP_Mes_Corriente!AL39*MOP_Mes_Constante!$AC$1</f>
        <v>18123824.808687232</v>
      </c>
      <c r="AM38" s="20">
        <f>+MOP_Mes_Corriente!AM39*MOP_Mes_Constante!$AC$1</f>
        <v>20903349.936644074</v>
      </c>
      <c r="AN38" s="20">
        <f>+MOP_Mes_Corriente!AN39*MOP_Mes_Constante!$AC$1</f>
        <v>24321585.839535207</v>
      </c>
      <c r="AO38" s="20">
        <f t="shared" si="40"/>
        <v>24321585.839535207</v>
      </c>
      <c r="AP38" s="20">
        <f>+MOP_Mes_Corriente!AP39*MOP_Mes_Constante!$AP$1</f>
        <v>0</v>
      </c>
      <c r="AQ38" s="20">
        <f>+MOP_Mes_Corriente!AQ39*MOP_Mes_Constante!$AP$1</f>
        <v>2853381.1335046664</v>
      </c>
      <c r="AR38" s="20">
        <f>+MOP_Mes_Corriente!AR39*MOP_Mes_Constante!$AP$1</f>
        <v>4492304.7796564316</v>
      </c>
      <c r="AS38" s="20">
        <f>+MOP_Mes_Corriente!AS39*MOP_Mes_Constante!$AP$1</f>
        <v>6325774.1836872716</v>
      </c>
      <c r="AT38" s="20">
        <f>+MOP_Mes_Corriente!AT39*MOP_Mes_Constante!$AP$1</f>
        <v>8265940.9360205596</v>
      </c>
      <c r="AU38" s="20">
        <f>+MOP_Mes_Corriente!AU39*MOP_Mes_Constante!$AP$1</f>
        <v>12922744.604084944</v>
      </c>
      <c r="AV38" s="20">
        <f>+MOP_Mes_Corriente!AV39*MOP_Mes_Constante!$AP$1</f>
        <v>15046831.124847827</v>
      </c>
      <c r="AW38" s="20">
        <f>+MOP_Mes_Corriente!AW39*MOP_Mes_Constante!$AP$1</f>
        <v>17271164.028134722</v>
      </c>
      <c r="AX38" s="20">
        <f>+MOP_Mes_Corriente!AX39*MOP_Mes_Constante!$AP$1</f>
        <v>19389044.91194373</v>
      </c>
      <c r="AY38" s="20">
        <f>+MOP_Mes_Corriente!AY39*MOP_Mes_Constante!$AP$1</f>
        <v>21122955.149736237</v>
      </c>
      <c r="AZ38" s="20">
        <f>+MOP_Mes_Corriente!AZ39*MOP_Mes_Constante!$AP$1</f>
        <v>22893286.372785065</v>
      </c>
      <c r="BA38" s="20">
        <f>+MOP_Mes_Corriente!BA39*MOP_Mes_Constante!$AP$1</f>
        <v>31392932.571892329</v>
      </c>
      <c r="BB38" s="20">
        <f t="shared" si="41"/>
        <v>31392932.571892329</v>
      </c>
      <c r="BC38" s="20">
        <f>+MOP_Mes_Corriente!BC39*MOP_Mes_Constante!$BC$1</f>
        <v>0</v>
      </c>
      <c r="BD38" s="20">
        <f>+MOP_Mes_Corriente!BD39*MOP_Mes_Constante!$BC$1</f>
        <v>8481446.1822497714</v>
      </c>
      <c r="BE38" s="20">
        <f>+MOP_Mes_Corriente!BE39*MOP_Mes_Constante!$BC$1</f>
        <v>10779457.888698407</v>
      </c>
      <c r="BF38" s="20">
        <f>+MOP_Mes_Corriente!BF39*MOP_Mes_Constante!$BC$1</f>
        <v>12564136.347092183</v>
      </c>
      <c r="BG38" s="20">
        <f>+MOP_Mes_Corriente!BG39*MOP_Mes_Constante!$BC$1</f>
        <v>16071208.003692474</v>
      </c>
      <c r="BH38" s="20">
        <f>+MOP_Mes_Corriente!BH39*MOP_Mes_Constante!$BC$1</f>
        <v>17513918.367400769</v>
      </c>
      <c r="BI38" s="20">
        <f>+MOP_Mes_Corriente!BI39*MOP_Mes_Constante!$BC$1</f>
        <v>18925416.939997368</v>
      </c>
      <c r="BJ38" s="20">
        <f>+MOP_Mes_Corriente!BJ39*MOP_Mes_Constante!$BC$1</f>
        <v>20828425.577739686</v>
      </c>
      <c r="BK38" s="20">
        <f>+MOP_Mes_Corriente!BK39*MOP_Mes_Constante!$BC$1</f>
        <v>23146545.850191224</v>
      </c>
      <c r="BL38" s="20">
        <f>+MOP_Mes_Corriente!BL39*MOP_Mes_Constante!$BC$1</f>
        <v>24685568.694975611</v>
      </c>
      <c r="BM38" s="20">
        <f>+MOP_Mes_Corriente!BM39*MOP_Mes_Constante!$BC$1</f>
        <v>25797608.704470534</v>
      </c>
      <c r="BN38" s="20">
        <f>+MOP_Mes_Corriente!BN39*MOP_Mes_Constante!$BC$1</f>
        <v>29947823.076618761</v>
      </c>
      <c r="BO38" s="20">
        <f t="shared" si="42"/>
        <v>29947823.076618761</v>
      </c>
      <c r="BP38" s="20">
        <f>+MOP_Mes_Corriente!BP39*MOP_Mes_Constante!$BP$1</f>
        <v>0</v>
      </c>
      <c r="BQ38" s="20">
        <f>+MOP_Mes_Corriente!BQ39*MOP_Mes_Constante!$BP$1</f>
        <v>1457191.2468629964</v>
      </c>
      <c r="BR38" s="20">
        <f>+MOP_Mes_Corriente!BR39*MOP_Mes_Constante!$BP$1</f>
        <v>2554519.7846350833</v>
      </c>
      <c r="BS38" s="20">
        <f>+MOP_Mes_Corriente!BS39*MOP_Mes_Constante!$BP$1</f>
        <v>4133262.4317541616</v>
      </c>
      <c r="BT38" s="20">
        <f>+MOP_Mes_Corriente!BT39*MOP_Mes_Constante!$BP$1</f>
        <v>5541493.7270166455</v>
      </c>
      <c r="BU38" s="20">
        <f>+MOP_Mes_Corriente!BU39*MOP_Mes_Constante!$BP$1</f>
        <v>5964204.0192061467</v>
      </c>
      <c r="BV38" s="20">
        <f>+MOP_Mes_Corriente!BV39*MOP_Mes_Constante!$BP$1</f>
        <v>7088611.1300896294</v>
      </c>
      <c r="BW38" s="20">
        <f>+MOP_Mes_Corriente!BW39*MOP_Mes_Constante!$BP$1</f>
        <v>7790506.6033290662</v>
      </c>
      <c r="BX38" s="20">
        <f>+MOP_Mes_Corriente!BX39*MOP_Mes_Constante!$BP$1</f>
        <v>8613417.669142127</v>
      </c>
      <c r="BY38" s="20">
        <f>+MOP_Mes_Corriente!BY39*MOP_Mes_Constante!$BP$1</f>
        <v>9952648.6862996165</v>
      </c>
      <c r="BZ38" s="20">
        <f>+MOP_Mes_Corriente!BZ39*MOP_Mes_Constante!$BP$1</f>
        <v>16928358.282714471</v>
      </c>
      <c r="CA38" s="20">
        <f>+MOP_Mes_Corriente!CA39*MOP_Mes_Constante!$BP$1</f>
        <v>19837307.154929578</v>
      </c>
      <c r="CB38" s="20">
        <f t="shared" si="43"/>
        <v>19837307.154929578</v>
      </c>
      <c r="CC38" s="20">
        <f>+MOP_Mes_Corriente!CC39*MOP_Mes_Constante!$CC$1</f>
        <v>0</v>
      </c>
      <c r="CD38" s="20">
        <f>+MOP_Mes_Corriente!CD39*MOP_Mes_Constante!$CC$1</f>
        <v>41880.962327489746</v>
      </c>
      <c r="CE38" s="20">
        <f>+MOP_Mes_Corriente!CE39*MOP_Mes_Constante!$CC$1</f>
        <v>171671.19209250281</v>
      </c>
      <c r="CF38" s="20">
        <f>+MOP_Mes_Corriente!CF39*MOP_Mes_Constante!$CC$1</f>
        <v>354462.64229765016</v>
      </c>
      <c r="CG38" s="20">
        <f>+MOP_Mes_Corriente!CG39*MOP_Mes_Constante!$CC$1</f>
        <v>368862.19470346888</v>
      </c>
      <c r="CH38" s="20">
        <f>+MOP_Mes_Corriente!CH39*MOP_Mes_Constante!$CC$1</f>
        <v>532096.06415516604</v>
      </c>
      <c r="CI38" s="20">
        <f>+MOP_Mes_Corriente!CI39*MOP_Mes_Constante!$CC$1</f>
        <v>608707.11674748233</v>
      </c>
      <c r="CJ38" s="20">
        <f>+MOP_Mes_Corriente!CJ39*MOP_Mes_Constante!$CC$1</f>
        <v>1535346.8414770609</v>
      </c>
      <c r="CK38" s="20">
        <f>+MOP_Mes_Corriente!CK39*MOP_Mes_Constante!$CC$1</f>
        <v>2344908.6960089519</v>
      </c>
      <c r="CL38" s="20">
        <f>+MOP_Mes_Corriente!CL39*MOP_Mes_Constante!$CC$1</f>
        <v>3377427.2428198438</v>
      </c>
      <c r="CM38" s="20">
        <f>+MOP_Mes_Corriente!CM39*MOP_Mes_Constante!$CC$1</f>
        <v>4840958.3543453943</v>
      </c>
      <c r="CN38" s="20">
        <f>+MOP_Mes_Corriente!CN39*MOP_Mes_Constante!$CC$1</f>
        <v>6672172.5274151443</v>
      </c>
      <c r="CO38" s="20">
        <f t="shared" si="44"/>
        <v>6672172.5274151443</v>
      </c>
      <c r="CP38" s="20">
        <f>+MOP_Mes_Corriente!CP39*MOP_Mes_Constante!$CP$1</f>
        <v>0</v>
      </c>
      <c r="CQ38" s="20">
        <f>+MOP_Mes_Corriente!CQ39*MOP_Mes_Constante!$CP$1</f>
        <v>234881.11461716934</v>
      </c>
      <c r="CR38" s="20">
        <f>+MOP_Mes_Corriente!CR39*MOP_Mes_Constante!$CP$1</f>
        <v>598662.41136890941</v>
      </c>
      <c r="CS38" s="20">
        <f>+MOP_Mes_Corriente!CS39*MOP_Mes_Constante!$CP$1</f>
        <v>1099485.1545243617</v>
      </c>
      <c r="CT38" s="20">
        <f>+MOP_Mes_Corriente!CT39*MOP_Mes_Constante!$CP$1</f>
        <v>1471088.3011600925</v>
      </c>
      <c r="CU38" s="20">
        <f>+MOP_Mes_Corriente!CU39*MOP_Mes_Constante!$CP$1</f>
        <v>1922446.1777262178</v>
      </c>
      <c r="CV38" s="20">
        <f>+MOP_Mes_Corriente!CV39*MOP_Mes_Constante!$CP$1</f>
        <v>2640847.1554524358</v>
      </c>
      <c r="CW38" s="20">
        <f>+MOP_Mes_Corriente!CW39*MOP_Mes_Constante!$CP$1</f>
        <v>3486400.4088167045</v>
      </c>
      <c r="CX38" s="20">
        <f>+MOP_Mes_Corriente!CX39*MOP_Mes_Constante!$CP$1</f>
        <v>4894826.4522041753</v>
      </c>
      <c r="CY38" s="20">
        <f>+MOP_Mes_Corriente!CY39*MOP_Mes_Constante!$CP$1</f>
        <v>5836849.1874709968</v>
      </c>
      <c r="CZ38" s="20">
        <f>+MOP_Mes_Corriente!CZ39*MOP_Mes_Constante!$CP$1</f>
        <v>7085773.3761020871</v>
      </c>
      <c r="DA38" s="20">
        <f>+MOP_Mes_Corriente!DA39*MOP_Mes_Constante!$CP$1</f>
        <v>9046056.2157772612</v>
      </c>
      <c r="DB38" s="20">
        <f t="shared" si="45"/>
        <v>9046056.2157772612</v>
      </c>
      <c r="DC38" s="20">
        <f>+MOP_Mes_Corriente!DC39*MOP_Mes_Constante!$DC$1</f>
        <v>0</v>
      </c>
      <c r="DD38" s="20">
        <f>+MOP_Mes_Corriente!DD39*MOP_Mes_Constante!$DC$1</f>
        <v>0</v>
      </c>
      <c r="DE38" s="20">
        <f>+MOP_Mes_Corriente!DE39*MOP_Mes_Constante!$DC$1</f>
        <v>126763.40479374556</v>
      </c>
      <c r="DF38" s="20">
        <f>+MOP_Mes_Corriente!DF39*MOP_Mes_Constante!$DC$1</f>
        <v>972488.18125707284</v>
      </c>
      <c r="DG38" s="20">
        <f>+MOP_Mes_Corriente!DG39*MOP_Mes_Constante!$DC$1</f>
        <v>1226202.6919041257</v>
      </c>
      <c r="DH38" s="20">
        <f>+MOP_Mes_Corriente!DH39*MOP_Mes_Constante!$DC$1</f>
        <v>1494768.0654253685</v>
      </c>
      <c r="DI38" s="20">
        <f>+MOP_Mes_Corriente!DI39*MOP_Mes_Constante!$DC$1</f>
        <v>2207905.0844563325</v>
      </c>
      <c r="DJ38" s="20">
        <f>+MOP_Mes_Corriente!DJ39*MOP_Mes_Constante!$DC$1</f>
        <v>2830968.0740664555</v>
      </c>
      <c r="DK38" s="20">
        <f>+MOP_Mes_Corriente!DK39*MOP_Mes_Constante!$DC$1</f>
        <v>4218992.6824400797</v>
      </c>
      <c r="DL38" s="20">
        <f>+MOP_Mes_Corriente!DL39*MOP_Mes_Constante!$DC$1</f>
        <v>5064218.4213558296</v>
      </c>
      <c r="DM38" s="20">
        <f>+MOP_Mes_Corriente!DM39*MOP_Mes_Constante!$DC$1</f>
        <v>5797521.5027260594</v>
      </c>
      <c r="DN38" s="20">
        <f>+MOP_Mes_Corriente!DN39*MOP_Mes_Constante!$DC$1</f>
        <v>7824462.5345129138</v>
      </c>
      <c r="DO38" s="20">
        <f t="shared" si="46"/>
        <v>7824462.5345129138</v>
      </c>
      <c r="DP38" s="20">
        <f>+MOP_Mes_Corriente!DP39*MOP_Mes_Constante!$DP$1</f>
        <v>0</v>
      </c>
      <c r="DQ38" s="20">
        <f>+MOP_Mes_Corriente!DQ39*MOP_Mes_Constante!$DP$1</f>
        <v>15457.954275534443</v>
      </c>
      <c r="DR38" s="20">
        <f>+MOP_Mes_Corriente!DR39*MOP_Mes_Constante!$DP$1</f>
        <v>561674.69002375298</v>
      </c>
      <c r="DS38" s="20">
        <f>+MOP_Mes_Corriente!DS39*MOP_Mes_Constante!$DP$1</f>
        <v>884565.88895486947</v>
      </c>
      <c r="DT38" s="20">
        <f>+MOP_Mes_Corriente!DT39*MOP_Mes_Constante!$DP$1</f>
        <v>1525408.6621140144</v>
      </c>
      <c r="DU38" s="20">
        <f>+MOP_Mes_Corriente!DU39*MOP_Mes_Constante!$DP$1</f>
        <v>2215918.0207838481</v>
      </c>
      <c r="DV38" s="20">
        <f>+MOP_Mes_Corriente!DV39*MOP_Mes_Constante!$DP$1</f>
        <v>2710774.7707838481</v>
      </c>
      <c r="DW38" s="20">
        <f>+MOP_Mes_Corriente!DW39*MOP_Mes_Constante!$DP$1</f>
        <v>3912601.2488123518</v>
      </c>
      <c r="DX38" s="20">
        <f>+MOP_Mes_Corriente!DX39*MOP_Mes_Constante!$DP$1</f>
        <v>5394308.0736342045</v>
      </c>
      <c r="DY38" s="20">
        <f>+MOP_Mes_Corriente!DY39*MOP_Mes_Constante!$DP$1</f>
        <v>6362312.3123515444</v>
      </c>
      <c r="DZ38" s="20">
        <f>+MOP_Mes_Corriente!DZ39*MOP_Mes_Constante!$DP$1</f>
        <v>7751695.3022565329</v>
      </c>
      <c r="EA38" s="20">
        <f>+MOP_Mes_Corriente!EA39*MOP_Mes_Constante!$DP$1</f>
        <v>9106592.8343230411</v>
      </c>
      <c r="EB38" s="20">
        <f t="shared" si="47"/>
        <v>9106592.8343230411</v>
      </c>
      <c r="EC38" s="20">
        <f>+MOP_Mes_Corriente!EC39*MOP_Mes_Constante!$EC$1</f>
        <v>0</v>
      </c>
      <c r="ED38" s="20">
        <f>+MOP_Mes_Corriente!ED39*MOP_Mes_Constante!$EC$1</f>
        <v>1309396.5843590226</v>
      </c>
      <c r="EE38" s="20">
        <f>+MOP_Mes_Corriente!EE39*MOP_Mes_Constante!$EC$1</f>
        <v>2221160.008710471</v>
      </c>
      <c r="EF38" s="20">
        <f>+MOP_Mes_Corriente!EF39*MOP_Mes_Constante!$EC$1</f>
        <v>4368347.6250710078</v>
      </c>
      <c r="EG38" s="20">
        <f>+MOP_Mes_Corriente!EG39*MOP_Mes_Constante!$EC$1</f>
        <v>6933471.8100738479</v>
      </c>
      <c r="EH38" s="20">
        <f>+MOP_Mes_Corriente!EH39*MOP_Mes_Constante!$EC$1</f>
        <v>11585294.412043169</v>
      </c>
      <c r="EI38" s="20">
        <f>+MOP_Mes_Corriente!EI39*MOP_Mes_Constante!$EC$1</f>
        <v>13491091.082181402</v>
      </c>
      <c r="EJ38" s="20">
        <f>+MOP_Mes_Corriente!EJ39*MOP_Mes_Constante!$EC$1</f>
        <v>16733337.61749668</v>
      </c>
      <c r="EK38" s="20">
        <f>+MOP_Mes_Corriente!EK39*MOP_Mes_Constante!$EC$1</f>
        <v>20766723.999242563</v>
      </c>
      <c r="EL38" s="20">
        <f>+MOP_Mes_Corriente!EL39*MOP_Mes_Constante!$EC$1</f>
        <v>24595083.918576021</v>
      </c>
      <c r="EM38" s="20">
        <f>+MOP_Mes_Corriente!EM39*MOP_Mes_Constante!$EC$1</f>
        <v>28683285.469229303</v>
      </c>
      <c r="EN38" s="20">
        <f>+MOP_Mes_Corriente!EN39*MOP_Mes_Constante!$EC$1</f>
        <v>34678668.836205252</v>
      </c>
      <c r="EO38" s="20">
        <f t="shared" si="48"/>
        <v>34678668.836205252</v>
      </c>
      <c r="EP38" s="20">
        <f>+MOP_Mes_Corriente!EP39*MOP_Mes_Constante!$EP$1</f>
        <v>1010340</v>
      </c>
      <c r="EQ38" s="20">
        <f>+MOP_Mes_Corriente!EQ39*MOP_Mes_Constante!$EP$1</f>
        <v>5400393</v>
      </c>
      <c r="ER38" s="20">
        <f>+MOP_Mes_Corriente!ER39*MOP_Mes_Constante!$EP$1</f>
        <v>9140892</v>
      </c>
      <c r="ES38" s="20">
        <f>+MOP_Mes_Corriente!ES39*MOP_Mes_Constante!$EP$1</f>
        <v>13609867</v>
      </c>
      <c r="ET38" s="20">
        <f>+MOP_Mes_Corriente!ET39*MOP_Mes_Constante!$EP$1</f>
        <v>16763840</v>
      </c>
      <c r="EU38" s="20">
        <f>+MOP_Mes_Corriente!EU39*MOP_Mes_Constante!$EP$1</f>
        <v>19193589</v>
      </c>
      <c r="EV38" s="20">
        <f>+MOP_Mes_Corriente!EV39*MOP_Mes_Constante!$EP$1</f>
        <v>22131755</v>
      </c>
      <c r="EW38" s="20">
        <f>+MOP_Mes_Corriente!EW39*MOP_Mes_Constante!$EP$1</f>
        <v>27614100</v>
      </c>
      <c r="EX38" s="20">
        <f>+MOP_Mes_Corriente!EX39*MOP_Mes_Constante!$EP$1</f>
        <v>31105744</v>
      </c>
      <c r="EY38" s="20">
        <f>+MOP_Mes_Corriente!EY39*MOP_Mes_Constante!$EP$1</f>
        <v>35933608</v>
      </c>
      <c r="EZ38" s="20">
        <f>+MOP_Mes_Corriente!EZ39*MOP_Mes_Constante!$EP$1</f>
        <v>40868830</v>
      </c>
      <c r="FA38" s="20">
        <f>+MOP_Mes_Corriente!FA39*MOP_Mes_Constante!$EP$1</f>
        <v>48235342</v>
      </c>
      <c r="FB38" s="20">
        <f t="shared" si="49"/>
        <v>48235342</v>
      </c>
      <c r="FC38" s="20">
        <f>+MOP_Mes_Corriente!FC39*MOP_Mes_Constante!$FC$1</f>
        <v>506557</v>
      </c>
      <c r="FD38" s="20">
        <f>+MOP_Mes_Corriente!FD39*MOP_Mes_Constante!$FC$1</f>
        <v>3068948</v>
      </c>
      <c r="FE38" s="20">
        <f>+MOP_Mes_Corriente!FE39*MOP_Mes_Constante!$FC$1</f>
        <v>4760248</v>
      </c>
      <c r="FF38" s="20">
        <f>+MOP_Mes_Corriente!FF39*MOP_Mes_Constante!$FC$1</f>
        <v>6527517</v>
      </c>
      <c r="FG38" s="20">
        <f>+MOP_Mes_Corriente!FG39*MOP_Mes_Constante!$FC$1</f>
        <v>9351673</v>
      </c>
      <c r="FH38" s="20">
        <f>+MOP_Mes_Corriente!FH39*MOP_Mes_Constante!$FC$1</f>
        <v>11151630</v>
      </c>
      <c r="FI38" s="20">
        <f>+MOP_Mes_Corriente!FI39*MOP_Mes_Constante!$FC$1</f>
        <v>13543806</v>
      </c>
      <c r="FJ38" s="10"/>
      <c r="FK38" s="10"/>
      <c r="FL38" s="10"/>
      <c r="FM38" s="10"/>
      <c r="FN38" s="10"/>
      <c r="FO38" s="20">
        <f t="shared" si="50"/>
        <v>13543806</v>
      </c>
    </row>
    <row r="39" spans="1:171" ht="21.75" customHeight="1">
      <c r="A39" s="10"/>
      <c r="B39" s="15" t="s">
        <v>49</v>
      </c>
      <c r="C39" s="38">
        <f t="shared" ref="C39:AH39" si="51">SUM(C33:C38)</f>
        <v>0</v>
      </c>
      <c r="D39" s="38">
        <f t="shared" si="51"/>
        <v>194696290.44282964</v>
      </c>
      <c r="E39" s="38">
        <f t="shared" si="51"/>
        <v>344165117.64852452</v>
      </c>
      <c r="F39" s="38">
        <f t="shared" si="51"/>
        <v>521892748.38677156</v>
      </c>
      <c r="G39" s="38">
        <f t="shared" si="51"/>
        <v>667730373.04493546</v>
      </c>
      <c r="H39" s="38">
        <f t="shared" si="51"/>
        <v>808159201.55183184</v>
      </c>
      <c r="I39" s="38">
        <f t="shared" si="51"/>
        <v>924218119.34272599</v>
      </c>
      <c r="J39" s="38">
        <f t="shared" si="51"/>
        <v>1052344680.1770728</v>
      </c>
      <c r="K39" s="38">
        <f t="shared" si="51"/>
        <v>1176950256.0889814</v>
      </c>
      <c r="L39" s="38">
        <f t="shared" si="51"/>
        <v>1316643012.7928226</v>
      </c>
      <c r="M39" s="38">
        <f t="shared" si="51"/>
        <v>1503331146.3843989</v>
      </c>
      <c r="N39" s="38">
        <f t="shared" si="51"/>
        <v>1864405818.3390186</v>
      </c>
      <c r="O39" s="38">
        <f t="shared" si="51"/>
        <v>1864405818.3390186</v>
      </c>
      <c r="P39" s="38">
        <f t="shared" si="51"/>
        <v>75249241.725245029</v>
      </c>
      <c r="Q39" s="38">
        <f t="shared" si="51"/>
        <v>229442566.51342511</v>
      </c>
      <c r="R39" s="38">
        <f t="shared" si="51"/>
        <v>422192821.73717844</v>
      </c>
      <c r="S39" s="38">
        <f t="shared" si="51"/>
        <v>584204175.27745402</v>
      </c>
      <c r="T39" s="38">
        <f t="shared" si="51"/>
        <v>719694039.85111487</v>
      </c>
      <c r="U39" s="38">
        <f t="shared" si="51"/>
        <v>842953173.31751645</v>
      </c>
      <c r="V39" s="38">
        <f t="shared" si="51"/>
        <v>965090267.58573627</v>
      </c>
      <c r="W39" s="38">
        <f t="shared" si="51"/>
        <v>1107315256.00966</v>
      </c>
      <c r="X39" s="38">
        <f t="shared" si="51"/>
        <v>1244130421.5658469</v>
      </c>
      <c r="Y39" s="38">
        <f t="shared" si="51"/>
        <v>1404441960.2113931</v>
      </c>
      <c r="Z39" s="38">
        <f t="shared" si="51"/>
        <v>1592278264.3974991</v>
      </c>
      <c r="AA39" s="38">
        <f t="shared" si="51"/>
        <v>2033748994.1093895</v>
      </c>
      <c r="AB39" s="38">
        <f t="shared" si="51"/>
        <v>2033748994.1093895</v>
      </c>
      <c r="AC39" s="38">
        <f t="shared" si="51"/>
        <v>72833001.656937331</v>
      </c>
      <c r="AD39" s="38">
        <f t="shared" si="51"/>
        <v>223125333.93830407</v>
      </c>
      <c r="AE39" s="38">
        <f t="shared" si="51"/>
        <v>394556021.13100016</v>
      </c>
      <c r="AF39" s="38">
        <f t="shared" si="51"/>
        <v>549601053.07926404</v>
      </c>
      <c r="AG39" s="38">
        <f t="shared" si="51"/>
        <v>688725491.36837721</v>
      </c>
      <c r="AH39" s="38">
        <f t="shared" si="51"/>
        <v>838133360.24678385</v>
      </c>
      <c r="AI39" s="38">
        <f t="shared" ref="AI39:BN39" si="52">SUM(AI33:AI38)</f>
        <v>968645613.68266702</v>
      </c>
      <c r="AJ39" s="38">
        <f t="shared" si="52"/>
        <v>1111161823.0441279</v>
      </c>
      <c r="AK39" s="38">
        <f t="shared" si="52"/>
        <v>1249766844.8250103</v>
      </c>
      <c r="AL39" s="38">
        <f t="shared" si="52"/>
        <v>1415348907.2436023</v>
      </c>
      <c r="AM39" s="38">
        <f t="shared" si="52"/>
        <v>1587698345.7402129</v>
      </c>
      <c r="AN39" s="38">
        <f t="shared" si="52"/>
        <v>1921943342.6144693</v>
      </c>
      <c r="AO39" s="38">
        <f t="shared" si="52"/>
        <v>1921943342.6144693</v>
      </c>
      <c r="AP39" s="38">
        <f t="shared" si="52"/>
        <v>72284007.048288912</v>
      </c>
      <c r="AQ39" s="38">
        <f t="shared" si="52"/>
        <v>203619352.34113351</v>
      </c>
      <c r="AR39" s="38">
        <f t="shared" si="52"/>
        <v>351332852.91762471</v>
      </c>
      <c r="AS39" s="38">
        <f t="shared" si="52"/>
        <v>488384744.07277155</v>
      </c>
      <c r="AT39" s="38">
        <f t="shared" si="52"/>
        <v>620160649.68646014</v>
      </c>
      <c r="AU39" s="38">
        <f t="shared" si="52"/>
        <v>743342021.5276612</v>
      </c>
      <c r="AV39" s="38">
        <f t="shared" si="52"/>
        <v>864358206.88056254</v>
      </c>
      <c r="AW39" s="38">
        <f t="shared" si="52"/>
        <v>1002920079.2162856</v>
      </c>
      <c r="AX39" s="38">
        <f t="shared" si="52"/>
        <v>1155799575.2592993</v>
      </c>
      <c r="AY39" s="38">
        <f t="shared" si="52"/>
        <v>1304354642.3771133</v>
      </c>
      <c r="AZ39" s="38">
        <f t="shared" si="52"/>
        <v>1492578405.0231302</v>
      </c>
      <c r="BA39" s="38">
        <f t="shared" si="52"/>
        <v>1914972682.0927904</v>
      </c>
      <c r="BB39" s="38">
        <f t="shared" si="52"/>
        <v>1914972682.0927904</v>
      </c>
      <c r="BC39" s="38">
        <f t="shared" si="52"/>
        <v>8811906.1716998573</v>
      </c>
      <c r="BD39" s="38">
        <f t="shared" si="52"/>
        <v>162968920.76566005</v>
      </c>
      <c r="BE39" s="38">
        <f t="shared" si="52"/>
        <v>323699240.58024532</v>
      </c>
      <c r="BF39" s="38">
        <f t="shared" si="52"/>
        <v>450086433.58828968</v>
      </c>
      <c r="BG39" s="38">
        <f t="shared" si="52"/>
        <v>592192315.12752223</v>
      </c>
      <c r="BH39" s="38">
        <f t="shared" si="52"/>
        <v>724039917.47909808</v>
      </c>
      <c r="BI39" s="38">
        <f t="shared" si="52"/>
        <v>847739740.98008716</v>
      </c>
      <c r="BJ39" s="38">
        <f t="shared" si="52"/>
        <v>963399578.84056461</v>
      </c>
      <c r="BK39" s="38">
        <f t="shared" si="52"/>
        <v>1092870010.3779509</v>
      </c>
      <c r="BL39" s="38">
        <f t="shared" si="52"/>
        <v>1253022136.8772256</v>
      </c>
      <c r="BM39" s="38">
        <f t="shared" si="52"/>
        <v>1416571294.0899386</v>
      </c>
      <c r="BN39" s="38">
        <f t="shared" si="52"/>
        <v>1784498886.1329291</v>
      </c>
      <c r="BO39" s="38">
        <f t="shared" ref="BO39:CT39" si="53">SUM(BO33:BO38)</f>
        <v>1784498886.1329291</v>
      </c>
      <c r="BP39" s="38">
        <f t="shared" si="53"/>
        <v>0</v>
      </c>
      <c r="BQ39" s="38">
        <f t="shared" si="53"/>
        <v>168101140.60947508</v>
      </c>
      <c r="BR39" s="38">
        <f t="shared" si="53"/>
        <v>320974078.48501927</v>
      </c>
      <c r="BS39" s="38">
        <f t="shared" si="53"/>
        <v>497782176.47400773</v>
      </c>
      <c r="BT39" s="38">
        <f t="shared" si="53"/>
        <v>633323152.98437917</v>
      </c>
      <c r="BU39" s="38">
        <f t="shared" si="53"/>
        <v>755629234.86376464</v>
      </c>
      <c r="BV39" s="38">
        <f t="shared" si="53"/>
        <v>914110130.40153658</v>
      </c>
      <c r="BW39" s="38">
        <f t="shared" si="53"/>
        <v>1071417893.9047376</v>
      </c>
      <c r="BX39" s="38">
        <f t="shared" si="53"/>
        <v>1200312288.0322666</v>
      </c>
      <c r="BY39" s="38">
        <f t="shared" si="53"/>
        <v>1376428221.8227916</v>
      </c>
      <c r="BZ39" s="38">
        <f t="shared" si="53"/>
        <v>1582663135.143918</v>
      </c>
      <c r="CA39" s="38">
        <f t="shared" si="53"/>
        <v>2033897042.9869399</v>
      </c>
      <c r="CB39" s="38">
        <f t="shared" si="53"/>
        <v>2033897042.9869399</v>
      </c>
      <c r="CC39" s="38">
        <f t="shared" si="53"/>
        <v>4035834.5505408435</v>
      </c>
      <c r="CD39" s="38">
        <f t="shared" si="53"/>
        <v>151098929.21894819</v>
      </c>
      <c r="CE39" s="38">
        <f t="shared" si="53"/>
        <v>337236006.74972028</v>
      </c>
      <c r="CF39" s="38">
        <f t="shared" si="53"/>
        <v>482785613.36889225</v>
      </c>
      <c r="CG39" s="38">
        <f t="shared" si="53"/>
        <v>587891449.81723237</v>
      </c>
      <c r="CH39" s="38">
        <f t="shared" si="53"/>
        <v>745369939.07422614</v>
      </c>
      <c r="CI39" s="38">
        <f t="shared" si="53"/>
        <v>892665479.19656837</v>
      </c>
      <c r="CJ39" s="38">
        <f t="shared" si="53"/>
        <v>1029376962.5013056</v>
      </c>
      <c r="CK39" s="38">
        <f t="shared" si="53"/>
        <v>1151692231.1077955</v>
      </c>
      <c r="CL39" s="38">
        <f t="shared" si="53"/>
        <v>1323557211.2898173</v>
      </c>
      <c r="CM39" s="38">
        <f t="shared" si="53"/>
        <v>1527117887.151809</v>
      </c>
      <c r="CN39" s="38">
        <f t="shared" si="53"/>
        <v>1854563032.3528535</v>
      </c>
      <c r="CO39" s="38">
        <f t="shared" si="53"/>
        <v>1854563032.3528535</v>
      </c>
      <c r="CP39" s="38">
        <f t="shared" si="53"/>
        <v>11488678.859860785</v>
      </c>
      <c r="CQ39" s="38">
        <f t="shared" si="53"/>
        <v>174497091.35429233</v>
      </c>
      <c r="CR39" s="38">
        <f t="shared" si="53"/>
        <v>346124773.01276094</v>
      </c>
      <c r="CS39" s="38">
        <f t="shared" si="53"/>
        <v>501056607.72111356</v>
      </c>
      <c r="CT39" s="38">
        <f t="shared" si="53"/>
        <v>640891497.70023191</v>
      </c>
      <c r="CU39" s="38">
        <f t="shared" ref="CU39:DZ39" si="54">SUM(CU33:CU38)</f>
        <v>772827357.39327145</v>
      </c>
      <c r="CV39" s="38">
        <f t="shared" si="54"/>
        <v>893633310.29443145</v>
      </c>
      <c r="CW39" s="38">
        <f t="shared" si="54"/>
        <v>1035205516.6621809</v>
      </c>
      <c r="CX39" s="38">
        <f t="shared" si="54"/>
        <v>1161731571.5255218</v>
      </c>
      <c r="CY39" s="38">
        <f t="shared" si="54"/>
        <v>1281775198.9009278</v>
      </c>
      <c r="CZ39" s="38">
        <f t="shared" si="54"/>
        <v>1440254918.7522037</v>
      </c>
      <c r="DA39" s="38">
        <f t="shared" si="54"/>
        <v>1755911156.635962</v>
      </c>
      <c r="DB39" s="38">
        <f t="shared" si="54"/>
        <v>1755911156.635962</v>
      </c>
      <c r="DC39" s="38">
        <f t="shared" si="54"/>
        <v>943608.06912869087</v>
      </c>
      <c r="DD39" s="38">
        <f t="shared" si="54"/>
        <v>77638397.005040675</v>
      </c>
      <c r="DE39" s="38">
        <f t="shared" si="54"/>
        <v>196330638.25429487</v>
      </c>
      <c r="DF39" s="38">
        <f t="shared" si="54"/>
        <v>301771031.84013999</v>
      </c>
      <c r="DG39" s="38">
        <f t="shared" si="54"/>
        <v>409169784.76165026</v>
      </c>
      <c r="DH39" s="38">
        <f t="shared" si="54"/>
        <v>502171453.92202473</v>
      </c>
      <c r="DI39" s="38">
        <f t="shared" si="54"/>
        <v>596827352.75156903</v>
      </c>
      <c r="DJ39" s="38">
        <f t="shared" si="54"/>
        <v>694818246.45427454</v>
      </c>
      <c r="DK39" s="38">
        <f t="shared" si="54"/>
        <v>885748785.918733</v>
      </c>
      <c r="DL39" s="38">
        <f t="shared" si="54"/>
        <v>1002145294.8470327</v>
      </c>
      <c r="DM39" s="38">
        <f t="shared" si="54"/>
        <v>1142675141.5605397</v>
      </c>
      <c r="DN39" s="38">
        <f t="shared" si="54"/>
        <v>1493764718.9651279</v>
      </c>
      <c r="DO39" s="38">
        <f t="shared" si="54"/>
        <v>1493764718.9651279</v>
      </c>
      <c r="DP39" s="38">
        <f t="shared" si="54"/>
        <v>0</v>
      </c>
      <c r="DQ39" s="38">
        <f t="shared" si="54"/>
        <v>54086578.564133018</v>
      </c>
      <c r="DR39" s="38">
        <f t="shared" si="54"/>
        <v>254872437.00712594</v>
      </c>
      <c r="DS39" s="38">
        <f t="shared" si="54"/>
        <v>491790662.87707841</v>
      </c>
      <c r="DT39" s="38">
        <f t="shared" si="54"/>
        <v>680437448.7612828</v>
      </c>
      <c r="DU39" s="38">
        <f t="shared" si="54"/>
        <v>848519295.60213792</v>
      </c>
      <c r="DV39" s="38">
        <f t="shared" si="54"/>
        <v>1005187478.8592638</v>
      </c>
      <c r="DW39" s="38">
        <f t="shared" si="54"/>
        <v>1154252168.5314729</v>
      </c>
      <c r="DX39" s="38">
        <f t="shared" si="54"/>
        <v>1301492712.5451307</v>
      </c>
      <c r="DY39" s="38">
        <f t="shared" si="54"/>
        <v>1475163875.5813539</v>
      </c>
      <c r="DZ39" s="38">
        <f t="shared" si="54"/>
        <v>1713761126.1698341</v>
      </c>
      <c r="EA39" s="38">
        <f t="shared" ref="EA39:FF39" si="55">SUM(EA33:EA38)</f>
        <v>2263236174.8390737</v>
      </c>
      <c r="EB39" s="38">
        <f t="shared" si="55"/>
        <v>2263236174.8390737</v>
      </c>
      <c r="EC39" s="38">
        <f t="shared" si="55"/>
        <v>0</v>
      </c>
      <c r="ED39" s="38">
        <f t="shared" si="55"/>
        <v>164317110.18803254</v>
      </c>
      <c r="EE39" s="38">
        <f t="shared" si="55"/>
        <v>353933900.95228165</v>
      </c>
      <c r="EF39" s="38">
        <f t="shared" si="55"/>
        <v>554287173.9259609</v>
      </c>
      <c r="EG39" s="38">
        <f t="shared" si="55"/>
        <v>760723415.15981805</v>
      </c>
      <c r="EH39" s="38">
        <f t="shared" si="55"/>
        <v>1140583145.8659339</v>
      </c>
      <c r="EI39" s="38">
        <f t="shared" si="55"/>
        <v>1273229480.259799</v>
      </c>
      <c r="EJ39" s="38">
        <f t="shared" si="55"/>
        <v>1420499254.9831467</v>
      </c>
      <c r="EK39" s="38">
        <f t="shared" si="55"/>
        <v>1617799363.7030857</v>
      </c>
      <c r="EL39" s="38">
        <f t="shared" si="55"/>
        <v>1822719610.5406168</v>
      </c>
      <c r="EM39" s="38">
        <f t="shared" si="55"/>
        <v>2091119036.0155268</v>
      </c>
      <c r="EN39" s="38">
        <f t="shared" si="55"/>
        <v>2394719563.1923876</v>
      </c>
      <c r="EO39" s="38">
        <f t="shared" si="55"/>
        <v>2394719563.1923876</v>
      </c>
      <c r="EP39" s="38">
        <f t="shared" si="55"/>
        <v>23332450</v>
      </c>
      <c r="EQ39" s="38">
        <f t="shared" si="55"/>
        <v>341398159</v>
      </c>
      <c r="ER39" s="38">
        <f t="shared" si="55"/>
        <v>625983482</v>
      </c>
      <c r="ES39" s="38">
        <f t="shared" si="55"/>
        <v>880971205</v>
      </c>
      <c r="ET39" s="38">
        <f t="shared" si="55"/>
        <v>1113168929</v>
      </c>
      <c r="EU39" s="38">
        <f t="shared" si="55"/>
        <v>1318401784</v>
      </c>
      <c r="EV39" s="38">
        <f t="shared" si="55"/>
        <v>1496809902</v>
      </c>
      <c r="EW39" s="38">
        <f t="shared" si="55"/>
        <v>1665089460</v>
      </c>
      <c r="EX39" s="38">
        <f t="shared" si="55"/>
        <v>1878525524</v>
      </c>
      <c r="EY39" s="38">
        <f t="shared" si="55"/>
        <v>2072015046</v>
      </c>
      <c r="EZ39" s="38">
        <f t="shared" si="55"/>
        <v>2288692805</v>
      </c>
      <c r="FA39" s="38">
        <f t="shared" si="55"/>
        <v>2763864492</v>
      </c>
      <c r="FB39" s="38">
        <f t="shared" si="55"/>
        <v>2763864492</v>
      </c>
      <c r="FC39" s="38">
        <f t="shared" si="55"/>
        <v>14447155</v>
      </c>
      <c r="FD39" s="38">
        <f t="shared" si="55"/>
        <v>235514599</v>
      </c>
      <c r="FE39" s="38">
        <f t="shared" si="55"/>
        <v>451239479</v>
      </c>
      <c r="FF39" s="38">
        <f t="shared" si="55"/>
        <v>645570032</v>
      </c>
      <c r="FG39" s="38">
        <f t="shared" ref="FG39:GL39" si="56">SUM(FG33:FG38)</f>
        <v>838467578</v>
      </c>
      <c r="FH39" s="38">
        <f t="shared" si="56"/>
        <v>1055666950</v>
      </c>
      <c r="FI39" s="38">
        <f t="shared" si="56"/>
        <v>1237018963</v>
      </c>
      <c r="FJ39" s="38">
        <f t="shared" si="56"/>
        <v>0</v>
      </c>
      <c r="FK39" s="38">
        <f t="shared" si="56"/>
        <v>0</v>
      </c>
      <c r="FL39" s="38">
        <f t="shared" si="56"/>
        <v>0</v>
      </c>
      <c r="FM39" s="38">
        <f t="shared" si="56"/>
        <v>0</v>
      </c>
      <c r="FN39" s="38">
        <f t="shared" si="56"/>
        <v>0</v>
      </c>
      <c r="FO39" s="38">
        <f t="shared" si="56"/>
        <v>1237018963</v>
      </c>
    </row>
    <row r="40" spans="1:171" ht="14.25" customHeight="1">
      <c r="A40" s="10"/>
      <c r="B40" s="18" t="s">
        <v>54</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row>
    <row r="41" spans="1:171" ht="14.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row>
    <row r="42" spans="1:171"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row>
    <row r="43" spans="1:171" ht="25.5" customHeight="1">
      <c r="A43" s="10"/>
      <c r="B43" s="106" t="s">
        <v>55</v>
      </c>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c r="CL43" s="105"/>
      <c r="CM43" s="105"/>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5"/>
      <c r="FN43" s="105"/>
      <c r="FO43" s="105"/>
    </row>
    <row r="44" spans="1:171" ht="14.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row>
    <row r="45" spans="1:171" ht="15.75" customHeight="1">
      <c r="A45" s="10"/>
      <c r="B45" s="104" t="s">
        <v>56</v>
      </c>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5"/>
      <c r="FN45" s="105"/>
      <c r="FO45" s="105"/>
    </row>
    <row r="46" spans="1:171" ht="21.75" customHeight="1">
      <c r="A46" s="10"/>
      <c r="B46" s="14"/>
      <c r="C46" s="102" t="s">
        <v>4</v>
      </c>
      <c r="D46" s="103"/>
      <c r="E46" s="103"/>
      <c r="F46" s="103"/>
      <c r="G46" s="103"/>
      <c r="H46" s="103"/>
      <c r="I46" s="103"/>
      <c r="J46" s="103"/>
      <c r="K46" s="103"/>
      <c r="L46" s="103"/>
      <c r="M46" s="103"/>
      <c r="N46" s="103"/>
      <c r="O46" s="103"/>
      <c r="P46" s="102" t="s">
        <v>5</v>
      </c>
      <c r="Q46" s="103"/>
      <c r="R46" s="103"/>
      <c r="S46" s="103"/>
      <c r="T46" s="103"/>
      <c r="U46" s="103"/>
      <c r="V46" s="103"/>
      <c r="W46" s="103"/>
      <c r="X46" s="103"/>
      <c r="Y46" s="103"/>
      <c r="Z46" s="103"/>
      <c r="AA46" s="103"/>
      <c r="AB46" s="103"/>
      <c r="AC46" s="102" t="s">
        <v>6</v>
      </c>
      <c r="AD46" s="103"/>
      <c r="AE46" s="103"/>
      <c r="AF46" s="103"/>
      <c r="AG46" s="103"/>
      <c r="AH46" s="103"/>
      <c r="AI46" s="103"/>
      <c r="AJ46" s="103"/>
      <c r="AK46" s="103"/>
      <c r="AL46" s="103"/>
      <c r="AM46" s="103"/>
      <c r="AN46" s="103"/>
      <c r="AO46" s="103"/>
      <c r="AP46" s="102" t="s">
        <v>7</v>
      </c>
      <c r="AQ46" s="103"/>
      <c r="AR46" s="103"/>
      <c r="AS46" s="103"/>
      <c r="AT46" s="103"/>
      <c r="AU46" s="103"/>
      <c r="AV46" s="103"/>
      <c r="AW46" s="103"/>
      <c r="AX46" s="103"/>
      <c r="AY46" s="103"/>
      <c r="AZ46" s="103"/>
      <c r="BA46" s="103"/>
      <c r="BB46" s="103"/>
      <c r="BC46" s="102" t="s">
        <v>8</v>
      </c>
      <c r="BD46" s="103"/>
      <c r="BE46" s="103"/>
      <c r="BF46" s="103"/>
      <c r="BG46" s="103"/>
      <c r="BH46" s="103"/>
      <c r="BI46" s="103"/>
      <c r="BJ46" s="103"/>
      <c r="BK46" s="103"/>
      <c r="BL46" s="103"/>
      <c r="BM46" s="103"/>
      <c r="BN46" s="103"/>
      <c r="BO46" s="103"/>
      <c r="BP46" s="102" t="s">
        <v>9</v>
      </c>
      <c r="BQ46" s="103"/>
      <c r="BR46" s="103"/>
      <c r="BS46" s="103"/>
      <c r="BT46" s="103"/>
      <c r="BU46" s="103"/>
      <c r="BV46" s="103"/>
      <c r="BW46" s="103"/>
      <c r="BX46" s="103"/>
      <c r="BY46" s="103"/>
      <c r="BZ46" s="103"/>
      <c r="CA46" s="103"/>
      <c r="CB46" s="103"/>
      <c r="CC46" s="102" t="s">
        <v>10</v>
      </c>
      <c r="CD46" s="103"/>
      <c r="CE46" s="103"/>
      <c r="CF46" s="103"/>
      <c r="CG46" s="103"/>
      <c r="CH46" s="103"/>
      <c r="CI46" s="103"/>
      <c r="CJ46" s="103"/>
      <c r="CK46" s="103"/>
      <c r="CL46" s="103"/>
      <c r="CM46" s="103"/>
      <c r="CN46" s="103"/>
      <c r="CO46" s="103"/>
      <c r="CP46" s="102" t="s">
        <v>57</v>
      </c>
      <c r="CQ46" s="103"/>
      <c r="CR46" s="103"/>
      <c r="CS46" s="103"/>
      <c r="CT46" s="103"/>
      <c r="CU46" s="103"/>
      <c r="CV46" s="103"/>
      <c r="CW46" s="103"/>
      <c r="CX46" s="103"/>
      <c r="CY46" s="103"/>
      <c r="CZ46" s="103"/>
      <c r="DA46" s="103"/>
      <c r="DB46" s="103"/>
      <c r="DC46" s="102" t="s">
        <v>58</v>
      </c>
      <c r="DD46" s="103"/>
      <c r="DE46" s="103"/>
      <c r="DF46" s="103"/>
      <c r="DG46" s="103"/>
      <c r="DH46" s="103"/>
      <c r="DI46" s="103"/>
      <c r="DJ46" s="103"/>
      <c r="DK46" s="103"/>
      <c r="DL46" s="103"/>
      <c r="DM46" s="103"/>
      <c r="DN46" s="103"/>
      <c r="DO46" s="103"/>
      <c r="DP46" s="102" t="s">
        <v>13</v>
      </c>
      <c r="DQ46" s="103"/>
      <c r="DR46" s="103"/>
      <c r="DS46" s="103"/>
      <c r="DT46" s="103"/>
      <c r="DU46" s="103"/>
      <c r="DV46" s="103"/>
      <c r="DW46" s="103"/>
      <c r="DX46" s="103"/>
      <c r="DY46" s="103"/>
      <c r="DZ46" s="103"/>
      <c r="EA46" s="103"/>
      <c r="EB46" s="103"/>
      <c r="EC46" s="102" t="s">
        <v>14</v>
      </c>
      <c r="ED46" s="103"/>
      <c r="EE46" s="103"/>
      <c r="EF46" s="103"/>
      <c r="EG46" s="103"/>
      <c r="EH46" s="103"/>
      <c r="EI46" s="103"/>
      <c r="EJ46" s="103"/>
      <c r="EK46" s="103"/>
      <c r="EL46" s="103"/>
      <c r="EM46" s="103"/>
      <c r="EN46" s="103"/>
      <c r="EO46" s="103"/>
      <c r="EP46" s="102" t="s">
        <v>15</v>
      </c>
      <c r="EQ46" s="103"/>
      <c r="ER46" s="103"/>
      <c r="ES46" s="103"/>
      <c r="ET46" s="103"/>
      <c r="EU46" s="103"/>
      <c r="EV46" s="103"/>
      <c r="EW46" s="103"/>
      <c r="EX46" s="103"/>
      <c r="EY46" s="103"/>
      <c r="EZ46" s="103"/>
      <c r="FA46" s="103"/>
      <c r="FB46" s="103"/>
      <c r="FC46" s="102" t="s">
        <v>16</v>
      </c>
      <c r="FD46" s="103"/>
      <c r="FE46" s="103"/>
      <c r="FF46" s="103"/>
      <c r="FG46" s="103"/>
      <c r="FH46" s="103"/>
      <c r="FI46" s="103"/>
      <c r="FJ46" s="103"/>
      <c r="FK46" s="103"/>
      <c r="FL46" s="103"/>
      <c r="FM46" s="103"/>
      <c r="FN46" s="103"/>
      <c r="FO46" s="103"/>
    </row>
    <row r="47" spans="1:171" ht="27.75" customHeight="1">
      <c r="A47" s="10"/>
      <c r="B47" s="15" t="s">
        <v>17</v>
      </c>
      <c r="C47" s="16" t="s">
        <v>18</v>
      </c>
      <c r="D47" s="16" t="s">
        <v>19</v>
      </c>
      <c r="E47" s="16" t="s">
        <v>20</v>
      </c>
      <c r="F47" s="16" t="s">
        <v>21</v>
      </c>
      <c r="G47" s="16" t="s">
        <v>22</v>
      </c>
      <c r="H47" s="16" t="s">
        <v>23</v>
      </c>
      <c r="I47" s="16" t="s">
        <v>24</v>
      </c>
      <c r="J47" s="16" t="s">
        <v>25</v>
      </c>
      <c r="K47" s="16" t="s">
        <v>26</v>
      </c>
      <c r="L47" s="16" t="s">
        <v>27</v>
      </c>
      <c r="M47" s="16" t="s">
        <v>28</v>
      </c>
      <c r="N47" s="16" t="s">
        <v>29</v>
      </c>
      <c r="O47" s="16" t="s">
        <v>30</v>
      </c>
      <c r="P47" s="16" t="s">
        <v>18</v>
      </c>
      <c r="Q47" s="16" t="s">
        <v>19</v>
      </c>
      <c r="R47" s="16" t="s">
        <v>20</v>
      </c>
      <c r="S47" s="16" t="s">
        <v>21</v>
      </c>
      <c r="T47" s="16" t="s">
        <v>22</v>
      </c>
      <c r="U47" s="16" t="s">
        <v>23</v>
      </c>
      <c r="V47" s="16" t="s">
        <v>24</v>
      </c>
      <c r="W47" s="16" t="s">
        <v>25</v>
      </c>
      <c r="X47" s="16" t="s">
        <v>26</v>
      </c>
      <c r="Y47" s="16" t="s">
        <v>27</v>
      </c>
      <c r="Z47" s="16" t="s">
        <v>28</v>
      </c>
      <c r="AA47" s="16" t="s">
        <v>29</v>
      </c>
      <c r="AB47" s="16" t="s">
        <v>31</v>
      </c>
      <c r="AC47" s="16" t="s">
        <v>18</v>
      </c>
      <c r="AD47" s="16" t="s">
        <v>19</v>
      </c>
      <c r="AE47" s="16" t="s">
        <v>20</v>
      </c>
      <c r="AF47" s="16" t="s">
        <v>21</v>
      </c>
      <c r="AG47" s="16" t="s">
        <v>22</v>
      </c>
      <c r="AH47" s="16" t="s">
        <v>23</v>
      </c>
      <c r="AI47" s="16" t="s">
        <v>24</v>
      </c>
      <c r="AJ47" s="16" t="s">
        <v>25</v>
      </c>
      <c r="AK47" s="16" t="s">
        <v>26</v>
      </c>
      <c r="AL47" s="16" t="s">
        <v>27</v>
      </c>
      <c r="AM47" s="16" t="s">
        <v>28</v>
      </c>
      <c r="AN47" s="16" t="s">
        <v>29</v>
      </c>
      <c r="AO47" s="16" t="s">
        <v>32</v>
      </c>
      <c r="AP47" s="16" t="s">
        <v>18</v>
      </c>
      <c r="AQ47" s="16" t="s">
        <v>19</v>
      </c>
      <c r="AR47" s="16" t="s">
        <v>20</v>
      </c>
      <c r="AS47" s="16" t="s">
        <v>21</v>
      </c>
      <c r="AT47" s="16" t="s">
        <v>22</v>
      </c>
      <c r="AU47" s="16" t="s">
        <v>23</v>
      </c>
      <c r="AV47" s="16" t="s">
        <v>24</v>
      </c>
      <c r="AW47" s="16" t="s">
        <v>25</v>
      </c>
      <c r="AX47" s="16" t="s">
        <v>26</v>
      </c>
      <c r="AY47" s="16" t="s">
        <v>27</v>
      </c>
      <c r="AZ47" s="16" t="s">
        <v>28</v>
      </c>
      <c r="BA47" s="16" t="s">
        <v>29</v>
      </c>
      <c r="BB47" s="16" t="s">
        <v>33</v>
      </c>
      <c r="BC47" s="16" t="s">
        <v>18</v>
      </c>
      <c r="BD47" s="16" t="s">
        <v>19</v>
      </c>
      <c r="BE47" s="16" t="s">
        <v>20</v>
      </c>
      <c r="BF47" s="16" t="s">
        <v>21</v>
      </c>
      <c r="BG47" s="16" t="s">
        <v>22</v>
      </c>
      <c r="BH47" s="16" t="s">
        <v>23</v>
      </c>
      <c r="BI47" s="16" t="s">
        <v>24</v>
      </c>
      <c r="BJ47" s="16" t="s">
        <v>25</v>
      </c>
      <c r="BK47" s="16" t="s">
        <v>26</v>
      </c>
      <c r="BL47" s="16" t="s">
        <v>27</v>
      </c>
      <c r="BM47" s="16" t="s">
        <v>28</v>
      </c>
      <c r="BN47" s="16" t="s">
        <v>29</v>
      </c>
      <c r="BO47" s="16" t="s">
        <v>34</v>
      </c>
      <c r="BP47" s="16" t="s">
        <v>18</v>
      </c>
      <c r="BQ47" s="16" t="s">
        <v>19</v>
      </c>
      <c r="BR47" s="16" t="s">
        <v>20</v>
      </c>
      <c r="BS47" s="16" t="s">
        <v>21</v>
      </c>
      <c r="BT47" s="16" t="s">
        <v>22</v>
      </c>
      <c r="BU47" s="16" t="s">
        <v>23</v>
      </c>
      <c r="BV47" s="16" t="s">
        <v>24</v>
      </c>
      <c r="BW47" s="16" t="s">
        <v>25</v>
      </c>
      <c r="BX47" s="16" t="s">
        <v>26</v>
      </c>
      <c r="BY47" s="16" t="s">
        <v>27</v>
      </c>
      <c r="BZ47" s="16" t="s">
        <v>28</v>
      </c>
      <c r="CA47" s="16" t="s">
        <v>29</v>
      </c>
      <c r="CB47" s="16" t="s">
        <v>35</v>
      </c>
      <c r="CC47" s="16" t="s">
        <v>18</v>
      </c>
      <c r="CD47" s="16" t="s">
        <v>19</v>
      </c>
      <c r="CE47" s="16" t="s">
        <v>20</v>
      </c>
      <c r="CF47" s="16" t="s">
        <v>21</v>
      </c>
      <c r="CG47" s="16" t="s">
        <v>22</v>
      </c>
      <c r="CH47" s="16" t="s">
        <v>23</v>
      </c>
      <c r="CI47" s="16" t="s">
        <v>24</v>
      </c>
      <c r="CJ47" s="16" t="s">
        <v>25</v>
      </c>
      <c r="CK47" s="16" t="s">
        <v>26</v>
      </c>
      <c r="CL47" s="16" t="s">
        <v>27</v>
      </c>
      <c r="CM47" s="16" t="s">
        <v>28</v>
      </c>
      <c r="CN47" s="16" t="s">
        <v>29</v>
      </c>
      <c r="CO47" s="16" t="s">
        <v>36</v>
      </c>
      <c r="CP47" s="16" t="s">
        <v>18</v>
      </c>
      <c r="CQ47" s="16" t="s">
        <v>19</v>
      </c>
      <c r="CR47" s="16" t="s">
        <v>20</v>
      </c>
      <c r="CS47" s="16" t="s">
        <v>21</v>
      </c>
      <c r="CT47" s="16" t="s">
        <v>22</v>
      </c>
      <c r="CU47" s="16" t="s">
        <v>23</v>
      </c>
      <c r="CV47" s="16" t="s">
        <v>24</v>
      </c>
      <c r="CW47" s="16" t="s">
        <v>25</v>
      </c>
      <c r="CX47" s="16" t="s">
        <v>26</v>
      </c>
      <c r="CY47" s="16" t="s">
        <v>27</v>
      </c>
      <c r="CZ47" s="16" t="s">
        <v>28</v>
      </c>
      <c r="DA47" s="16" t="s">
        <v>29</v>
      </c>
      <c r="DB47" s="16" t="s">
        <v>37</v>
      </c>
      <c r="DC47" s="16" t="s">
        <v>18</v>
      </c>
      <c r="DD47" s="16" t="s">
        <v>19</v>
      </c>
      <c r="DE47" s="16" t="s">
        <v>20</v>
      </c>
      <c r="DF47" s="16" t="s">
        <v>21</v>
      </c>
      <c r="DG47" s="16" t="s">
        <v>22</v>
      </c>
      <c r="DH47" s="16" t="s">
        <v>23</v>
      </c>
      <c r="DI47" s="16" t="s">
        <v>24</v>
      </c>
      <c r="DJ47" s="16" t="s">
        <v>25</v>
      </c>
      <c r="DK47" s="16" t="s">
        <v>26</v>
      </c>
      <c r="DL47" s="16" t="s">
        <v>27</v>
      </c>
      <c r="DM47" s="16" t="s">
        <v>28</v>
      </c>
      <c r="DN47" s="16" t="s">
        <v>29</v>
      </c>
      <c r="DO47" s="16" t="s">
        <v>38</v>
      </c>
      <c r="DP47" s="16" t="s">
        <v>18</v>
      </c>
      <c r="DQ47" s="16" t="s">
        <v>19</v>
      </c>
      <c r="DR47" s="16" t="s">
        <v>20</v>
      </c>
      <c r="DS47" s="16" t="s">
        <v>21</v>
      </c>
      <c r="DT47" s="16" t="s">
        <v>22</v>
      </c>
      <c r="DU47" s="16" t="s">
        <v>23</v>
      </c>
      <c r="DV47" s="16" t="s">
        <v>24</v>
      </c>
      <c r="DW47" s="16" t="s">
        <v>25</v>
      </c>
      <c r="DX47" s="16" t="s">
        <v>26</v>
      </c>
      <c r="DY47" s="16" t="s">
        <v>27</v>
      </c>
      <c r="DZ47" s="16" t="s">
        <v>28</v>
      </c>
      <c r="EA47" s="16" t="s">
        <v>29</v>
      </c>
      <c r="EB47" s="16" t="s">
        <v>39</v>
      </c>
      <c r="EC47" s="16" t="s">
        <v>18</v>
      </c>
      <c r="ED47" s="16" t="s">
        <v>19</v>
      </c>
      <c r="EE47" s="16" t="s">
        <v>20</v>
      </c>
      <c r="EF47" s="16" t="s">
        <v>21</v>
      </c>
      <c r="EG47" s="16" t="s">
        <v>22</v>
      </c>
      <c r="EH47" s="16" t="s">
        <v>23</v>
      </c>
      <c r="EI47" s="16" t="s">
        <v>24</v>
      </c>
      <c r="EJ47" s="16" t="s">
        <v>25</v>
      </c>
      <c r="EK47" s="16" t="s">
        <v>26</v>
      </c>
      <c r="EL47" s="16" t="s">
        <v>27</v>
      </c>
      <c r="EM47" s="16" t="s">
        <v>28</v>
      </c>
      <c r="EN47" s="16" t="s">
        <v>29</v>
      </c>
      <c r="EO47" s="16" t="s">
        <v>40</v>
      </c>
      <c r="EP47" s="16" t="s">
        <v>18</v>
      </c>
      <c r="EQ47" s="16" t="s">
        <v>19</v>
      </c>
      <c r="ER47" s="16" t="s">
        <v>20</v>
      </c>
      <c r="ES47" s="16" t="s">
        <v>21</v>
      </c>
      <c r="ET47" s="16" t="s">
        <v>22</v>
      </c>
      <c r="EU47" s="16" t="s">
        <v>23</v>
      </c>
      <c r="EV47" s="16" t="s">
        <v>24</v>
      </c>
      <c r="EW47" s="16" t="s">
        <v>25</v>
      </c>
      <c r="EX47" s="16" t="s">
        <v>26</v>
      </c>
      <c r="EY47" s="16" t="s">
        <v>27</v>
      </c>
      <c r="EZ47" s="16" t="s">
        <v>28</v>
      </c>
      <c r="FA47" s="16" t="s">
        <v>29</v>
      </c>
      <c r="FB47" s="16" t="s">
        <v>41</v>
      </c>
      <c r="FC47" s="16" t="s">
        <v>18</v>
      </c>
      <c r="FD47" s="16" t="s">
        <v>19</v>
      </c>
      <c r="FE47" s="16" t="s">
        <v>20</v>
      </c>
      <c r="FF47" s="16" t="s">
        <v>21</v>
      </c>
      <c r="FG47" s="16" t="s">
        <v>22</v>
      </c>
      <c r="FH47" s="16" t="s">
        <v>23</v>
      </c>
      <c r="FI47" s="16" t="s">
        <v>24</v>
      </c>
      <c r="FJ47" s="16" t="s">
        <v>25</v>
      </c>
      <c r="FK47" s="16" t="s">
        <v>26</v>
      </c>
      <c r="FL47" s="16" t="s">
        <v>27</v>
      </c>
      <c r="FM47" s="16" t="s">
        <v>28</v>
      </c>
      <c r="FN47" s="16" t="s">
        <v>29</v>
      </c>
      <c r="FO47" s="16" t="s">
        <v>42</v>
      </c>
    </row>
    <row r="48" spans="1:171" ht="27.75" customHeight="1">
      <c r="A48" s="10"/>
      <c r="B48" s="19" t="s">
        <v>43</v>
      </c>
      <c r="C48" s="20">
        <f>+MOP_Mes_Corriente!C49*MOP_Mes_Constante!$C$1</f>
        <v>4785286.6154530635</v>
      </c>
      <c r="D48" s="20">
        <f>+MOP_Mes_Corriente!D49*MOP_Mes_Constante!$C$1</f>
        <v>4785286.6154530635</v>
      </c>
      <c r="E48" s="20">
        <f>+MOP_Mes_Corriente!E49*MOP_Mes_Constante!$C$1</f>
        <v>4785286.6154530635</v>
      </c>
      <c r="F48" s="20">
        <f>+MOP_Mes_Corriente!F49*MOP_Mes_Constante!$C$1</f>
        <v>4785286.6154530635</v>
      </c>
      <c r="G48" s="20">
        <f>+MOP_Mes_Corriente!G49*MOP_Mes_Constante!$C$1</f>
        <v>4785286.6154530635</v>
      </c>
      <c r="H48" s="20">
        <f>+MOP_Mes_Corriente!H49*MOP_Mes_Constante!$C$1</f>
        <v>4785286.6154530635</v>
      </c>
      <c r="I48" s="20">
        <f>+MOP_Mes_Corriente!I49*MOP_Mes_Constante!$C$1</f>
        <v>4785286.6154530635</v>
      </c>
      <c r="J48" s="20">
        <f>+MOP_Mes_Corriente!J49*MOP_Mes_Constante!$C$1</f>
        <v>4785286.6154530635</v>
      </c>
      <c r="K48" s="20">
        <f>+MOP_Mes_Corriente!K49*MOP_Mes_Constante!$C$1</f>
        <v>4785286.6154530635</v>
      </c>
      <c r="L48" s="20">
        <f>+MOP_Mes_Corriente!L49*MOP_Mes_Constante!$C$1</f>
        <v>4785286.6154530635</v>
      </c>
      <c r="M48" s="20">
        <f>+MOP_Mes_Corriente!M49*MOP_Mes_Constante!$C$1</f>
        <v>4785286.6154530635</v>
      </c>
      <c r="N48" s="20">
        <f>+MOP_Mes_Corriente!N49*MOP_Mes_Constante!$C$1</f>
        <v>4785286.6154530635</v>
      </c>
      <c r="O48" s="20">
        <f t="shared" ref="O48:O53" si="57">N48</f>
        <v>4785286.6154530635</v>
      </c>
      <c r="P48" s="20">
        <f>+MOP_Mes_Corriente!P49*MOP_Mes_Constante!$P$1</f>
        <v>2721069.1547094746</v>
      </c>
      <c r="Q48" s="20">
        <f>+MOP_Mes_Corriente!Q49*MOP_Mes_Constante!$P$1</f>
        <v>2721069.1547094746</v>
      </c>
      <c r="R48" s="20">
        <f>+MOP_Mes_Corriente!R49*MOP_Mes_Constante!$P$1</f>
        <v>2721069.1547094746</v>
      </c>
      <c r="S48" s="20">
        <f>+MOP_Mes_Corriente!S49*MOP_Mes_Constante!$P$1</f>
        <v>2721069.1547094746</v>
      </c>
      <c r="T48" s="20">
        <f>+MOP_Mes_Corriente!T49*MOP_Mes_Constante!$P$1</f>
        <v>2721069.1547094746</v>
      </c>
      <c r="U48" s="20">
        <f>+MOP_Mes_Corriente!U49*MOP_Mes_Constante!$P$1</f>
        <v>2721069.1547094746</v>
      </c>
      <c r="V48" s="20">
        <f>+MOP_Mes_Corriente!V49*MOP_Mes_Constante!$P$1</f>
        <v>2721069.1547094746</v>
      </c>
      <c r="W48" s="20">
        <f>+MOP_Mes_Corriente!W49*MOP_Mes_Constante!$P$1</f>
        <v>2721069.1547094746</v>
      </c>
      <c r="X48" s="20">
        <f>+MOP_Mes_Corriente!X49*MOP_Mes_Constante!$P$1</f>
        <v>2721069.1547094746</v>
      </c>
      <c r="Y48" s="20">
        <f>+MOP_Mes_Corriente!Y49*MOP_Mes_Constante!$P$1</f>
        <v>2721069.1547094746</v>
      </c>
      <c r="Z48" s="20">
        <f>+MOP_Mes_Corriente!Z49*MOP_Mes_Constante!$P$1</f>
        <v>2721069.1547094746</v>
      </c>
      <c r="AA48" s="20">
        <f>+MOP_Mes_Corriente!AA49*MOP_Mes_Constante!$P$1</f>
        <v>2721069.1547094746</v>
      </c>
      <c r="AB48" s="20">
        <f t="shared" ref="AB48:AB53" si="58">AA48</f>
        <v>2721069.1547094746</v>
      </c>
      <c r="AC48" s="20">
        <f>+MOP_Mes_Corriente!AC49*MOP_Mes_Constante!$AC$1</f>
        <v>2707482.1460782955</v>
      </c>
      <c r="AD48" s="20">
        <f>+MOP_Mes_Corriente!AD49*MOP_Mes_Constante!$AC$1</f>
        <v>2707482.1460782955</v>
      </c>
      <c r="AE48" s="20">
        <f>+MOP_Mes_Corriente!AE49*MOP_Mes_Constante!$AC$1</f>
        <v>2707482.1460782955</v>
      </c>
      <c r="AF48" s="20">
        <f>+MOP_Mes_Corriente!AF49*MOP_Mes_Constante!$AC$1</f>
        <v>2707482.1460782955</v>
      </c>
      <c r="AG48" s="20">
        <f>+MOP_Mes_Corriente!AG49*MOP_Mes_Constante!$AC$1</f>
        <v>2707482.1460782955</v>
      </c>
      <c r="AH48" s="20">
        <f>+MOP_Mes_Corriente!AH49*MOP_Mes_Constante!$AC$1</f>
        <v>2707482.1460782955</v>
      </c>
      <c r="AI48" s="20">
        <f>+MOP_Mes_Corriente!AI49*MOP_Mes_Constante!$AC$1</f>
        <v>2707482.1460782955</v>
      </c>
      <c r="AJ48" s="20">
        <f>+MOP_Mes_Corriente!AJ49*MOP_Mes_Constante!$AC$1</f>
        <v>2707482.1460782955</v>
      </c>
      <c r="AK48" s="20">
        <f>+MOP_Mes_Corriente!AK49*MOP_Mes_Constante!$AC$1</f>
        <v>2707482.1460782955</v>
      </c>
      <c r="AL48" s="20">
        <f>+MOP_Mes_Corriente!AL49*MOP_Mes_Constante!$AC$1</f>
        <v>2707482.1460782955</v>
      </c>
      <c r="AM48" s="20">
        <f>+MOP_Mes_Corriente!AM49*MOP_Mes_Constante!$AC$1</f>
        <v>2707482.1460782955</v>
      </c>
      <c r="AN48" s="20">
        <f>+MOP_Mes_Corriente!AN49*MOP_Mes_Constante!$AC$1</f>
        <v>2707482.1460782955</v>
      </c>
      <c r="AO48" s="20">
        <f t="shared" ref="AO48:AO53" si="59">AN48</f>
        <v>2707482.1460782955</v>
      </c>
      <c r="AP48" s="20">
        <f>+MOP_Mes_Corriente!AP49*MOP_Mes_Constante!$AP$1</f>
        <v>2629755.0426078723</v>
      </c>
      <c r="AQ48" s="20">
        <f>+MOP_Mes_Corriente!AQ49*MOP_Mes_Constante!$AP$1</f>
        <v>2629755.0426078723</v>
      </c>
      <c r="AR48" s="20">
        <f>+MOP_Mes_Corriente!AR49*MOP_Mes_Constante!$AP$1</f>
        <v>2629755.0426078723</v>
      </c>
      <c r="AS48" s="20">
        <f>+MOP_Mes_Corriente!AS49*MOP_Mes_Constante!$AP$1</f>
        <v>2629755.0426078723</v>
      </c>
      <c r="AT48" s="20">
        <f>+MOP_Mes_Corriente!AT49*MOP_Mes_Constante!$AP$1</f>
        <v>2629755.0426078723</v>
      </c>
      <c r="AU48" s="20">
        <f>+MOP_Mes_Corriente!AU49*MOP_Mes_Constante!$AP$1</f>
        <v>2629755.0426078723</v>
      </c>
      <c r="AV48" s="20">
        <f>+MOP_Mes_Corriente!AV49*MOP_Mes_Constante!$AP$1</f>
        <v>2629755.0426078723</v>
      </c>
      <c r="AW48" s="20">
        <f>+MOP_Mes_Corriente!AW49*MOP_Mes_Constante!$AP$1</f>
        <v>2629755.0426078723</v>
      </c>
      <c r="AX48" s="20">
        <f>+MOP_Mes_Corriente!AX49*MOP_Mes_Constante!$AP$1</f>
        <v>2629755.0426078723</v>
      </c>
      <c r="AY48" s="20">
        <f>+MOP_Mes_Corriente!AY49*MOP_Mes_Constante!$AP$1</f>
        <v>2629755.0426078723</v>
      </c>
      <c r="AZ48" s="20">
        <f>+MOP_Mes_Corriente!AZ49*MOP_Mes_Constante!$AP$1</f>
        <v>2629755.0426078723</v>
      </c>
      <c r="BA48" s="20">
        <f>+MOP_Mes_Corriente!BA49*MOP_Mes_Constante!$AP$1</f>
        <v>2629755.0426078723</v>
      </c>
      <c r="BB48" s="20">
        <f t="shared" ref="BB48:BB53" si="60">BA48</f>
        <v>2629755.0426078723</v>
      </c>
      <c r="BC48" s="20">
        <f>+MOP_Mes_Corriente!BC49*MOP_Mes_Constante!$BC$1</f>
        <v>2315276.0255835429</v>
      </c>
      <c r="BD48" s="20">
        <f>+MOP_Mes_Corriente!BD49*MOP_Mes_Constante!$BC$1</f>
        <v>2315276.0255835429</v>
      </c>
      <c r="BE48" s="20">
        <f>+MOP_Mes_Corriente!BE49*MOP_Mes_Constante!$BC$1</f>
        <v>2315276.0255835429</v>
      </c>
      <c r="BF48" s="20">
        <f>+MOP_Mes_Corriente!BF49*MOP_Mes_Constante!$BC$1</f>
        <v>2315276.0255835429</v>
      </c>
      <c r="BG48" s="20">
        <f>+MOP_Mes_Corriente!BG49*MOP_Mes_Constante!$BC$1</f>
        <v>2315276.0255835429</v>
      </c>
      <c r="BH48" s="20">
        <f>+MOP_Mes_Corriente!BH49*MOP_Mes_Constante!$BC$1</f>
        <v>2315276.0255835429</v>
      </c>
      <c r="BI48" s="20">
        <f>+MOP_Mes_Corriente!BI49*MOP_Mes_Constante!$BC$1</f>
        <v>2315276.0255835429</v>
      </c>
      <c r="BJ48" s="20">
        <f>+MOP_Mes_Corriente!BJ49*MOP_Mes_Constante!$BC$1</f>
        <v>2315276.0255835429</v>
      </c>
      <c r="BK48" s="20">
        <f>+MOP_Mes_Corriente!BK49*MOP_Mes_Constante!$BC$1</f>
        <v>2315276.0255835429</v>
      </c>
      <c r="BL48" s="20">
        <f>+MOP_Mes_Corriente!BL49*MOP_Mes_Constante!$BC$1</f>
        <v>2315276.0255835429</v>
      </c>
      <c r="BM48" s="20">
        <f>+MOP_Mes_Corriente!BM49*MOP_Mes_Constante!$BC$1</f>
        <v>2315276.0255835429</v>
      </c>
      <c r="BN48" s="20">
        <f>+MOP_Mes_Corriente!BN49*MOP_Mes_Constante!$BC$1</f>
        <v>2315276.0255835429</v>
      </c>
      <c r="BO48" s="20">
        <f t="shared" ref="BO48:BO53" si="61">BN48</f>
        <v>2315276.0255835429</v>
      </c>
      <c r="BP48" s="20">
        <f>+MOP_Mes_Corriente!BP49*MOP_Mes_Constante!$BP$1</f>
        <v>2293964.762612036</v>
      </c>
      <c r="BQ48" s="20">
        <f>+MOP_Mes_Corriente!BQ49*MOP_Mes_Constante!$BP$1</f>
        <v>2293964.762612036</v>
      </c>
      <c r="BR48" s="20">
        <f>+MOP_Mes_Corriente!BR49*MOP_Mes_Constante!$BP$1</f>
        <v>2293964.762612036</v>
      </c>
      <c r="BS48" s="20">
        <f>+MOP_Mes_Corriente!BS49*MOP_Mes_Constante!$BP$1</f>
        <v>2293964.762612036</v>
      </c>
      <c r="BT48" s="20">
        <f>+MOP_Mes_Corriente!BT49*MOP_Mes_Constante!$BP$1</f>
        <v>2293964.762612036</v>
      </c>
      <c r="BU48" s="20">
        <f>+MOP_Mes_Corriente!BU49*MOP_Mes_Constante!$BP$1</f>
        <v>2293964.762612036</v>
      </c>
      <c r="BV48" s="20">
        <f>+MOP_Mes_Corriente!BV49*MOP_Mes_Constante!$BP$1</f>
        <v>2293964.762612036</v>
      </c>
      <c r="BW48" s="20">
        <f>+MOP_Mes_Corriente!BW49*MOP_Mes_Constante!$BP$1</f>
        <v>2293964.762612036</v>
      </c>
      <c r="BX48" s="20">
        <f>+MOP_Mes_Corriente!BX49*MOP_Mes_Constante!$BP$1</f>
        <v>2293964.762612036</v>
      </c>
      <c r="BY48" s="20">
        <f>+MOP_Mes_Corriente!BY49*MOP_Mes_Constante!$BP$1</f>
        <v>2293964.762612036</v>
      </c>
      <c r="BZ48" s="20">
        <f>+MOP_Mes_Corriente!BZ49*MOP_Mes_Constante!$BP$1</f>
        <v>2293964.762612036</v>
      </c>
      <c r="CA48" s="20">
        <f>+MOP_Mes_Corriente!CA49*MOP_Mes_Constante!$BP$1</f>
        <v>2293964.762612036</v>
      </c>
      <c r="CB48" s="20">
        <f t="shared" ref="CB48:CB53" si="62">CA48</f>
        <v>2293964.762612036</v>
      </c>
      <c r="CC48" s="20">
        <f>+MOP_Mes_Corriente!CC49*MOP_Mes_Constante!$CC$1</f>
        <v>2315528.1753077214</v>
      </c>
      <c r="CD48" s="20">
        <f>+MOP_Mes_Corriente!CD49*MOP_Mes_Constante!$CC$1</f>
        <v>2315528.1753077214</v>
      </c>
      <c r="CE48" s="20">
        <f>+MOP_Mes_Corriente!CE49*MOP_Mes_Constante!$CC$1</f>
        <v>2315528.1753077214</v>
      </c>
      <c r="CF48" s="20">
        <f>+MOP_Mes_Corriente!CF49*MOP_Mes_Constante!$CC$1</f>
        <v>2315528.1753077214</v>
      </c>
      <c r="CG48" s="20">
        <f>+MOP_Mes_Corriente!CG49*MOP_Mes_Constante!$CC$1</f>
        <v>2315528.1753077214</v>
      </c>
      <c r="CH48" s="20">
        <f>+MOP_Mes_Corriente!CH49*MOP_Mes_Constante!$CC$1</f>
        <v>2315528.1753077214</v>
      </c>
      <c r="CI48" s="20">
        <f>+MOP_Mes_Corriente!CI49*MOP_Mes_Constante!$CC$1</f>
        <v>2315528.1753077214</v>
      </c>
      <c r="CJ48" s="20">
        <f>+MOP_Mes_Corriente!CJ49*MOP_Mes_Constante!$CC$1</f>
        <v>2315528.1753077214</v>
      </c>
      <c r="CK48" s="20">
        <f>+MOP_Mes_Corriente!CK49*MOP_Mes_Constante!$CC$1</f>
        <v>2315528.1753077214</v>
      </c>
      <c r="CL48" s="20">
        <f>+MOP_Mes_Corriente!CL49*MOP_Mes_Constante!$CC$1</f>
        <v>2315528.1753077214</v>
      </c>
      <c r="CM48" s="20">
        <f>+MOP_Mes_Corriente!CM49*MOP_Mes_Constante!$CC$1</f>
        <v>2315528.1753077214</v>
      </c>
      <c r="CN48" s="20">
        <f>+MOP_Mes_Corriente!CN49*MOP_Mes_Constante!$CC$1</f>
        <v>2315528.1753077214</v>
      </c>
      <c r="CO48" s="20">
        <f t="shared" ref="CO48:CO53" si="63">CN48</f>
        <v>2315528.1753077214</v>
      </c>
      <c r="CP48" s="20">
        <f>+MOP_Mes_Corriente!CP49*MOP_Mes_Constante!$CP$1</f>
        <v>2447467.0955916466</v>
      </c>
      <c r="CQ48" s="20">
        <f>+MOP_Mes_Corriente!CQ49*MOP_Mes_Constante!$CP$1</f>
        <v>2447467.0955916466</v>
      </c>
      <c r="CR48" s="20">
        <f>+MOP_Mes_Corriente!CR49*MOP_Mes_Constante!$CP$1</f>
        <v>2447467.0955916466</v>
      </c>
      <c r="CS48" s="20">
        <f>+MOP_Mes_Corriente!CS49*MOP_Mes_Constante!$CP$1</f>
        <v>2447467.0955916466</v>
      </c>
      <c r="CT48" s="20">
        <f>+MOP_Mes_Corriente!CT49*MOP_Mes_Constante!$CP$1</f>
        <v>2447467.0955916466</v>
      </c>
      <c r="CU48" s="20">
        <f>+MOP_Mes_Corriente!CU49*MOP_Mes_Constante!$CP$1</f>
        <v>2447467.0955916466</v>
      </c>
      <c r="CV48" s="20">
        <f>+MOP_Mes_Corriente!CV49*MOP_Mes_Constante!$CP$1</f>
        <v>2447467.0955916466</v>
      </c>
      <c r="CW48" s="20">
        <f>+MOP_Mes_Corriente!CW49*MOP_Mes_Constante!$CP$1</f>
        <v>2447467.0955916466</v>
      </c>
      <c r="CX48" s="20">
        <f>+MOP_Mes_Corriente!CX49*MOP_Mes_Constante!$CP$1</f>
        <v>2447467.0955916466</v>
      </c>
      <c r="CY48" s="20">
        <f>+MOP_Mes_Corriente!CY49*MOP_Mes_Constante!$CP$1</f>
        <v>2447467.0955916466</v>
      </c>
      <c r="CZ48" s="20">
        <f>+MOP_Mes_Corriente!CZ49*MOP_Mes_Constante!$CP$1</f>
        <v>2447467.0955916466</v>
      </c>
      <c r="DA48" s="20">
        <f>+MOP_Mes_Corriente!DA49*MOP_Mes_Constante!$CP$1</f>
        <v>2447467.0955916466</v>
      </c>
      <c r="DB48" s="20">
        <f t="shared" ref="DB48:DB53" si="64">DA48</f>
        <v>2447467.0955916466</v>
      </c>
      <c r="DC48" s="20">
        <f>+MOP_Mes_Corriente!DC49*MOP_Mes_Constante!$DC$1</f>
        <v>335201.49758255342</v>
      </c>
      <c r="DD48" s="20">
        <f>+MOP_Mes_Corriente!DD49*MOP_Mes_Constante!$DC$1</f>
        <v>335201.49758255342</v>
      </c>
      <c r="DE48" s="20">
        <f>+MOP_Mes_Corriente!DE49*MOP_Mes_Constante!$DC$1</f>
        <v>335201.49758255342</v>
      </c>
      <c r="DF48" s="20">
        <f>+MOP_Mes_Corriente!DF49*MOP_Mes_Constante!$DC$1</f>
        <v>335201.49758255342</v>
      </c>
      <c r="DG48" s="20">
        <f>+MOP_Mes_Corriente!DG49*MOP_Mes_Constante!$DC$1</f>
        <v>335201.49758255342</v>
      </c>
      <c r="DH48" s="20">
        <f>+MOP_Mes_Corriente!DH49*MOP_Mes_Constante!$DC$1</f>
        <v>335201.49758255342</v>
      </c>
      <c r="DI48" s="20">
        <f>+MOP_Mes_Corriente!DI49*MOP_Mes_Constante!$DC$1</f>
        <v>335201.49758255342</v>
      </c>
      <c r="DJ48" s="20">
        <f>+MOP_Mes_Corriente!DJ49*MOP_Mes_Constante!$DC$1</f>
        <v>335201.49758255342</v>
      </c>
      <c r="DK48" s="20">
        <f>+MOP_Mes_Corriente!DK49*MOP_Mes_Constante!$DC$1</f>
        <v>335201.49758255342</v>
      </c>
      <c r="DL48" s="20">
        <f>+MOP_Mes_Corriente!DL49*MOP_Mes_Constante!$DC$1</f>
        <v>335201.49758255342</v>
      </c>
      <c r="DM48" s="20">
        <f>+MOP_Mes_Corriente!DM49*MOP_Mes_Constante!$DC$1</f>
        <v>335201.49758255342</v>
      </c>
      <c r="DN48" s="20">
        <f>+MOP_Mes_Corriente!DN49*MOP_Mes_Constante!$DC$1</f>
        <v>335201.49758255342</v>
      </c>
      <c r="DO48" s="20">
        <f t="shared" ref="DO48:DO53" si="65">DN48</f>
        <v>335201.49758255342</v>
      </c>
      <c r="DP48" s="20">
        <f>+MOP_Mes_Corriente!DP49*MOP_Mes_Constante!$DP$1</f>
        <v>23886511.168646082</v>
      </c>
      <c r="DQ48" s="20">
        <f>+MOP_Mes_Corriente!DQ49*MOP_Mes_Constante!$DP$1</f>
        <v>23886511.168646082</v>
      </c>
      <c r="DR48" s="20">
        <f>+MOP_Mes_Corriente!DR49*MOP_Mes_Constante!$DP$1</f>
        <v>23886511.168646082</v>
      </c>
      <c r="DS48" s="20">
        <f>+MOP_Mes_Corriente!DS49*MOP_Mes_Constante!$DP$1</f>
        <v>23886511.168646082</v>
      </c>
      <c r="DT48" s="20">
        <f>+MOP_Mes_Corriente!DT49*MOP_Mes_Constante!$DP$1</f>
        <v>23886511.168646082</v>
      </c>
      <c r="DU48" s="20">
        <f>+MOP_Mes_Corriente!DU49*MOP_Mes_Constante!$DP$1</f>
        <v>23886511.168646082</v>
      </c>
      <c r="DV48" s="20">
        <f>+MOP_Mes_Corriente!DV49*MOP_Mes_Constante!$DP$1</f>
        <v>23886511.168646082</v>
      </c>
      <c r="DW48" s="20">
        <f>+MOP_Mes_Corriente!DW49*MOP_Mes_Constante!$DP$1</f>
        <v>23886511.168646082</v>
      </c>
      <c r="DX48" s="20">
        <f>+MOP_Mes_Corriente!DX49*MOP_Mes_Constante!$DP$1</f>
        <v>23886511.168646082</v>
      </c>
      <c r="DY48" s="20">
        <f>+MOP_Mes_Corriente!DY49*MOP_Mes_Constante!$DP$1</f>
        <v>23886511.168646082</v>
      </c>
      <c r="DZ48" s="20">
        <f>+MOP_Mes_Corriente!DZ49*MOP_Mes_Constante!$DP$1</f>
        <v>23886511.168646082</v>
      </c>
      <c r="EA48" s="20">
        <f>+MOP_Mes_Corriente!EA49*MOP_Mes_Constante!$DP$1</f>
        <v>23886511.168646082</v>
      </c>
      <c r="EB48" s="20">
        <f t="shared" ref="EB48:EB53" si="66">EA48</f>
        <v>23886511.168646082</v>
      </c>
      <c r="EC48" s="20">
        <f>+MOP_Mes_Corriente!EC49*MOP_Mes_Constante!$EC$1</f>
        <v>1175006.3705737547</v>
      </c>
      <c r="ED48" s="20">
        <f>+MOP_Mes_Corriente!ED49*MOP_Mes_Constante!$EC$1</f>
        <v>1175006.3705737547</v>
      </c>
      <c r="EE48" s="20">
        <f>+MOP_Mes_Corriente!EE49*MOP_Mes_Constante!$EC$1</f>
        <v>1175006.3705737547</v>
      </c>
      <c r="EF48" s="20">
        <f>+MOP_Mes_Corriente!EF49*MOP_Mes_Constante!$EC$1</f>
        <v>1175006.3705737547</v>
      </c>
      <c r="EG48" s="20">
        <f>+MOP_Mes_Corriente!EG49*MOP_Mes_Constante!$EC$1</f>
        <v>1175006.3705737547</v>
      </c>
      <c r="EH48" s="20">
        <f>+MOP_Mes_Corriente!EH49*MOP_Mes_Constante!$EC$1</f>
        <v>1175006.3705737547</v>
      </c>
      <c r="EI48" s="20">
        <f>+MOP_Mes_Corriente!EI49*MOP_Mes_Constante!$EC$1</f>
        <v>1175006.3705737547</v>
      </c>
      <c r="EJ48" s="20">
        <f>+MOP_Mes_Corriente!EJ49*MOP_Mes_Constante!$EC$1</f>
        <v>1175006.3705737547</v>
      </c>
      <c r="EK48" s="20">
        <f>+MOP_Mes_Corriente!EK49*MOP_Mes_Constante!$EC$1</f>
        <v>1175006.3705737547</v>
      </c>
      <c r="EL48" s="20">
        <f>+MOP_Mes_Corriente!EL49*MOP_Mes_Constante!$EC$1</f>
        <v>1175006.3705737547</v>
      </c>
      <c r="EM48" s="20">
        <f>+MOP_Mes_Corriente!EM49*MOP_Mes_Constante!$EC$1</f>
        <v>1175006.3705737547</v>
      </c>
      <c r="EN48" s="20">
        <f>+MOP_Mes_Corriente!EN49*MOP_Mes_Constante!$EC$1</f>
        <v>1175006.3705737547</v>
      </c>
      <c r="EO48" s="20">
        <f t="shared" ref="EO48:EO53" si="67">EN48</f>
        <v>1175006.3705737547</v>
      </c>
      <c r="EP48" s="20">
        <f>+MOP_Mes_Corriente!EP49*MOP_Mes_Constante!$EP$1</f>
        <v>6540884</v>
      </c>
      <c r="EQ48" s="20">
        <f>+MOP_Mes_Corriente!EQ49*MOP_Mes_Constante!$EP$1</f>
        <v>6540884</v>
      </c>
      <c r="ER48" s="20">
        <f>+MOP_Mes_Corriente!ER49*MOP_Mes_Constante!$EP$1</f>
        <v>6540884</v>
      </c>
      <c r="ES48" s="20">
        <f>+MOP_Mes_Corriente!ES49*MOP_Mes_Constante!$EP$1</f>
        <v>6540884</v>
      </c>
      <c r="ET48" s="20">
        <f>+MOP_Mes_Corriente!ET49*MOP_Mes_Constante!$EP$1</f>
        <v>6540884</v>
      </c>
      <c r="EU48" s="20">
        <f>+MOP_Mes_Corriente!EU49*MOP_Mes_Constante!$EP$1</f>
        <v>6540884</v>
      </c>
      <c r="EV48" s="20">
        <f>+MOP_Mes_Corriente!EV49*MOP_Mes_Constante!$EP$1</f>
        <v>6540884</v>
      </c>
      <c r="EW48" s="20">
        <f>+MOP_Mes_Corriente!EW49*MOP_Mes_Constante!$EP$1</f>
        <v>6540884</v>
      </c>
      <c r="EX48" s="20">
        <f>+MOP_Mes_Corriente!EX49*MOP_Mes_Constante!$EP$1</f>
        <v>6540884</v>
      </c>
      <c r="EY48" s="20">
        <f>+MOP_Mes_Corriente!EY49*MOP_Mes_Constante!$EP$1</f>
        <v>6540884</v>
      </c>
      <c r="EZ48" s="20">
        <f>+MOP_Mes_Corriente!EZ49*MOP_Mes_Constante!$EP$1</f>
        <v>6540884</v>
      </c>
      <c r="FA48" s="20">
        <f>+MOP_Mes_Corriente!FA49*MOP_Mes_Constante!$EP$1</f>
        <v>6540884</v>
      </c>
      <c r="FB48" s="20">
        <f t="shared" ref="FB48:FB53" si="68">FA48</f>
        <v>6540884</v>
      </c>
      <c r="FC48" s="20">
        <f>+MOP_Mes_Corriente!FC49*MOP_Mes_Constante!$FC$1</f>
        <v>1062955</v>
      </c>
      <c r="FD48" s="20">
        <f>+MOP_Mes_Corriente!FD49*MOP_Mes_Constante!$FC$1</f>
        <v>1062955</v>
      </c>
      <c r="FE48" s="20">
        <f>+MOP_Mes_Corriente!FE49*MOP_Mes_Constante!$FC$1</f>
        <v>1062955</v>
      </c>
      <c r="FF48" s="20">
        <f>+MOP_Mes_Corriente!FF49*MOP_Mes_Constante!$FC$1</f>
        <v>1062955</v>
      </c>
      <c r="FG48" s="20">
        <f>+MOP_Mes_Corriente!FG49*MOP_Mes_Constante!$FC$1</f>
        <v>1062955</v>
      </c>
      <c r="FH48" s="20">
        <f>+MOP_Mes_Corriente!FH49*MOP_Mes_Constante!$FC$1</f>
        <v>1062955</v>
      </c>
      <c r="FI48" s="20">
        <f>+MOP_Mes_Corriente!FI49*MOP_Mes_Constante!$FC$1</f>
        <v>1062955</v>
      </c>
      <c r="FJ48" s="10"/>
      <c r="FK48" s="10"/>
      <c r="FL48" s="10"/>
      <c r="FM48" s="10"/>
      <c r="FN48" s="10"/>
      <c r="FO48" s="20">
        <f t="shared" ref="FO48:FO53" si="69">FI48</f>
        <v>1062955</v>
      </c>
    </row>
    <row r="49" spans="1:171" ht="27.75" customHeight="1">
      <c r="A49" s="10"/>
      <c r="B49" s="19" t="s">
        <v>44</v>
      </c>
      <c r="C49" s="20">
        <f>+MOP_Mes_Corriente!C50*MOP_Mes_Constante!$C$1</f>
        <v>618567.47738395387</v>
      </c>
      <c r="D49" s="20">
        <f>+MOP_Mes_Corriente!D50*MOP_Mes_Constante!$C$1</f>
        <v>618567.47738395387</v>
      </c>
      <c r="E49" s="20">
        <f>+MOP_Mes_Corriente!E50*MOP_Mes_Constante!$C$1</f>
        <v>618567.47738395387</v>
      </c>
      <c r="F49" s="20">
        <f>+MOP_Mes_Corriente!F50*MOP_Mes_Constante!$C$1</f>
        <v>618567.47738395387</v>
      </c>
      <c r="G49" s="20">
        <f>+MOP_Mes_Corriente!G50*MOP_Mes_Constante!$C$1</f>
        <v>618567.47738395387</v>
      </c>
      <c r="H49" s="20">
        <f>+MOP_Mes_Corriente!H50*MOP_Mes_Constante!$C$1</f>
        <v>618567.47738395387</v>
      </c>
      <c r="I49" s="20">
        <f>+MOP_Mes_Corriente!I50*MOP_Mes_Constante!$C$1</f>
        <v>618567.47738395387</v>
      </c>
      <c r="J49" s="20">
        <f>+MOP_Mes_Corriente!J50*MOP_Mes_Constante!$C$1</f>
        <v>618567.47738395387</v>
      </c>
      <c r="K49" s="20">
        <f>+MOP_Mes_Corriente!K50*MOP_Mes_Constante!$C$1</f>
        <v>618567.47738395387</v>
      </c>
      <c r="L49" s="20">
        <f>+MOP_Mes_Corriente!L50*MOP_Mes_Constante!$C$1</f>
        <v>618567.47738395387</v>
      </c>
      <c r="M49" s="20">
        <f>+MOP_Mes_Corriente!M50*MOP_Mes_Constante!$C$1</f>
        <v>618567.47738395387</v>
      </c>
      <c r="N49" s="20">
        <f>+MOP_Mes_Corriente!N50*MOP_Mes_Constante!$C$1</f>
        <v>618567.47738395387</v>
      </c>
      <c r="O49" s="20">
        <f t="shared" si="57"/>
        <v>618567.47738395387</v>
      </c>
      <c r="P49" s="20">
        <f>+MOP_Mes_Corriente!P50*MOP_Mes_Constante!$P$1</f>
        <v>562334.32021593954</v>
      </c>
      <c r="Q49" s="20">
        <f>+MOP_Mes_Corriente!Q50*MOP_Mes_Constante!$P$1</f>
        <v>562334.32021593954</v>
      </c>
      <c r="R49" s="20">
        <f>+MOP_Mes_Corriente!R50*MOP_Mes_Constante!$P$1</f>
        <v>562334.32021593954</v>
      </c>
      <c r="S49" s="20">
        <f>+MOP_Mes_Corriente!S50*MOP_Mes_Constante!$P$1</f>
        <v>562334.32021593954</v>
      </c>
      <c r="T49" s="20">
        <f>+MOP_Mes_Corriente!T50*MOP_Mes_Constante!$P$1</f>
        <v>562334.32021593954</v>
      </c>
      <c r="U49" s="20">
        <f>+MOP_Mes_Corriente!U50*MOP_Mes_Constante!$P$1</f>
        <v>562334.32021593954</v>
      </c>
      <c r="V49" s="20">
        <f>+MOP_Mes_Corriente!V50*MOP_Mes_Constante!$P$1</f>
        <v>562334.32021593954</v>
      </c>
      <c r="W49" s="20">
        <f>+MOP_Mes_Corriente!W50*MOP_Mes_Constante!$P$1</f>
        <v>562334.32021593954</v>
      </c>
      <c r="X49" s="20">
        <f>+MOP_Mes_Corriente!X50*MOP_Mes_Constante!$P$1</f>
        <v>562334.32021593954</v>
      </c>
      <c r="Y49" s="20">
        <f>+MOP_Mes_Corriente!Y50*MOP_Mes_Constante!$P$1</f>
        <v>562334.32021593954</v>
      </c>
      <c r="Z49" s="20">
        <f>+MOP_Mes_Corriente!Z50*MOP_Mes_Constante!$P$1</f>
        <v>562334.32021593954</v>
      </c>
      <c r="AA49" s="20">
        <f>+MOP_Mes_Corriente!AA50*MOP_Mes_Constante!$P$1</f>
        <v>562334.32021593954</v>
      </c>
      <c r="AB49" s="20">
        <f t="shared" si="58"/>
        <v>562334.32021593954</v>
      </c>
      <c r="AC49" s="20">
        <f>+MOP_Mes_Corriente!AC50*MOP_Mes_Constante!$AC$1</f>
        <v>494446.46451791393</v>
      </c>
      <c r="AD49" s="20">
        <f>+MOP_Mes_Corriente!AD50*MOP_Mes_Constante!$AC$1</f>
        <v>494446.46451791393</v>
      </c>
      <c r="AE49" s="20">
        <f>+MOP_Mes_Corriente!AE50*MOP_Mes_Constante!$AC$1</f>
        <v>494446.46451791393</v>
      </c>
      <c r="AF49" s="20">
        <f>+MOP_Mes_Corriente!AF50*MOP_Mes_Constante!$AC$1</f>
        <v>494446.46451791393</v>
      </c>
      <c r="AG49" s="20">
        <f>+MOP_Mes_Corriente!AG50*MOP_Mes_Constante!$AC$1</f>
        <v>494446.46451791393</v>
      </c>
      <c r="AH49" s="20">
        <f>+MOP_Mes_Corriente!AH50*MOP_Mes_Constante!$AC$1</f>
        <v>494446.46451791393</v>
      </c>
      <c r="AI49" s="20">
        <f>+MOP_Mes_Corriente!AI50*MOP_Mes_Constante!$AC$1</f>
        <v>494446.46451791393</v>
      </c>
      <c r="AJ49" s="20">
        <f>+MOP_Mes_Corriente!AJ50*MOP_Mes_Constante!$AC$1</f>
        <v>494446.46451791393</v>
      </c>
      <c r="AK49" s="20">
        <f>+MOP_Mes_Corriente!AK50*MOP_Mes_Constante!$AC$1</f>
        <v>494446.46451791393</v>
      </c>
      <c r="AL49" s="20">
        <f>+MOP_Mes_Corriente!AL50*MOP_Mes_Constante!$AC$1</f>
        <v>494446.46451791393</v>
      </c>
      <c r="AM49" s="20">
        <f>+MOP_Mes_Corriente!AM50*MOP_Mes_Constante!$AC$1</f>
        <v>494446.46451791393</v>
      </c>
      <c r="AN49" s="20">
        <f>+MOP_Mes_Corriente!AN50*MOP_Mes_Constante!$AC$1</f>
        <v>494446.46451791393</v>
      </c>
      <c r="AO49" s="20">
        <f t="shared" si="59"/>
        <v>494446.46451791393</v>
      </c>
      <c r="AP49" s="20">
        <f>+MOP_Mes_Corriente!AP50*MOP_Mes_Constante!$AP$1</f>
        <v>258074.10036521032</v>
      </c>
      <c r="AQ49" s="20">
        <f>+MOP_Mes_Corriente!AQ50*MOP_Mes_Constante!$AP$1</f>
        <v>258074.10036521032</v>
      </c>
      <c r="AR49" s="20">
        <f>+MOP_Mes_Corriente!AR50*MOP_Mes_Constante!$AP$1</f>
        <v>258074.10036521032</v>
      </c>
      <c r="AS49" s="20">
        <f>+MOP_Mes_Corriente!AS50*MOP_Mes_Constante!$AP$1</f>
        <v>258074.10036521032</v>
      </c>
      <c r="AT49" s="20">
        <f>+MOP_Mes_Corriente!AT50*MOP_Mes_Constante!$AP$1</f>
        <v>258074.10036521032</v>
      </c>
      <c r="AU49" s="20">
        <f>+MOP_Mes_Corriente!AU50*MOP_Mes_Constante!$AP$1</f>
        <v>258074.10036521032</v>
      </c>
      <c r="AV49" s="20">
        <f>+MOP_Mes_Corriente!AV50*MOP_Mes_Constante!$AP$1</f>
        <v>258074.10036521032</v>
      </c>
      <c r="AW49" s="20">
        <f>+MOP_Mes_Corriente!AW50*MOP_Mes_Constante!$AP$1</f>
        <v>258074.10036521032</v>
      </c>
      <c r="AX49" s="20">
        <f>+MOP_Mes_Corriente!AX50*MOP_Mes_Constante!$AP$1</f>
        <v>258074.10036521032</v>
      </c>
      <c r="AY49" s="20">
        <f>+MOP_Mes_Corriente!AY50*MOP_Mes_Constante!$AP$1</f>
        <v>258074.10036521032</v>
      </c>
      <c r="AZ49" s="20">
        <f>+MOP_Mes_Corriente!AZ50*MOP_Mes_Constante!$AP$1</f>
        <v>258074.10036521032</v>
      </c>
      <c r="BA49" s="20">
        <f>+MOP_Mes_Corriente!BA50*MOP_Mes_Constante!$AP$1</f>
        <v>258074.10036521032</v>
      </c>
      <c r="BB49" s="20">
        <f t="shared" si="60"/>
        <v>258074.10036521032</v>
      </c>
      <c r="BC49" s="20">
        <f>+MOP_Mes_Corriente!BC50*MOP_Mes_Constante!$BC$1</f>
        <v>201023.70328366087</v>
      </c>
      <c r="BD49" s="20">
        <f>+MOP_Mes_Corriente!BD50*MOP_Mes_Constante!$BC$1</f>
        <v>201023.70328366087</v>
      </c>
      <c r="BE49" s="20">
        <f>+MOP_Mes_Corriente!BE50*MOP_Mes_Constante!$BC$1</f>
        <v>201023.70328366087</v>
      </c>
      <c r="BF49" s="20">
        <f>+MOP_Mes_Corriente!BF50*MOP_Mes_Constante!$BC$1</f>
        <v>201023.70328366087</v>
      </c>
      <c r="BG49" s="20">
        <f>+MOP_Mes_Corriente!BG50*MOP_Mes_Constante!$BC$1</f>
        <v>201023.70328366087</v>
      </c>
      <c r="BH49" s="20">
        <f>+MOP_Mes_Corriente!BH50*MOP_Mes_Constante!$BC$1</f>
        <v>201023.70328366087</v>
      </c>
      <c r="BI49" s="20">
        <f>+MOP_Mes_Corriente!BI50*MOP_Mes_Constante!$BC$1</f>
        <v>201023.70328366087</v>
      </c>
      <c r="BJ49" s="20">
        <f>+MOP_Mes_Corriente!BJ50*MOP_Mes_Constante!$BC$1</f>
        <v>201023.70328366087</v>
      </c>
      <c r="BK49" s="20">
        <f>+MOP_Mes_Corriente!BK50*MOP_Mes_Constante!$BC$1</f>
        <v>201023.70328366087</v>
      </c>
      <c r="BL49" s="20">
        <f>+MOP_Mes_Corriente!BL50*MOP_Mes_Constante!$BC$1</f>
        <v>201023.70328366087</v>
      </c>
      <c r="BM49" s="20">
        <f>+MOP_Mes_Corriente!BM50*MOP_Mes_Constante!$BC$1</f>
        <v>201023.70328366087</v>
      </c>
      <c r="BN49" s="20">
        <f>+MOP_Mes_Corriente!BN50*MOP_Mes_Constante!$BC$1</f>
        <v>201023.70328366087</v>
      </c>
      <c r="BO49" s="20">
        <f t="shared" si="61"/>
        <v>201023.70328366087</v>
      </c>
      <c r="BP49" s="20">
        <f>+MOP_Mes_Corriente!BP50*MOP_Mes_Constante!$BP$1</f>
        <v>161532.72599231757</v>
      </c>
      <c r="BQ49" s="20">
        <f>+MOP_Mes_Corriente!BQ50*MOP_Mes_Constante!$BP$1</f>
        <v>161532.72599231757</v>
      </c>
      <c r="BR49" s="20">
        <f>+MOP_Mes_Corriente!BR50*MOP_Mes_Constante!$BP$1</f>
        <v>161532.72599231757</v>
      </c>
      <c r="BS49" s="20">
        <f>+MOP_Mes_Corriente!BS50*MOP_Mes_Constante!$BP$1</f>
        <v>161532.72599231757</v>
      </c>
      <c r="BT49" s="20">
        <f>+MOP_Mes_Corriente!BT50*MOP_Mes_Constante!$BP$1</f>
        <v>161532.72599231757</v>
      </c>
      <c r="BU49" s="20">
        <f>+MOP_Mes_Corriente!BU50*MOP_Mes_Constante!$BP$1</f>
        <v>161532.72599231757</v>
      </c>
      <c r="BV49" s="20">
        <f>+MOP_Mes_Corriente!BV50*MOP_Mes_Constante!$BP$1</f>
        <v>161532.72599231757</v>
      </c>
      <c r="BW49" s="20">
        <f>+MOP_Mes_Corriente!BW50*MOP_Mes_Constante!$BP$1</f>
        <v>161532.72599231757</v>
      </c>
      <c r="BX49" s="20">
        <f>+MOP_Mes_Corriente!BX50*MOP_Mes_Constante!$BP$1</f>
        <v>161532.72599231757</v>
      </c>
      <c r="BY49" s="20">
        <f>+MOP_Mes_Corriente!BY50*MOP_Mes_Constante!$BP$1</f>
        <v>161532.72599231757</v>
      </c>
      <c r="BZ49" s="20">
        <f>+MOP_Mes_Corriente!BZ50*MOP_Mes_Constante!$BP$1</f>
        <v>161532.72599231757</v>
      </c>
      <c r="CA49" s="20">
        <f>+MOP_Mes_Corriente!CA50*MOP_Mes_Constante!$BP$1</f>
        <v>161532.72599231757</v>
      </c>
      <c r="CB49" s="20">
        <f t="shared" si="62"/>
        <v>161532.72599231757</v>
      </c>
      <c r="CC49" s="20">
        <f>+MOP_Mes_Corriente!CC50*MOP_Mes_Constante!$CC$1</f>
        <v>255915.36590824323</v>
      </c>
      <c r="CD49" s="20">
        <f>+MOP_Mes_Corriente!CD50*MOP_Mes_Constante!$CC$1</f>
        <v>255915.36590824323</v>
      </c>
      <c r="CE49" s="20">
        <f>+MOP_Mes_Corriente!CE50*MOP_Mes_Constante!$CC$1</f>
        <v>255915.36590824323</v>
      </c>
      <c r="CF49" s="20">
        <f>+MOP_Mes_Corriente!CF50*MOP_Mes_Constante!$CC$1</f>
        <v>255915.36590824323</v>
      </c>
      <c r="CG49" s="20">
        <f>+MOP_Mes_Corriente!CG50*MOP_Mes_Constante!$CC$1</f>
        <v>255915.36590824323</v>
      </c>
      <c r="CH49" s="20">
        <f>+MOP_Mes_Corriente!CH50*MOP_Mes_Constante!$CC$1</f>
        <v>255915.36590824323</v>
      </c>
      <c r="CI49" s="20">
        <f>+MOP_Mes_Corriente!CI50*MOP_Mes_Constante!$CC$1</f>
        <v>255915.36590824323</v>
      </c>
      <c r="CJ49" s="20">
        <f>+MOP_Mes_Corriente!CJ50*MOP_Mes_Constante!$CC$1</f>
        <v>255915.36590824323</v>
      </c>
      <c r="CK49" s="20">
        <f>+MOP_Mes_Corriente!CK50*MOP_Mes_Constante!$CC$1</f>
        <v>255915.36590824323</v>
      </c>
      <c r="CL49" s="20">
        <f>+MOP_Mes_Corriente!CL50*MOP_Mes_Constante!$CC$1</f>
        <v>255915.36590824323</v>
      </c>
      <c r="CM49" s="20">
        <f>+MOP_Mes_Corriente!CM50*MOP_Mes_Constante!$CC$1</f>
        <v>255915.36590824323</v>
      </c>
      <c r="CN49" s="20">
        <f>+MOP_Mes_Corriente!CN50*MOP_Mes_Constante!$CC$1</f>
        <v>255915.36590824323</v>
      </c>
      <c r="CO49" s="20">
        <f t="shared" si="63"/>
        <v>255915.36590824323</v>
      </c>
      <c r="CP49" s="20">
        <f>+MOP_Mes_Corriente!CP50*MOP_Mes_Constante!$CP$1</f>
        <v>163331.02482598604</v>
      </c>
      <c r="CQ49" s="20">
        <f>+MOP_Mes_Corriente!CQ50*MOP_Mes_Constante!$CP$1</f>
        <v>163331.02482598604</v>
      </c>
      <c r="CR49" s="20">
        <f>+MOP_Mes_Corriente!CR50*MOP_Mes_Constante!$CP$1</f>
        <v>163331.02482598604</v>
      </c>
      <c r="CS49" s="20">
        <f>+MOP_Mes_Corriente!CS50*MOP_Mes_Constante!$CP$1</f>
        <v>163331.02482598604</v>
      </c>
      <c r="CT49" s="20">
        <f>+MOP_Mes_Corriente!CT50*MOP_Mes_Constante!$CP$1</f>
        <v>163331.02482598604</v>
      </c>
      <c r="CU49" s="20">
        <f>+MOP_Mes_Corriente!CU50*MOP_Mes_Constante!$CP$1</f>
        <v>163331.02482598604</v>
      </c>
      <c r="CV49" s="20">
        <f>+MOP_Mes_Corriente!CV50*MOP_Mes_Constante!$CP$1</f>
        <v>163331.02482598604</v>
      </c>
      <c r="CW49" s="20">
        <f>+MOP_Mes_Corriente!CW50*MOP_Mes_Constante!$CP$1</f>
        <v>163331.02482598604</v>
      </c>
      <c r="CX49" s="20">
        <f>+MOP_Mes_Corriente!CX50*MOP_Mes_Constante!$CP$1</f>
        <v>163331.02482598604</v>
      </c>
      <c r="CY49" s="20">
        <f>+MOP_Mes_Corriente!CY50*MOP_Mes_Constante!$CP$1</f>
        <v>163331.02482598604</v>
      </c>
      <c r="CZ49" s="20">
        <f>+MOP_Mes_Corriente!CZ50*MOP_Mes_Constante!$CP$1</f>
        <v>163331.02482598604</v>
      </c>
      <c r="DA49" s="20">
        <f>+MOP_Mes_Corriente!DA50*MOP_Mes_Constante!$CP$1</f>
        <v>163331.02482598604</v>
      </c>
      <c r="DB49" s="20">
        <f t="shared" si="64"/>
        <v>163331.02482598604</v>
      </c>
      <c r="DC49" s="20">
        <f>+MOP_Mes_Corriente!DC50*MOP_Mes_Constante!$DC$1</f>
        <v>146521.47021911334</v>
      </c>
      <c r="DD49" s="20">
        <f>+MOP_Mes_Corriente!DD50*MOP_Mes_Constante!$DC$1</f>
        <v>146521.47021911334</v>
      </c>
      <c r="DE49" s="20">
        <f>+MOP_Mes_Corriente!DE50*MOP_Mes_Constante!$DC$1</f>
        <v>146521.47021911334</v>
      </c>
      <c r="DF49" s="20">
        <f>+MOP_Mes_Corriente!DF50*MOP_Mes_Constante!$DC$1</f>
        <v>146521.47021911334</v>
      </c>
      <c r="DG49" s="20">
        <f>+MOP_Mes_Corriente!DG50*MOP_Mes_Constante!$DC$1</f>
        <v>146521.47021911334</v>
      </c>
      <c r="DH49" s="20">
        <f>+MOP_Mes_Corriente!DH50*MOP_Mes_Constante!$DC$1</f>
        <v>146521.47021911334</v>
      </c>
      <c r="DI49" s="20">
        <f>+MOP_Mes_Corriente!DI50*MOP_Mes_Constante!$DC$1</f>
        <v>146521.47021911334</v>
      </c>
      <c r="DJ49" s="20">
        <f>+MOP_Mes_Corriente!DJ50*MOP_Mes_Constante!$DC$1</f>
        <v>146521.47021911334</v>
      </c>
      <c r="DK49" s="20">
        <f>+MOP_Mes_Corriente!DK50*MOP_Mes_Constante!$DC$1</f>
        <v>146521.47021911334</v>
      </c>
      <c r="DL49" s="20">
        <f>+MOP_Mes_Corriente!DL50*MOP_Mes_Constante!$DC$1</f>
        <v>146521.47021911334</v>
      </c>
      <c r="DM49" s="20">
        <f>+MOP_Mes_Corriente!DM50*MOP_Mes_Constante!$DC$1</f>
        <v>146521.47021911334</v>
      </c>
      <c r="DN49" s="20">
        <f>+MOP_Mes_Corriente!DN50*MOP_Mes_Constante!$DC$1</f>
        <v>146521.47021911334</v>
      </c>
      <c r="DO49" s="20">
        <f t="shared" si="65"/>
        <v>146521.47021911334</v>
      </c>
      <c r="DP49" s="20">
        <f>+MOP_Mes_Corriente!DP50*MOP_Mes_Constante!$DP$1</f>
        <v>699728.9821852732</v>
      </c>
      <c r="DQ49" s="20">
        <f>+MOP_Mes_Corriente!DQ50*MOP_Mes_Constante!$DP$1</f>
        <v>699728.9821852732</v>
      </c>
      <c r="DR49" s="20">
        <f>+MOP_Mes_Corriente!DR50*MOP_Mes_Constante!$DP$1</f>
        <v>699728.9821852732</v>
      </c>
      <c r="DS49" s="20">
        <f>+MOP_Mes_Corriente!DS50*MOP_Mes_Constante!$DP$1</f>
        <v>699728.9821852732</v>
      </c>
      <c r="DT49" s="20">
        <f>+MOP_Mes_Corriente!DT50*MOP_Mes_Constante!$DP$1</f>
        <v>699728.9821852732</v>
      </c>
      <c r="DU49" s="20">
        <f>+MOP_Mes_Corriente!DU50*MOP_Mes_Constante!$DP$1</f>
        <v>699728.9821852732</v>
      </c>
      <c r="DV49" s="20">
        <f>+MOP_Mes_Corriente!DV50*MOP_Mes_Constante!$DP$1</f>
        <v>699728.9821852732</v>
      </c>
      <c r="DW49" s="20">
        <f>+MOP_Mes_Corriente!DW50*MOP_Mes_Constante!$DP$1</f>
        <v>699728.9821852732</v>
      </c>
      <c r="DX49" s="20">
        <f>+MOP_Mes_Corriente!DX50*MOP_Mes_Constante!$DP$1</f>
        <v>699728.9821852732</v>
      </c>
      <c r="DY49" s="20">
        <f>+MOP_Mes_Corriente!DY50*MOP_Mes_Constante!$DP$1</f>
        <v>699728.9821852732</v>
      </c>
      <c r="DZ49" s="20">
        <f>+MOP_Mes_Corriente!DZ50*MOP_Mes_Constante!$DP$1</f>
        <v>699728.9821852732</v>
      </c>
      <c r="EA49" s="20">
        <f>+MOP_Mes_Corriente!EA50*MOP_Mes_Constante!$DP$1</f>
        <v>699728.9821852732</v>
      </c>
      <c r="EB49" s="20">
        <f t="shared" si="66"/>
        <v>699728.9821852732</v>
      </c>
      <c r="EC49" s="20">
        <f>+MOP_Mes_Corriente!EC50*MOP_Mes_Constante!$EC$1</f>
        <v>886043.56655936351</v>
      </c>
      <c r="ED49" s="20">
        <f>+MOP_Mes_Corriente!ED50*MOP_Mes_Constante!$EC$1</f>
        <v>886043.56655936351</v>
      </c>
      <c r="EE49" s="20">
        <f>+MOP_Mes_Corriente!EE50*MOP_Mes_Constante!$EC$1</f>
        <v>886043.56655936351</v>
      </c>
      <c r="EF49" s="20">
        <f>+MOP_Mes_Corriente!EF50*MOP_Mes_Constante!$EC$1</f>
        <v>886043.56655936351</v>
      </c>
      <c r="EG49" s="20">
        <f>+MOP_Mes_Corriente!EG50*MOP_Mes_Constante!$EC$1</f>
        <v>886043.56655936351</v>
      </c>
      <c r="EH49" s="20">
        <f>+MOP_Mes_Corriente!EH50*MOP_Mes_Constante!$EC$1</f>
        <v>886043.56655936351</v>
      </c>
      <c r="EI49" s="20">
        <f>+MOP_Mes_Corriente!EI50*MOP_Mes_Constante!$EC$1</f>
        <v>886043.56655936351</v>
      </c>
      <c r="EJ49" s="20">
        <f>+MOP_Mes_Corriente!EJ50*MOP_Mes_Constante!$EC$1</f>
        <v>886043.56655936351</v>
      </c>
      <c r="EK49" s="20">
        <f>+MOP_Mes_Corriente!EK50*MOP_Mes_Constante!$EC$1</f>
        <v>886043.56655936351</v>
      </c>
      <c r="EL49" s="20">
        <f>+MOP_Mes_Corriente!EL50*MOP_Mes_Constante!$EC$1</f>
        <v>886043.56655936351</v>
      </c>
      <c r="EM49" s="20">
        <f>+MOP_Mes_Corriente!EM50*MOP_Mes_Constante!$EC$1</f>
        <v>886043.56655936351</v>
      </c>
      <c r="EN49" s="20">
        <f>+MOP_Mes_Corriente!EN50*MOP_Mes_Constante!$EC$1</f>
        <v>886043.56655936351</v>
      </c>
      <c r="EO49" s="20">
        <f t="shared" si="67"/>
        <v>886043.56655936351</v>
      </c>
      <c r="EP49" s="20">
        <f>+MOP_Mes_Corriente!EP50*MOP_Mes_Constante!$EP$1</f>
        <v>1233864</v>
      </c>
      <c r="EQ49" s="20">
        <f>+MOP_Mes_Corriente!EQ50*MOP_Mes_Constante!$EP$1</f>
        <v>1233864</v>
      </c>
      <c r="ER49" s="20">
        <f>+MOP_Mes_Corriente!ER50*MOP_Mes_Constante!$EP$1</f>
        <v>1233864</v>
      </c>
      <c r="ES49" s="20">
        <f>+MOP_Mes_Corriente!ES50*MOP_Mes_Constante!$EP$1</f>
        <v>1233864</v>
      </c>
      <c r="ET49" s="20">
        <f>+MOP_Mes_Corriente!ET50*MOP_Mes_Constante!$EP$1</f>
        <v>1233864</v>
      </c>
      <c r="EU49" s="20">
        <f>+MOP_Mes_Corriente!EU50*MOP_Mes_Constante!$EP$1</f>
        <v>1233864</v>
      </c>
      <c r="EV49" s="20">
        <f>+MOP_Mes_Corriente!EV50*MOP_Mes_Constante!$EP$1</f>
        <v>1233864</v>
      </c>
      <c r="EW49" s="20">
        <f>+MOP_Mes_Corriente!EW50*MOP_Mes_Constante!$EP$1</f>
        <v>1233864</v>
      </c>
      <c r="EX49" s="20">
        <f>+MOP_Mes_Corriente!EX50*MOP_Mes_Constante!$EP$1</f>
        <v>1233864</v>
      </c>
      <c r="EY49" s="20">
        <f>+MOP_Mes_Corriente!EY50*MOP_Mes_Constante!$EP$1</f>
        <v>1233864</v>
      </c>
      <c r="EZ49" s="20">
        <f>+MOP_Mes_Corriente!EZ50*MOP_Mes_Constante!$EP$1</f>
        <v>1233864</v>
      </c>
      <c r="FA49" s="20">
        <f>+MOP_Mes_Corriente!FA50*MOP_Mes_Constante!$EP$1</f>
        <v>1233864</v>
      </c>
      <c r="FB49" s="20">
        <f t="shared" si="68"/>
        <v>1233864</v>
      </c>
      <c r="FC49" s="20">
        <f>+MOP_Mes_Corriente!FC50*MOP_Mes_Constante!$FC$1</f>
        <v>651088</v>
      </c>
      <c r="FD49" s="20">
        <f>+MOP_Mes_Corriente!FD50*MOP_Mes_Constante!$FC$1</f>
        <v>651088</v>
      </c>
      <c r="FE49" s="20">
        <f>+MOP_Mes_Corriente!FE50*MOP_Mes_Constante!$FC$1</f>
        <v>651088</v>
      </c>
      <c r="FF49" s="20">
        <f>+MOP_Mes_Corriente!FF50*MOP_Mes_Constante!$FC$1</f>
        <v>651088</v>
      </c>
      <c r="FG49" s="20">
        <f>+MOP_Mes_Corriente!FG50*MOP_Mes_Constante!$FC$1</f>
        <v>651088</v>
      </c>
      <c r="FH49" s="20">
        <f>+MOP_Mes_Corriente!FH50*MOP_Mes_Constante!$FC$1</f>
        <v>651088</v>
      </c>
      <c r="FI49" s="20">
        <f>+MOP_Mes_Corriente!FI50*MOP_Mes_Constante!$FC$1</f>
        <v>651088</v>
      </c>
      <c r="FJ49" s="10"/>
      <c r="FK49" s="10"/>
      <c r="FL49" s="10"/>
      <c r="FM49" s="10"/>
      <c r="FN49" s="10"/>
      <c r="FO49" s="20">
        <f t="shared" si="69"/>
        <v>651088</v>
      </c>
    </row>
    <row r="50" spans="1:171" ht="27.75" customHeight="1">
      <c r="A50" s="10"/>
      <c r="B50" s="19" t="s">
        <v>45</v>
      </c>
      <c r="C50" s="20">
        <f>+MOP_Mes_Corriente!C51*MOP_Mes_Constante!$C$1</f>
        <v>64825.22349102774</v>
      </c>
      <c r="D50" s="20">
        <f>+MOP_Mes_Corriente!D51*MOP_Mes_Constante!$C$1</f>
        <v>64825.22349102774</v>
      </c>
      <c r="E50" s="20">
        <f>+MOP_Mes_Corriente!E51*MOP_Mes_Constante!$C$1</f>
        <v>64825.22349102774</v>
      </c>
      <c r="F50" s="20">
        <f>+MOP_Mes_Corriente!F51*MOP_Mes_Constante!$C$1</f>
        <v>64825.22349102774</v>
      </c>
      <c r="G50" s="20">
        <f>+MOP_Mes_Corriente!G51*MOP_Mes_Constante!$C$1</f>
        <v>64825.22349102774</v>
      </c>
      <c r="H50" s="20">
        <f>+MOP_Mes_Corriente!H51*MOP_Mes_Constante!$C$1</f>
        <v>64825.22349102774</v>
      </c>
      <c r="I50" s="20">
        <f>+MOP_Mes_Corriente!I51*MOP_Mes_Constante!$C$1</f>
        <v>64825.22349102774</v>
      </c>
      <c r="J50" s="20">
        <f>+MOP_Mes_Corriente!J51*MOP_Mes_Constante!$C$1</f>
        <v>64825.22349102774</v>
      </c>
      <c r="K50" s="20">
        <f>+MOP_Mes_Corriente!K51*MOP_Mes_Constante!$C$1</f>
        <v>64825.22349102774</v>
      </c>
      <c r="L50" s="20">
        <f>+MOP_Mes_Corriente!L51*MOP_Mes_Constante!$C$1</f>
        <v>64825.22349102774</v>
      </c>
      <c r="M50" s="20">
        <f>+MOP_Mes_Corriente!M51*MOP_Mes_Constante!$C$1</f>
        <v>64825.22349102774</v>
      </c>
      <c r="N50" s="20">
        <f>+MOP_Mes_Corriente!N51*MOP_Mes_Constante!$C$1</f>
        <v>64825.22349102774</v>
      </c>
      <c r="O50" s="20">
        <f t="shared" si="57"/>
        <v>64825.22349102774</v>
      </c>
      <c r="P50" s="20">
        <f>+MOP_Mes_Corriente!P51*MOP_Mes_Constante!$P$1</f>
        <v>121797.193067197</v>
      </c>
      <c r="Q50" s="20">
        <f>+MOP_Mes_Corriente!Q51*MOP_Mes_Constante!$P$1</f>
        <v>121797.193067197</v>
      </c>
      <c r="R50" s="20">
        <f>+MOP_Mes_Corriente!R51*MOP_Mes_Constante!$P$1</f>
        <v>121797.193067197</v>
      </c>
      <c r="S50" s="20">
        <f>+MOP_Mes_Corriente!S51*MOP_Mes_Constante!$P$1</f>
        <v>121797.193067197</v>
      </c>
      <c r="T50" s="20">
        <f>+MOP_Mes_Corriente!T51*MOP_Mes_Constante!$P$1</f>
        <v>121797.193067197</v>
      </c>
      <c r="U50" s="20">
        <f>+MOP_Mes_Corriente!U51*MOP_Mes_Constante!$P$1</f>
        <v>121797.193067197</v>
      </c>
      <c r="V50" s="20">
        <f>+MOP_Mes_Corriente!V51*MOP_Mes_Constante!$P$1</f>
        <v>121797.193067197</v>
      </c>
      <c r="W50" s="20">
        <f>+MOP_Mes_Corriente!W51*MOP_Mes_Constante!$P$1</f>
        <v>121797.193067197</v>
      </c>
      <c r="X50" s="20">
        <f>+MOP_Mes_Corriente!X51*MOP_Mes_Constante!$P$1</f>
        <v>121797.193067197</v>
      </c>
      <c r="Y50" s="20">
        <f>+MOP_Mes_Corriente!Y51*MOP_Mes_Constante!$P$1</f>
        <v>121797.193067197</v>
      </c>
      <c r="Z50" s="20">
        <f>+MOP_Mes_Corriente!Z51*MOP_Mes_Constante!$P$1</f>
        <v>121797.193067197</v>
      </c>
      <c r="AA50" s="20">
        <f>+MOP_Mes_Corriente!AA51*MOP_Mes_Constante!$P$1</f>
        <v>121797.193067197</v>
      </c>
      <c r="AB50" s="20">
        <f t="shared" si="58"/>
        <v>121797.193067197</v>
      </c>
      <c r="AC50" s="20">
        <f>+MOP_Mes_Corriente!AC51*MOP_Mes_Constante!$AC$1</f>
        <v>95138.87425646701</v>
      </c>
      <c r="AD50" s="20">
        <f>+MOP_Mes_Corriente!AD51*MOP_Mes_Constante!$AC$1</f>
        <v>95138.87425646701</v>
      </c>
      <c r="AE50" s="20">
        <f>+MOP_Mes_Corriente!AE51*MOP_Mes_Constante!$AC$1</f>
        <v>95138.87425646701</v>
      </c>
      <c r="AF50" s="20">
        <f>+MOP_Mes_Corriente!AF51*MOP_Mes_Constante!$AC$1</f>
        <v>95138.87425646701</v>
      </c>
      <c r="AG50" s="20">
        <f>+MOP_Mes_Corriente!AG51*MOP_Mes_Constante!$AC$1</f>
        <v>95138.87425646701</v>
      </c>
      <c r="AH50" s="20">
        <f>+MOP_Mes_Corriente!AH51*MOP_Mes_Constante!$AC$1</f>
        <v>95138.87425646701</v>
      </c>
      <c r="AI50" s="20">
        <f>+MOP_Mes_Corriente!AI51*MOP_Mes_Constante!$AC$1</f>
        <v>95138.87425646701</v>
      </c>
      <c r="AJ50" s="20">
        <f>+MOP_Mes_Corriente!AJ51*MOP_Mes_Constante!$AC$1</f>
        <v>95138.87425646701</v>
      </c>
      <c r="AK50" s="20">
        <f>+MOP_Mes_Corriente!AK51*MOP_Mes_Constante!$AC$1</f>
        <v>95138.87425646701</v>
      </c>
      <c r="AL50" s="20">
        <f>+MOP_Mes_Corriente!AL51*MOP_Mes_Constante!$AC$1</f>
        <v>95138.87425646701</v>
      </c>
      <c r="AM50" s="20">
        <f>+MOP_Mes_Corriente!AM51*MOP_Mes_Constante!$AC$1</f>
        <v>95138.87425646701</v>
      </c>
      <c r="AN50" s="20">
        <f>+MOP_Mes_Corriente!AN51*MOP_Mes_Constante!$AC$1</f>
        <v>95138.87425646701</v>
      </c>
      <c r="AO50" s="20">
        <f t="shared" si="59"/>
        <v>95138.87425646701</v>
      </c>
      <c r="AP50" s="20">
        <f>+MOP_Mes_Corriente!AP51*MOP_Mes_Constante!$AP$1</f>
        <v>72796.156093602054</v>
      </c>
      <c r="AQ50" s="20">
        <f>+MOP_Mes_Corriente!AQ51*MOP_Mes_Constante!$AP$1</f>
        <v>72796.156093602054</v>
      </c>
      <c r="AR50" s="20">
        <f>+MOP_Mes_Corriente!AR51*MOP_Mes_Constante!$AP$1</f>
        <v>72796.156093602054</v>
      </c>
      <c r="AS50" s="20">
        <f>+MOP_Mes_Corriente!AS51*MOP_Mes_Constante!$AP$1</f>
        <v>72796.156093602054</v>
      </c>
      <c r="AT50" s="20">
        <f>+MOP_Mes_Corriente!AT51*MOP_Mes_Constante!$AP$1</f>
        <v>72796.156093602054</v>
      </c>
      <c r="AU50" s="20">
        <f>+MOP_Mes_Corriente!AU51*MOP_Mes_Constante!$AP$1</f>
        <v>72796.156093602054</v>
      </c>
      <c r="AV50" s="20">
        <f>+MOP_Mes_Corriente!AV51*MOP_Mes_Constante!$AP$1</f>
        <v>72796.156093602054</v>
      </c>
      <c r="AW50" s="20">
        <f>+MOP_Mes_Corriente!AW51*MOP_Mes_Constante!$AP$1</f>
        <v>72796.156093602054</v>
      </c>
      <c r="AX50" s="20">
        <f>+MOP_Mes_Corriente!AX51*MOP_Mes_Constante!$AP$1</f>
        <v>72796.156093602054</v>
      </c>
      <c r="AY50" s="20">
        <f>+MOP_Mes_Corriente!AY51*MOP_Mes_Constante!$AP$1</f>
        <v>72796.156093602054</v>
      </c>
      <c r="AZ50" s="20">
        <f>+MOP_Mes_Corriente!AZ51*MOP_Mes_Constante!$AP$1</f>
        <v>72796.156093602054</v>
      </c>
      <c r="BA50" s="20">
        <f>+MOP_Mes_Corriente!BA51*MOP_Mes_Constante!$AP$1</f>
        <v>72796.156093602054</v>
      </c>
      <c r="BB50" s="20">
        <f t="shared" si="60"/>
        <v>72796.156093602054</v>
      </c>
      <c r="BC50" s="20">
        <f>+MOP_Mes_Corriente!BC51*MOP_Mes_Constante!$BC$1</f>
        <v>879961.56824475818</v>
      </c>
      <c r="BD50" s="20">
        <f>+MOP_Mes_Corriente!BD51*MOP_Mes_Constante!$BC$1</f>
        <v>879961.56824475818</v>
      </c>
      <c r="BE50" s="20">
        <f>+MOP_Mes_Corriente!BE51*MOP_Mes_Constante!$BC$1</f>
        <v>879961.56824475818</v>
      </c>
      <c r="BF50" s="20">
        <f>+MOP_Mes_Corriente!BF51*MOP_Mes_Constante!$BC$1</f>
        <v>879961.56824475818</v>
      </c>
      <c r="BG50" s="20">
        <f>+MOP_Mes_Corriente!BG51*MOP_Mes_Constante!$BC$1</f>
        <v>879961.56824475818</v>
      </c>
      <c r="BH50" s="20">
        <f>+MOP_Mes_Corriente!BH51*MOP_Mes_Constante!$BC$1</f>
        <v>879961.56824475818</v>
      </c>
      <c r="BI50" s="20">
        <f>+MOP_Mes_Corriente!BI51*MOP_Mes_Constante!$BC$1</f>
        <v>879961.56824475818</v>
      </c>
      <c r="BJ50" s="20">
        <f>+MOP_Mes_Corriente!BJ51*MOP_Mes_Constante!$BC$1</f>
        <v>879961.56824475818</v>
      </c>
      <c r="BK50" s="20">
        <f>+MOP_Mes_Corriente!BK51*MOP_Mes_Constante!$BC$1</f>
        <v>879961.56824475818</v>
      </c>
      <c r="BL50" s="20">
        <f>+MOP_Mes_Corriente!BL51*MOP_Mes_Constante!$BC$1</f>
        <v>879961.56824475818</v>
      </c>
      <c r="BM50" s="20">
        <f>+MOP_Mes_Corriente!BM51*MOP_Mes_Constante!$BC$1</f>
        <v>879961.56824475818</v>
      </c>
      <c r="BN50" s="20">
        <f>+MOP_Mes_Corriente!BN51*MOP_Mes_Constante!$BC$1</f>
        <v>879961.56824475818</v>
      </c>
      <c r="BO50" s="20">
        <f t="shared" si="61"/>
        <v>879961.56824475818</v>
      </c>
      <c r="BP50" s="20">
        <f>+MOP_Mes_Corriente!BP51*MOP_Mes_Constante!$BP$1</f>
        <v>232977.01459667095</v>
      </c>
      <c r="BQ50" s="20">
        <f>+MOP_Mes_Corriente!BQ51*MOP_Mes_Constante!$BP$1</f>
        <v>232977.01459667095</v>
      </c>
      <c r="BR50" s="20">
        <f>+MOP_Mes_Corriente!BR51*MOP_Mes_Constante!$BP$1</f>
        <v>232977.01459667095</v>
      </c>
      <c r="BS50" s="20">
        <f>+MOP_Mes_Corriente!BS51*MOP_Mes_Constante!$BP$1</f>
        <v>232977.01459667095</v>
      </c>
      <c r="BT50" s="20">
        <f>+MOP_Mes_Corriente!BT51*MOP_Mes_Constante!$BP$1</f>
        <v>232977.01459667095</v>
      </c>
      <c r="BU50" s="20">
        <f>+MOP_Mes_Corriente!BU51*MOP_Mes_Constante!$BP$1</f>
        <v>232977.01459667095</v>
      </c>
      <c r="BV50" s="20">
        <f>+MOP_Mes_Corriente!BV51*MOP_Mes_Constante!$BP$1</f>
        <v>232977.01459667095</v>
      </c>
      <c r="BW50" s="20">
        <f>+MOP_Mes_Corriente!BW51*MOP_Mes_Constante!$BP$1</f>
        <v>232977.01459667095</v>
      </c>
      <c r="BX50" s="20">
        <f>+MOP_Mes_Corriente!BX51*MOP_Mes_Constante!$BP$1</f>
        <v>232977.01459667095</v>
      </c>
      <c r="BY50" s="20">
        <f>+MOP_Mes_Corriente!BY51*MOP_Mes_Constante!$BP$1</f>
        <v>232977.01459667095</v>
      </c>
      <c r="BZ50" s="20">
        <f>+MOP_Mes_Corriente!BZ51*MOP_Mes_Constante!$BP$1</f>
        <v>232977.01459667095</v>
      </c>
      <c r="CA50" s="20">
        <f>+MOP_Mes_Corriente!CA51*MOP_Mes_Constante!$BP$1</f>
        <v>232977.01459667095</v>
      </c>
      <c r="CB50" s="20">
        <f t="shared" si="62"/>
        <v>232977.01459667095</v>
      </c>
      <c r="CC50" s="20">
        <f>+MOP_Mes_Corriente!CC51*MOP_Mes_Constante!$CC$1</f>
        <v>280743.72622155916</v>
      </c>
      <c r="CD50" s="20">
        <f>+MOP_Mes_Corriente!CD51*MOP_Mes_Constante!$CC$1</f>
        <v>280743.72622155916</v>
      </c>
      <c r="CE50" s="20">
        <f>+MOP_Mes_Corriente!CE51*MOP_Mes_Constante!$CC$1</f>
        <v>280743.72622155916</v>
      </c>
      <c r="CF50" s="20">
        <f>+MOP_Mes_Corriente!CF51*MOP_Mes_Constante!$CC$1</f>
        <v>280743.72622155916</v>
      </c>
      <c r="CG50" s="20">
        <f>+MOP_Mes_Corriente!CG51*MOP_Mes_Constante!$CC$1</f>
        <v>280743.72622155916</v>
      </c>
      <c r="CH50" s="20">
        <f>+MOP_Mes_Corriente!CH51*MOP_Mes_Constante!$CC$1</f>
        <v>280743.72622155916</v>
      </c>
      <c r="CI50" s="20">
        <f>+MOP_Mes_Corriente!CI51*MOP_Mes_Constante!$CC$1</f>
        <v>280743.72622155916</v>
      </c>
      <c r="CJ50" s="20">
        <f>+MOP_Mes_Corriente!CJ51*MOP_Mes_Constante!$CC$1</f>
        <v>280743.72622155916</v>
      </c>
      <c r="CK50" s="20">
        <f>+MOP_Mes_Corriente!CK51*MOP_Mes_Constante!$CC$1</f>
        <v>280743.72622155916</v>
      </c>
      <c r="CL50" s="20">
        <f>+MOP_Mes_Corriente!CL51*MOP_Mes_Constante!$CC$1</f>
        <v>280743.72622155916</v>
      </c>
      <c r="CM50" s="20">
        <f>+MOP_Mes_Corriente!CM51*MOP_Mes_Constante!$CC$1</f>
        <v>280743.72622155916</v>
      </c>
      <c r="CN50" s="20">
        <f>+MOP_Mes_Corriente!CN51*MOP_Mes_Constante!$CC$1</f>
        <v>280743.72622155916</v>
      </c>
      <c r="CO50" s="20">
        <f t="shared" si="63"/>
        <v>280743.72622155916</v>
      </c>
      <c r="CP50" s="20">
        <f>+MOP_Mes_Corriente!CP51*MOP_Mes_Constante!$CP$1</f>
        <v>203369.36450116005</v>
      </c>
      <c r="CQ50" s="20">
        <f>+MOP_Mes_Corriente!CQ51*MOP_Mes_Constante!$CP$1</f>
        <v>203369.36450116005</v>
      </c>
      <c r="CR50" s="20">
        <f>+MOP_Mes_Corriente!CR51*MOP_Mes_Constante!$CP$1</f>
        <v>203369.36450116005</v>
      </c>
      <c r="CS50" s="20">
        <f>+MOP_Mes_Corriente!CS51*MOP_Mes_Constante!$CP$1</f>
        <v>203369.36450116005</v>
      </c>
      <c r="CT50" s="20">
        <f>+MOP_Mes_Corriente!CT51*MOP_Mes_Constante!$CP$1</f>
        <v>203369.36450116005</v>
      </c>
      <c r="CU50" s="20">
        <f>+MOP_Mes_Corriente!CU51*MOP_Mes_Constante!$CP$1</f>
        <v>203369.36450116005</v>
      </c>
      <c r="CV50" s="20">
        <f>+MOP_Mes_Corriente!CV51*MOP_Mes_Constante!$CP$1</f>
        <v>203369.36450116005</v>
      </c>
      <c r="CW50" s="20">
        <f>+MOP_Mes_Corriente!CW51*MOP_Mes_Constante!$CP$1</f>
        <v>203369.36450116005</v>
      </c>
      <c r="CX50" s="20">
        <f>+MOP_Mes_Corriente!CX51*MOP_Mes_Constante!$CP$1</f>
        <v>203369.36450116005</v>
      </c>
      <c r="CY50" s="20">
        <f>+MOP_Mes_Corriente!CY51*MOP_Mes_Constante!$CP$1</f>
        <v>203369.36450116005</v>
      </c>
      <c r="CZ50" s="20">
        <f>+MOP_Mes_Corriente!CZ51*MOP_Mes_Constante!$CP$1</f>
        <v>203369.36450116005</v>
      </c>
      <c r="DA50" s="20">
        <f>+MOP_Mes_Corriente!DA51*MOP_Mes_Constante!$CP$1</f>
        <v>203369.36450116005</v>
      </c>
      <c r="DB50" s="20">
        <f t="shared" si="64"/>
        <v>203369.36450116005</v>
      </c>
      <c r="DC50" s="20">
        <f>+MOP_Mes_Corriente!DC51*MOP_Mes_Constante!$DC$1</f>
        <v>511767.50087439589</v>
      </c>
      <c r="DD50" s="20">
        <f>+MOP_Mes_Corriente!DD51*MOP_Mes_Constante!$DC$1</f>
        <v>511767.50087439589</v>
      </c>
      <c r="DE50" s="20">
        <f>+MOP_Mes_Corriente!DE51*MOP_Mes_Constante!$DC$1</f>
        <v>511767.50087439589</v>
      </c>
      <c r="DF50" s="20">
        <f>+MOP_Mes_Corriente!DF51*MOP_Mes_Constante!$DC$1</f>
        <v>511767.50087439589</v>
      </c>
      <c r="DG50" s="20">
        <f>+MOP_Mes_Corriente!DG51*MOP_Mes_Constante!$DC$1</f>
        <v>511767.50087439589</v>
      </c>
      <c r="DH50" s="20">
        <f>+MOP_Mes_Corriente!DH51*MOP_Mes_Constante!$DC$1</f>
        <v>511767.50087439589</v>
      </c>
      <c r="DI50" s="20">
        <f>+MOP_Mes_Corriente!DI51*MOP_Mes_Constante!$DC$1</f>
        <v>511767.50087439589</v>
      </c>
      <c r="DJ50" s="20">
        <f>+MOP_Mes_Corriente!DJ51*MOP_Mes_Constante!$DC$1</f>
        <v>511767.50087439589</v>
      </c>
      <c r="DK50" s="20">
        <f>+MOP_Mes_Corriente!DK51*MOP_Mes_Constante!$DC$1</f>
        <v>511767.50087439589</v>
      </c>
      <c r="DL50" s="20">
        <f>+MOP_Mes_Corriente!DL51*MOP_Mes_Constante!$DC$1</f>
        <v>511767.50087439589</v>
      </c>
      <c r="DM50" s="20">
        <f>+MOP_Mes_Corriente!DM51*MOP_Mes_Constante!$DC$1</f>
        <v>511767.50087439589</v>
      </c>
      <c r="DN50" s="20">
        <f>+MOP_Mes_Corriente!DN51*MOP_Mes_Constante!$DC$1</f>
        <v>511767.50087439589</v>
      </c>
      <c r="DO50" s="20">
        <f t="shared" si="65"/>
        <v>511767.50087439589</v>
      </c>
      <c r="DP50" s="20">
        <f>+MOP_Mes_Corriente!DP51*MOP_Mes_Constante!$DP$1</f>
        <v>673260.68230403808</v>
      </c>
      <c r="DQ50" s="20">
        <f>+MOP_Mes_Corriente!DQ51*MOP_Mes_Constante!$DP$1</f>
        <v>673260.68230403808</v>
      </c>
      <c r="DR50" s="20">
        <f>+MOP_Mes_Corriente!DR51*MOP_Mes_Constante!$DP$1</f>
        <v>673260.68230403808</v>
      </c>
      <c r="DS50" s="20">
        <f>+MOP_Mes_Corriente!DS51*MOP_Mes_Constante!$DP$1</f>
        <v>673260.68230403808</v>
      </c>
      <c r="DT50" s="20">
        <f>+MOP_Mes_Corriente!DT51*MOP_Mes_Constante!$DP$1</f>
        <v>673260.68230403808</v>
      </c>
      <c r="DU50" s="20">
        <f>+MOP_Mes_Corriente!DU51*MOP_Mes_Constante!$DP$1</f>
        <v>673260.68230403808</v>
      </c>
      <c r="DV50" s="20">
        <f>+MOP_Mes_Corriente!DV51*MOP_Mes_Constante!$DP$1</f>
        <v>673260.68230403808</v>
      </c>
      <c r="DW50" s="20">
        <f>+MOP_Mes_Corriente!DW51*MOP_Mes_Constante!$DP$1</f>
        <v>673260.68230403808</v>
      </c>
      <c r="DX50" s="20">
        <f>+MOP_Mes_Corriente!DX51*MOP_Mes_Constante!$DP$1</f>
        <v>673260.68230403808</v>
      </c>
      <c r="DY50" s="20">
        <f>+MOP_Mes_Corriente!DY51*MOP_Mes_Constante!$DP$1</f>
        <v>673260.68230403808</v>
      </c>
      <c r="DZ50" s="20">
        <f>+MOP_Mes_Corriente!DZ51*MOP_Mes_Constante!$DP$1</f>
        <v>673260.68230403808</v>
      </c>
      <c r="EA50" s="20">
        <f>+MOP_Mes_Corriente!EA51*MOP_Mes_Constante!$DP$1</f>
        <v>673260.68230403808</v>
      </c>
      <c r="EB50" s="20">
        <f t="shared" si="66"/>
        <v>673260.68230403808</v>
      </c>
      <c r="EC50" s="20">
        <f>+MOP_Mes_Corriente!EC51*MOP_Mes_Constante!$EC$1</f>
        <v>658026.16019693215</v>
      </c>
      <c r="ED50" s="20">
        <f>+MOP_Mes_Corriente!ED51*MOP_Mes_Constante!$EC$1</f>
        <v>658026.16019693215</v>
      </c>
      <c r="EE50" s="20">
        <f>+MOP_Mes_Corriente!EE51*MOP_Mes_Constante!$EC$1</f>
        <v>658026.16019693215</v>
      </c>
      <c r="EF50" s="20">
        <f>+MOP_Mes_Corriente!EF51*MOP_Mes_Constante!$EC$1</f>
        <v>658026.16019693215</v>
      </c>
      <c r="EG50" s="20">
        <f>+MOP_Mes_Corriente!EG51*MOP_Mes_Constante!$EC$1</f>
        <v>658026.16019693215</v>
      </c>
      <c r="EH50" s="20">
        <f>+MOP_Mes_Corriente!EH51*MOP_Mes_Constante!$EC$1</f>
        <v>658026.16019693215</v>
      </c>
      <c r="EI50" s="20">
        <f>+MOP_Mes_Corriente!EI51*MOP_Mes_Constante!$EC$1</f>
        <v>658026.16019693215</v>
      </c>
      <c r="EJ50" s="20">
        <f>+MOP_Mes_Corriente!EJ51*MOP_Mes_Constante!$EC$1</f>
        <v>658026.16019693215</v>
      </c>
      <c r="EK50" s="20">
        <f>+MOP_Mes_Corriente!EK51*MOP_Mes_Constante!$EC$1</f>
        <v>658026.16019693215</v>
      </c>
      <c r="EL50" s="20">
        <f>+MOP_Mes_Corriente!EL51*MOP_Mes_Constante!$EC$1</f>
        <v>658026.16019693215</v>
      </c>
      <c r="EM50" s="20">
        <f>+MOP_Mes_Corriente!EM51*MOP_Mes_Constante!$EC$1</f>
        <v>658026.16019693215</v>
      </c>
      <c r="EN50" s="20">
        <f>+MOP_Mes_Corriente!EN51*MOP_Mes_Constante!$EC$1</f>
        <v>658026.16019693215</v>
      </c>
      <c r="EO50" s="20">
        <f t="shared" si="67"/>
        <v>658026.16019693215</v>
      </c>
      <c r="EP50" s="20">
        <f>+MOP_Mes_Corriente!EP51*MOP_Mes_Constante!$EP$1</f>
        <v>1352415</v>
      </c>
      <c r="EQ50" s="20">
        <f>+MOP_Mes_Corriente!EQ51*MOP_Mes_Constante!$EP$1</f>
        <v>1352415</v>
      </c>
      <c r="ER50" s="20">
        <f>+MOP_Mes_Corriente!ER51*MOP_Mes_Constante!$EP$1</f>
        <v>1352415</v>
      </c>
      <c r="ES50" s="20">
        <f>+MOP_Mes_Corriente!ES51*MOP_Mes_Constante!$EP$1</f>
        <v>1352415</v>
      </c>
      <c r="ET50" s="20">
        <f>+MOP_Mes_Corriente!ET51*MOP_Mes_Constante!$EP$1</f>
        <v>1352415</v>
      </c>
      <c r="EU50" s="20">
        <f>+MOP_Mes_Corriente!EU51*MOP_Mes_Constante!$EP$1</f>
        <v>1352415</v>
      </c>
      <c r="EV50" s="20">
        <f>+MOP_Mes_Corriente!EV51*MOP_Mes_Constante!$EP$1</f>
        <v>1352415</v>
      </c>
      <c r="EW50" s="20">
        <f>+MOP_Mes_Corriente!EW51*MOP_Mes_Constante!$EP$1</f>
        <v>1352415</v>
      </c>
      <c r="EX50" s="20">
        <f>+MOP_Mes_Corriente!EX51*MOP_Mes_Constante!$EP$1</f>
        <v>1352415</v>
      </c>
      <c r="EY50" s="20">
        <f>+MOP_Mes_Corriente!EY51*MOP_Mes_Constante!$EP$1</f>
        <v>1352415</v>
      </c>
      <c r="EZ50" s="20">
        <f>+MOP_Mes_Corriente!EZ51*MOP_Mes_Constante!$EP$1</f>
        <v>1352415</v>
      </c>
      <c r="FA50" s="20">
        <f>+MOP_Mes_Corriente!FA51*MOP_Mes_Constante!$EP$1</f>
        <v>1352415</v>
      </c>
      <c r="FB50" s="20">
        <f t="shared" si="68"/>
        <v>1352415</v>
      </c>
      <c r="FC50" s="20">
        <f>+MOP_Mes_Corriente!FC51*MOP_Mes_Constante!$FC$1</f>
        <v>667445</v>
      </c>
      <c r="FD50" s="20">
        <f>+MOP_Mes_Corriente!FD51*MOP_Mes_Constante!$FC$1</f>
        <v>667445</v>
      </c>
      <c r="FE50" s="20">
        <f>+MOP_Mes_Corriente!FE51*MOP_Mes_Constante!$FC$1</f>
        <v>667445</v>
      </c>
      <c r="FF50" s="20">
        <f>+MOP_Mes_Corriente!FF51*MOP_Mes_Constante!$FC$1</f>
        <v>667445</v>
      </c>
      <c r="FG50" s="20">
        <f>+MOP_Mes_Corriente!FG51*MOP_Mes_Constante!$FC$1</f>
        <v>667445</v>
      </c>
      <c r="FH50" s="20">
        <f>+MOP_Mes_Corriente!FH51*MOP_Mes_Constante!$FC$1</f>
        <v>667445</v>
      </c>
      <c r="FI50" s="20">
        <f>+MOP_Mes_Corriente!FI51*MOP_Mes_Constante!$FC$1</f>
        <v>667445</v>
      </c>
      <c r="FJ50" s="10"/>
      <c r="FK50" s="10"/>
      <c r="FL50" s="10"/>
      <c r="FM50" s="10"/>
      <c r="FN50" s="10"/>
      <c r="FO50" s="20">
        <f t="shared" si="69"/>
        <v>667445</v>
      </c>
    </row>
    <row r="51" spans="1:171" ht="27.75" customHeight="1">
      <c r="A51" s="10"/>
      <c r="B51" s="19" t="s">
        <v>46</v>
      </c>
      <c r="C51" s="20">
        <f>+MOP_Mes_Corriente!C52*MOP_Mes_Constante!$C$1</f>
        <v>269581.99584754562</v>
      </c>
      <c r="D51" s="20">
        <f>+MOP_Mes_Corriente!D52*MOP_Mes_Constante!$C$1</f>
        <v>269581.99584754562</v>
      </c>
      <c r="E51" s="20">
        <f>+MOP_Mes_Corriente!E52*MOP_Mes_Constante!$C$1</f>
        <v>269581.99584754562</v>
      </c>
      <c r="F51" s="20">
        <f>+MOP_Mes_Corriente!F52*MOP_Mes_Constante!$C$1</f>
        <v>269581.99584754562</v>
      </c>
      <c r="G51" s="20">
        <f>+MOP_Mes_Corriente!G52*MOP_Mes_Constante!$C$1</f>
        <v>269581.99584754562</v>
      </c>
      <c r="H51" s="20">
        <f>+MOP_Mes_Corriente!H52*MOP_Mes_Constante!$C$1</f>
        <v>269581.99584754562</v>
      </c>
      <c r="I51" s="20">
        <f>+MOP_Mes_Corriente!I52*MOP_Mes_Constante!$C$1</f>
        <v>269581.99584754562</v>
      </c>
      <c r="J51" s="20">
        <f>+MOP_Mes_Corriente!J52*MOP_Mes_Constante!$C$1</f>
        <v>269581.99584754562</v>
      </c>
      <c r="K51" s="20">
        <f>+MOP_Mes_Corriente!K52*MOP_Mes_Constante!$C$1</f>
        <v>269581.99584754562</v>
      </c>
      <c r="L51" s="20">
        <f>+MOP_Mes_Corriente!L52*MOP_Mes_Constante!$C$1</f>
        <v>269581.99584754562</v>
      </c>
      <c r="M51" s="20">
        <f>+MOP_Mes_Corriente!M52*MOP_Mes_Constante!$C$1</f>
        <v>269581.99584754562</v>
      </c>
      <c r="N51" s="20">
        <f>+MOP_Mes_Corriente!N52*MOP_Mes_Constante!$C$1</f>
        <v>269581.99584754562</v>
      </c>
      <c r="O51" s="20">
        <f t="shared" si="57"/>
        <v>269581.99584754562</v>
      </c>
      <c r="P51" s="20">
        <f>+MOP_Mes_Corriente!P52*MOP_Mes_Constante!$P$1</f>
        <v>2468069.9335132823</v>
      </c>
      <c r="Q51" s="20">
        <f>+MOP_Mes_Corriente!Q52*MOP_Mes_Constante!$P$1</f>
        <v>2468069.9335132823</v>
      </c>
      <c r="R51" s="20">
        <f>+MOP_Mes_Corriente!R52*MOP_Mes_Constante!$P$1</f>
        <v>2468069.9335132823</v>
      </c>
      <c r="S51" s="20">
        <f>+MOP_Mes_Corriente!S52*MOP_Mes_Constante!$P$1</f>
        <v>2468069.9335132823</v>
      </c>
      <c r="T51" s="20">
        <f>+MOP_Mes_Corriente!T52*MOP_Mes_Constante!$P$1</f>
        <v>2468069.9335132823</v>
      </c>
      <c r="U51" s="20">
        <f>+MOP_Mes_Corriente!U52*MOP_Mes_Constante!$P$1</f>
        <v>2468069.9335132823</v>
      </c>
      <c r="V51" s="20">
        <f>+MOP_Mes_Corriente!V52*MOP_Mes_Constante!$P$1</f>
        <v>2468069.9335132823</v>
      </c>
      <c r="W51" s="20">
        <f>+MOP_Mes_Corriente!W52*MOP_Mes_Constante!$P$1</f>
        <v>2468069.9335132823</v>
      </c>
      <c r="X51" s="20">
        <f>+MOP_Mes_Corriente!X52*MOP_Mes_Constante!$P$1</f>
        <v>2468069.9335132823</v>
      </c>
      <c r="Y51" s="20">
        <f>+MOP_Mes_Corriente!Y52*MOP_Mes_Constante!$P$1</f>
        <v>2468069.9335132823</v>
      </c>
      <c r="Z51" s="20">
        <f>+MOP_Mes_Corriente!Z52*MOP_Mes_Constante!$P$1</f>
        <v>2468069.9335132823</v>
      </c>
      <c r="AA51" s="20">
        <f>+MOP_Mes_Corriente!AA52*MOP_Mes_Constante!$P$1</f>
        <v>2468069.9335132823</v>
      </c>
      <c r="AB51" s="20">
        <f t="shared" si="58"/>
        <v>2468069.9335132823</v>
      </c>
      <c r="AC51" s="20">
        <f>+MOP_Mes_Corriente!AC52*MOP_Mes_Constante!$AC$1</f>
        <v>9265778.5057407655</v>
      </c>
      <c r="AD51" s="20">
        <f>+MOP_Mes_Corriente!AD52*MOP_Mes_Constante!$AC$1</f>
        <v>9265778.5057407655</v>
      </c>
      <c r="AE51" s="20">
        <f>+MOP_Mes_Corriente!AE52*MOP_Mes_Constante!$AC$1</f>
        <v>9265778.5057407655</v>
      </c>
      <c r="AF51" s="20">
        <f>+MOP_Mes_Corriente!AF52*MOP_Mes_Constante!$AC$1</f>
        <v>9265778.5057407655</v>
      </c>
      <c r="AG51" s="20">
        <f>+MOP_Mes_Corriente!AG52*MOP_Mes_Constante!$AC$1</f>
        <v>9265778.5057407655</v>
      </c>
      <c r="AH51" s="20">
        <f>+MOP_Mes_Corriente!AH52*MOP_Mes_Constante!$AC$1</f>
        <v>9265778.5057407655</v>
      </c>
      <c r="AI51" s="20">
        <f>+MOP_Mes_Corriente!AI52*MOP_Mes_Constante!$AC$1</f>
        <v>9265778.5057407655</v>
      </c>
      <c r="AJ51" s="20">
        <f>+MOP_Mes_Corriente!AJ52*MOP_Mes_Constante!$AC$1</f>
        <v>9265778.5057407655</v>
      </c>
      <c r="AK51" s="20">
        <f>+MOP_Mes_Corriente!AK52*MOP_Mes_Constante!$AC$1</f>
        <v>9265778.5057407655</v>
      </c>
      <c r="AL51" s="20">
        <f>+MOP_Mes_Corriente!AL52*MOP_Mes_Constante!$AC$1</f>
        <v>9265778.5057407655</v>
      </c>
      <c r="AM51" s="20">
        <f>+MOP_Mes_Corriente!AM52*MOP_Mes_Constante!$AC$1</f>
        <v>9265778.5057407655</v>
      </c>
      <c r="AN51" s="20">
        <f>+MOP_Mes_Corriente!AN52*MOP_Mes_Constante!$AC$1</f>
        <v>9265778.5057407655</v>
      </c>
      <c r="AO51" s="20">
        <f t="shared" si="59"/>
        <v>9265778.5057407655</v>
      </c>
      <c r="AP51" s="20">
        <f>+MOP_Mes_Corriente!AP52*MOP_Mes_Constante!$AP$1</f>
        <v>5752655.0139320977</v>
      </c>
      <c r="AQ51" s="20">
        <f>+MOP_Mes_Corriente!AQ52*MOP_Mes_Constante!$AP$1</f>
        <v>5752655.0139320977</v>
      </c>
      <c r="AR51" s="20">
        <f>+MOP_Mes_Corriente!AR52*MOP_Mes_Constante!$AP$1</f>
        <v>5752655.0139320977</v>
      </c>
      <c r="AS51" s="20">
        <f>+MOP_Mes_Corriente!AS52*MOP_Mes_Constante!$AP$1</f>
        <v>5752655.0139320977</v>
      </c>
      <c r="AT51" s="20">
        <f>+MOP_Mes_Corriente!AT52*MOP_Mes_Constante!$AP$1</f>
        <v>5752655.0139320977</v>
      </c>
      <c r="AU51" s="20">
        <f>+MOP_Mes_Corriente!AU52*MOP_Mes_Constante!$AP$1</f>
        <v>5752655.0139320977</v>
      </c>
      <c r="AV51" s="20">
        <f>+MOP_Mes_Corriente!AV52*MOP_Mes_Constante!$AP$1</f>
        <v>5752655.0139320977</v>
      </c>
      <c r="AW51" s="20">
        <f>+MOP_Mes_Corriente!AW52*MOP_Mes_Constante!$AP$1</f>
        <v>5752655.0139320977</v>
      </c>
      <c r="AX51" s="20">
        <f>+MOP_Mes_Corriente!AX52*MOP_Mes_Constante!$AP$1</f>
        <v>5752655.0139320977</v>
      </c>
      <c r="AY51" s="20">
        <f>+MOP_Mes_Corriente!AY52*MOP_Mes_Constante!$AP$1</f>
        <v>5752655.0139320977</v>
      </c>
      <c r="AZ51" s="20">
        <f>+MOP_Mes_Corriente!AZ52*MOP_Mes_Constante!$AP$1</f>
        <v>5752655.0139320977</v>
      </c>
      <c r="BA51" s="20">
        <f>+MOP_Mes_Corriente!BA52*MOP_Mes_Constante!$AP$1</f>
        <v>5752655.0139320977</v>
      </c>
      <c r="BB51" s="20">
        <f t="shared" si="60"/>
        <v>5752655.0139320977</v>
      </c>
      <c r="BC51" s="20">
        <f>+MOP_Mes_Corriente!BC52*MOP_Mes_Constante!$BC$1</f>
        <v>2863110.5356718982</v>
      </c>
      <c r="BD51" s="20">
        <f>+MOP_Mes_Corriente!BD52*MOP_Mes_Constante!$BC$1</f>
        <v>2863110.5356718982</v>
      </c>
      <c r="BE51" s="20">
        <f>+MOP_Mes_Corriente!BE52*MOP_Mes_Constante!$BC$1</f>
        <v>2863110.5356718982</v>
      </c>
      <c r="BF51" s="20">
        <f>+MOP_Mes_Corriente!BF52*MOP_Mes_Constante!$BC$1</f>
        <v>2863110.5356718982</v>
      </c>
      <c r="BG51" s="20">
        <f>+MOP_Mes_Corriente!BG52*MOP_Mes_Constante!$BC$1</f>
        <v>2863110.5356718982</v>
      </c>
      <c r="BH51" s="20">
        <f>+MOP_Mes_Corriente!BH52*MOP_Mes_Constante!$BC$1</f>
        <v>2863110.5356718982</v>
      </c>
      <c r="BI51" s="20">
        <f>+MOP_Mes_Corriente!BI52*MOP_Mes_Constante!$BC$1</f>
        <v>2863110.5356718982</v>
      </c>
      <c r="BJ51" s="20">
        <f>+MOP_Mes_Corriente!BJ52*MOP_Mes_Constante!$BC$1</f>
        <v>2863110.5356718982</v>
      </c>
      <c r="BK51" s="20">
        <f>+MOP_Mes_Corriente!BK52*MOP_Mes_Constante!$BC$1</f>
        <v>2863110.5356718982</v>
      </c>
      <c r="BL51" s="20">
        <f>+MOP_Mes_Corriente!BL52*MOP_Mes_Constante!$BC$1</f>
        <v>2863110.5356718982</v>
      </c>
      <c r="BM51" s="20">
        <f>+MOP_Mes_Corriente!BM52*MOP_Mes_Constante!$BC$1</f>
        <v>2863110.5356718982</v>
      </c>
      <c r="BN51" s="20">
        <f>+MOP_Mes_Corriente!BN52*MOP_Mes_Constante!$BC$1</f>
        <v>2863110.5356718982</v>
      </c>
      <c r="BO51" s="20">
        <f t="shared" si="61"/>
        <v>2863110.5356718982</v>
      </c>
      <c r="BP51" s="20">
        <f>+MOP_Mes_Corriente!BP52*MOP_Mes_Constante!$BP$1</f>
        <v>3413879.7626120364</v>
      </c>
      <c r="BQ51" s="20">
        <f>+MOP_Mes_Corriente!BQ52*MOP_Mes_Constante!$BP$1</f>
        <v>3413879.7626120364</v>
      </c>
      <c r="BR51" s="20">
        <f>+MOP_Mes_Corriente!BR52*MOP_Mes_Constante!$BP$1</f>
        <v>3413879.7626120364</v>
      </c>
      <c r="BS51" s="20">
        <f>+MOP_Mes_Corriente!BS52*MOP_Mes_Constante!$BP$1</f>
        <v>3413879.7626120364</v>
      </c>
      <c r="BT51" s="20">
        <f>+MOP_Mes_Corriente!BT52*MOP_Mes_Constante!$BP$1</f>
        <v>3413879.7626120364</v>
      </c>
      <c r="BU51" s="20">
        <f>+MOP_Mes_Corriente!BU52*MOP_Mes_Constante!$BP$1</f>
        <v>3413879.7626120364</v>
      </c>
      <c r="BV51" s="20">
        <f>+MOP_Mes_Corriente!BV52*MOP_Mes_Constante!$BP$1</f>
        <v>3413879.7626120364</v>
      </c>
      <c r="BW51" s="20">
        <f>+MOP_Mes_Corriente!BW52*MOP_Mes_Constante!$BP$1</f>
        <v>3413879.7626120364</v>
      </c>
      <c r="BX51" s="20">
        <f>+MOP_Mes_Corriente!BX52*MOP_Mes_Constante!$BP$1</f>
        <v>3413879.7626120364</v>
      </c>
      <c r="BY51" s="20">
        <f>+MOP_Mes_Corriente!BY52*MOP_Mes_Constante!$BP$1</f>
        <v>3413879.7626120364</v>
      </c>
      <c r="BZ51" s="20">
        <f>+MOP_Mes_Corriente!BZ52*MOP_Mes_Constante!$BP$1</f>
        <v>3413879.7626120364</v>
      </c>
      <c r="CA51" s="20">
        <f>+MOP_Mes_Corriente!CA52*MOP_Mes_Constante!$BP$1</f>
        <v>3413879.7626120364</v>
      </c>
      <c r="CB51" s="20">
        <f t="shared" si="62"/>
        <v>3413879.7626120364</v>
      </c>
      <c r="CC51" s="20">
        <f>+MOP_Mes_Corriente!CC52*MOP_Mes_Constante!$CC$1</f>
        <v>3380171.30846699</v>
      </c>
      <c r="CD51" s="20">
        <f>+MOP_Mes_Corriente!CD52*MOP_Mes_Constante!$CC$1</f>
        <v>3380171.30846699</v>
      </c>
      <c r="CE51" s="20">
        <f>+MOP_Mes_Corriente!CE52*MOP_Mes_Constante!$CC$1</f>
        <v>3380171.30846699</v>
      </c>
      <c r="CF51" s="20">
        <f>+MOP_Mes_Corriente!CF52*MOP_Mes_Constante!$CC$1</f>
        <v>3380171.30846699</v>
      </c>
      <c r="CG51" s="20">
        <f>+MOP_Mes_Corriente!CG52*MOP_Mes_Constante!$CC$1</f>
        <v>3380171.30846699</v>
      </c>
      <c r="CH51" s="20">
        <f>+MOP_Mes_Corriente!CH52*MOP_Mes_Constante!$CC$1</f>
        <v>3380171.30846699</v>
      </c>
      <c r="CI51" s="20">
        <f>+MOP_Mes_Corriente!CI52*MOP_Mes_Constante!$CC$1</f>
        <v>3380171.30846699</v>
      </c>
      <c r="CJ51" s="20">
        <f>+MOP_Mes_Corriente!CJ52*MOP_Mes_Constante!$CC$1</f>
        <v>3380171.30846699</v>
      </c>
      <c r="CK51" s="20">
        <f>+MOP_Mes_Corriente!CK52*MOP_Mes_Constante!$CC$1</f>
        <v>3380171.30846699</v>
      </c>
      <c r="CL51" s="20">
        <f>+MOP_Mes_Corriente!CL52*MOP_Mes_Constante!$CC$1</f>
        <v>3380171.30846699</v>
      </c>
      <c r="CM51" s="20">
        <f>+MOP_Mes_Corriente!CM52*MOP_Mes_Constante!$CC$1</f>
        <v>3380171.30846699</v>
      </c>
      <c r="CN51" s="20">
        <f>+MOP_Mes_Corriente!CN52*MOP_Mes_Constante!$CC$1</f>
        <v>3380171.30846699</v>
      </c>
      <c r="CO51" s="20">
        <f t="shared" si="63"/>
        <v>3380171.30846699</v>
      </c>
      <c r="CP51" s="20">
        <f>+MOP_Mes_Corriente!CP52*MOP_Mes_Constante!$CP$1</f>
        <v>3678444.5053364262</v>
      </c>
      <c r="CQ51" s="20">
        <f>+MOP_Mes_Corriente!CQ52*MOP_Mes_Constante!$CP$1</f>
        <v>3678444.5053364262</v>
      </c>
      <c r="CR51" s="20">
        <f>+MOP_Mes_Corriente!CR52*MOP_Mes_Constante!$CP$1</f>
        <v>3678444.5053364262</v>
      </c>
      <c r="CS51" s="20">
        <f>+MOP_Mes_Corriente!CS52*MOP_Mes_Constante!$CP$1</f>
        <v>3678444.5053364262</v>
      </c>
      <c r="CT51" s="20">
        <f>+MOP_Mes_Corriente!CT52*MOP_Mes_Constante!$CP$1</f>
        <v>3678444.5053364262</v>
      </c>
      <c r="CU51" s="20">
        <f>+MOP_Mes_Corriente!CU52*MOP_Mes_Constante!$CP$1</f>
        <v>3678444.5053364262</v>
      </c>
      <c r="CV51" s="20">
        <f>+MOP_Mes_Corriente!CV52*MOP_Mes_Constante!$CP$1</f>
        <v>3678444.5053364262</v>
      </c>
      <c r="CW51" s="20">
        <f>+MOP_Mes_Corriente!CW52*MOP_Mes_Constante!$CP$1</f>
        <v>3678444.5053364262</v>
      </c>
      <c r="CX51" s="20">
        <f>+MOP_Mes_Corriente!CX52*MOP_Mes_Constante!$CP$1</f>
        <v>3678444.5053364262</v>
      </c>
      <c r="CY51" s="20">
        <f>+MOP_Mes_Corriente!CY52*MOP_Mes_Constante!$CP$1</f>
        <v>3678444.5053364262</v>
      </c>
      <c r="CZ51" s="20">
        <f>+MOP_Mes_Corriente!CZ52*MOP_Mes_Constante!$CP$1</f>
        <v>3678444.5053364262</v>
      </c>
      <c r="DA51" s="20">
        <f>+MOP_Mes_Corriente!DA52*MOP_Mes_Constante!$CP$1</f>
        <v>3678444.5053364262</v>
      </c>
      <c r="DB51" s="20">
        <f t="shared" si="64"/>
        <v>3678444.5053364262</v>
      </c>
      <c r="DC51" s="20">
        <f>+MOP_Mes_Corriente!DC52*MOP_Mes_Constante!$DC$1</f>
        <v>1486206.8739841587</v>
      </c>
      <c r="DD51" s="20">
        <f>+MOP_Mes_Corriente!DD52*MOP_Mes_Constante!$DC$1</f>
        <v>1486206.8739841587</v>
      </c>
      <c r="DE51" s="20">
        <f>+MOP_Mes_Corriente!DE52*MOP_Mes_Constante!$DC$1</f>
        <v>1486206.8739841587</v>
      </c>
      <c r="DF51" s="20">
        <f>+MOP_Mes_Corriente!DF52*MOP_Mes_Constante!$DC$1</f>
        <v>1486206.8739841587</v>
      </c>
      <c r="DG51" s="20">
        <f>+MOP_Mes_Corriente!DG52*MOP_Mes_Constante!$DC$1</f>
        <v>1486206.8739841587</v>
      </c>
      <c r="DH51" s="20">
        <f>+MOP_Mes_Corriente!DH52*MOP_Mes_Constante!$DC$1</f>
        <v>1486206.8739841587</v>
      </c>
      <c r="DI51" s="20">
        <f>+MOP_Mes_Corriente!DI52*MOP_Mes_Constante!$DC$1</f>
        <v>1486206.8739841587</v>
      </c>
      <c r="DJ51" s="20">
        <f>+MOP_Mes_Corriente!DJ52*MOP_Mes_Constante!$DC$1</f>
        <v>1486206.8739841587</v>
      </c>
      <c r="DK51" s="20">
        <f>+MOP_Mes_Corriente!DK52*MOP_Mes_Constante!$DC$1</f>
        <v>1486206.8739841587</v>
      </c>
      <c r="DL51" s="20">
        <f>+MOP_Mes_Corriente!DL52*MOP_Mes_Constante!$DC$1</f>
        <v>1486206.8739841587</v>
      </c>
      <c r="DM51" s="20">
        <f>+MOP_Mes_Corriente!DM52*MOP_Mes_Constante!$DC$1</f>
        <v>1486206.8739841587</v>
      </c>
      <c r="DN51" s="20">
        <f>+MOP_Mes_Corriente!DN52*MOP_Mes_Constante!$DC$1</f>
        <v>1486206.8739841587</v>
      </c>
      <c r="DO51" s="20">
        <f t="shared" si="65"/>
        <v>1486206.8739841587</v>
      </c>
      <c r="DP51" s="20">
        <f>+MOP_Mes_Corriente!DP52*MOP_Mes_Constante!$DP$1</f>
        <v>1962487.5908551072</v>
      </c>
      <c r="DQ51" s="20">
        <f>+MOP_Mes_Corriente!DQ52*MOP_Mes_Constante!$DP$1</f>
        <v>1962487.5908551072</v>
      </c>
      <c r="DR51" s="20">
        <f>+MOP_Mes_Corriente!DR52*MOP_Mes_Constante!$DP$1</f>
        <v>1962487.5908551072</v>
      </c>
      <c r="DS51" s="20">
        <f>+MOP_Mes_Corriente!DS52*MOP_Mes_Constante!$DP$1</f>
        <v>1962487.5908551072</v>
      </c>
      <c r="DT51" s="20">
        <f>+MOP_Mes_Corriente!DT52*MOP_Mes_Constante!$DP$1</f>
        <v>1962487.5908551072</v>
      </c>
      <c r="DU51" s="20">
        <f>+MOP_Mes_Corriente!DU52*MOP_Mes_Constante!$DP$1</f>
        <v>1962487.5908551072</v>
      </c>
      <c r="DV51" s="20">
        <f>+MOP_Mes_Corriente!DV52*MOP_Mes_Constante!$DP$1</f>
        <v>1962487.5908551072</v>
      </c>
      <c r="DW51" s="20">
        <f>+MOP_Mes_Corriente!DW52*MOP_Mes_Constante!$DP$1</f>
        <v>1962487.5908551072</v>
      </c>
      <c r="DX51" s="20">
        <f>+MOP_Mes_Corriente!DX52*MOP_Mes_Constante!$DP$1</f>
        <v>1962487.5908551072</v>
      </c>
      <c r="DY51" s="20">
        <f>+MOP_Mes_Corriente!DY52*MOP_Mes_Constante!$DP$1</f>
        <v>1962487.5908551072</v>
      </c>
      <c r="DZ51" s="20">
        <f>+MOP_Mes_Corriente!DZ52*MOP_Mes_Constante!$DP$1</f>
        <v>1962487.5908551072</v>
      </c>
      <c r="EA51" s="20">
        <f>+MOP_Mes_Corriente!EA52*MOP_Mes_Constante!$DP$1</f>
        <v>1962487.5908551072</v>
      </c>
      <c r="EB51" s="20">
        <f t="shared" si="66"/>
        <v>1962487.5908551072</v>
      </c>
      <c r="EC51" s="20">
        <f>+MOP_Mes_Corriente!EC52*MOP_Mes_Constante!$EC$1</f>
        <v>5330100.4476424903</v>
      </c>
      <c r="ED51" s="20">
        <f>+MOP_Mes_Corriente!ED52*MOP_Mes_Constante!$EC$1</f>
        <v>5330100.4476424903</v>
      </c>
      <c r="EE51" s="20">
        <f>+MOP_Mes_Corriente!EE52*MOP_Mes_Constante!$EC$1</f>
        <v>5330100.4476424903</v>
      </c>
      <c r="EF51" s="20">
        <f>+MOP_Mes_Corriente!EF52*MOP_Mes_Constante!$EC$1</f>
        <v>5330100.4476424903</v>
      </c>
      <c r="EG51" s="20">
        <f>+MOP_Mes_Corriente!EG52*MOP_Mes_Constante!$EC$1</f>
        <v>5330100.4476424903</v>
      </c>
      <c r="EH51" s="20">
        <f>+MOP_Mes_Corriente!EH52*MOP_Mes_Constante!$EC$1</f>
        <v>5330100.4476424903</v>
      </c>
      <c r="EI51" s="20">
        <f>+MOP_Mes_Corriente!EI52*MOP_Mes_Constante!$EC$1</f>
        <v>5330100.4476424903</v>
      </c>
      <c r="EJ51" s="20">
        <f>+MOP_Mes_Corriente!EJ52*MOP_Mes_Constante!$EC$1</f>
        <v>5330100.4476424903</v>
      </c>
      <c r="EK51" s="20">
        <f>+MOP_Mes_Corriente!EK52*MOP_Mes_Constante!$EC$1</f>
        <v>5330100.4476424903</v>
      </c>
      <c r="EL51" s="20">
        <f>+MOP_Mes_Corriente!EL52*MOP_Mes_Constante!$EC$1</f>
        <v>5330100.4476424903</v>
      </c>
      <c r="EM51" s="20">
        <f>+MOP_Mes_Corriente!EM52*MOP_Mes_Constante!$EC$1</f>
        <v>5330100.4476424903</v>
      </c>
      <c r="EN51" s="20">
        <f>+MOP_Mes_Corriente!EN52*MOP_Mes_Constante!$EC$1</f>
        <v>5330100.4476424903</v>
      </c>
      <c r="EO51" s="20">
        <f t="shared" si="67"/>
        <v>5330100.4476424903</v>
      </c>
      <c r="EP51" s="20">
        <f>+MOP_Mes_Corriente!EP52*MOP_Mes_Constante!$EP$1</f>
        <v>2635679</v>
      </c>
      <c r="EQ51" s="20">
        <f>+MOP_Mes_Corriente!EQ52*MOP_Mes_Constante!$EP$1</f>
        <v>2635679</v>
      </c>
      <c r="ER51" s="20">
        <f>+MOP_Mes_Corriente!ER52*MOP_Mes_Constante!$EP$1</f>
        <v>2635679</v>
      </c>
      <c r="ES51" s="20">
        <f>+MOP_Mes_Corriente!ES52*MOP_Mes_Constante!$EP$1</f>
        <v>2635679</v>
      </c>
      <c r="ET51" s="20">
        <f>+MOP_Mes_Corriente!ET52*MOP_Mes_Constante!$EP$1</f>
        <v>2635679</v>
      </c>
      <c r="EU51" s="20">
        <f>+MOP_Mes_Corriente!EU52*MOP_Mes_Constante!$EP$1</f>
        <v>2635679</v>
      </c>
      <c r="EV51" s="20">
        <f>+MOP_Mes_Corriente!EV52*MOP_Mes_Constante!$EP$1</f>
        <v>2635679</v>
      </c>
      <c r="EW51" s="20">
        <f>+MOP_Mes_Corriente!EW52*MOP_Mes_Constante!$EP$1</f>
        <v>2635679</v>
      </c>
      <c r="EX51" s="20">
        <f>+MOP_Mes_Corriente!EX52*MOP_Mes_Constante!$EP$1</f>
        <v>2635679</v>
      </c>
      <c r="EY51" s="20">
        <f>+MOP_Mes_Corriente!EY52*MOP_Mes_Constante!$EP$1</f>
        <v>2635679</v>
      </c>
      <c r="EZ51" s="20">
        <f>+MOP_Mes_Corriente!EZ52*MOP_Mes_Constante!$EP$1</f>
        <v>2635679</v>
      </c>
      <c r="FA51" s="20">
        <f>+MOP_Mes_Corriente!FA52*MOP_Mes_Constante!$EP$1</f>
        <v>2635679</v>
      </c>
      <c r="FB51" s="20">
        <f t="shared" si="68"/>
        <v>2635679</v>
      </c>
      <c r="FC51" s="20">
        <f>+MOP_Mes_Corriente!FC52*MOP_Mes_Constante!$FC$1</f>
        <v>2135157</v>
      </c>
      <c r="FD51" s="20">
        <f>+MOP_Mes_Corriente!FD52*MOP_Mes_Constante!$FC$1</f>
        <v>2135157</v>
      </c>
      <c r="FE51" s="20">
        <f>+MOP_Mes_Corriente!FE52*MOP_Mes_Constante!$FC$1</f>
        <v>2135157</v>
      </c>
      <c r="FF51" s="20">
        <f>+MOP_Mes_Corriente!FF52*MOP_Mes_Constante!$FC$1</f>
        <v>2135157</v>
      </c>
      <c r="FG51" s="20">
        <f>+MOP_Mes_Corriente!FG52*MOP_Mes_Constante!$FC$1</f>
        <v>2135157</v>
      </c>
      <c r="FH51" s="20">
        <f>+MOP_Mes_Corriente!FH52*MOP_Mes_Constante!$FC$1</f>
        <v>2135157</v>
      </c>
      <c r="FI51" s="20">
        <f>+MOP_Mes_Corriente!FI52*MOP_Mes_Constante!$FC$1</f>
        <v>2135157</v>
      </c>
      <c r="FJ51" s="10"/>
      <c r="FK51" s="10"/>
      <c r="FL51" s="10"/>
      <c r="FM51" s="10"/>
      <c r="FN51" s="10"/>
      <c r="FO51" s="20">
        <f t="shared" si="69"/>
        <v>2135157</v>
      </c>
    </row>
    <row r="52" spans="1:171" ht="27.75" customHeight="1">
      <c r="A52" s="10"/>
      <c r="B52" s="19" t="s">
        <v>47</v>
      </c>
      <c r="C52" s="20">
        <f>+MOP_Mes_Corriente!C53*MOP_Mes_Constante!$C$1</f>
        <v>374413.58742399531</v>
      </c>
      <c r="D52" s="20">
        <f>+MOP_Mes_Corriente!D53*MOP_Mes_Constante!$C$1</f>
        <v>374413.58742399531</v>
      </c>
      <c r="E52" s="20">
        <f>+MOP_Mes_Corriente!E53*MOP_Mes_Constante!$C$1</f>
        <v>374413.58742399531</v>
      </c>
      <c r="F52" s="20">
        <f>+MOP_Mes_Corriente!F53*MOP_Mes_Constante!$C$1</f>
        <v>374413.58742399531</v>
      </c>
      <c r="G52" s="20">
        <f>+MOP_Mes_Corriente!G53*MOP_Mes_Constante!$C$1</f>
        <v>374413.58742399531</v>
      </c>
      <c r="H52" s="20">
        <f>+MOP_Mes_Corriente!H53*MOP_Mes_Constante!$C$1</f>
        <v>374413.58742399531</v>
      </c>
      <c r="I52" s="20">
        <f>+MOP_Mes_Corriente!I53*MOP_Mes_Constante!$C$1</f>
        <v>374413.58742399531</v>
      </c>
      <c r="J52" s="20">
        <f>+MOP_Mes_Corriente!J53*MOP_Mes_Constante!$C$1</f>
        <v>374413.58742399531</v>
      </c>
      <c r="K52" s="20">
        <f>+MOP_Mes_Corriente!K53*MOP_Mes_Constante!$C$1</f>
        <v>374413.58742399531</v>
      </c>
      <c r="L52" s="20">
        <f>+MOP_Mes_Corriente!L53*MOP_Mes_Constante!$C$1</f>
        <v>374413.58742399531</v>
      </c>
      <c r="M52" s="20">
        <f>+MOP_Mes_Corriente!M53*MOP_Mes_Constante!$C$1</f>
        <v>374413.58742399531</v>
      </c>
      <c r="N52" s="20">
        <f>+MOP_Mes_Corriente!N53*MOP_Mes_Constante!$C$1</f>
        <v>374413.58742399531</v>
      </c>
      <c r="O52" s="20">
        <f t="shared" si="57"/>
        <v>374413.58742399531</v>
      </c>
      <c r="P52" s="20">
        <f>+MOP_Mes_Corriente!P53*MOP_Mes_Constante!$P$1</f>
        <v>726221.21579769824</v>
      </c>
      <c r="Q52" s="20">
        <f>+MOP_Mes_Corriente!Q53*MOP_Mes_Constante!$P$1</f>
        <v>726221.21579769824</v>
      </c>
      <c r="R52" s="20">
        <f>+MOP_Mes_Corriente!R53*MOP_Mes_Constante!$P$1</f>
        <v>726221.21579769824</v>
      </c>
      <c r="S52" s="20">
        <f>+MOP_Mes_Corriente!S53*MOP_Mes_Constante!$P$1</f>
        <v>726221.21579769824</v>
      </c>
      <c r="T52" s="20">
        <f>+MOP_Mes_Corriente!T53*MOP_Mes_Constante!$P$1</f>
        <v>726221.21579769824</v>
      </c>
      <c r="U52" s="20">
        <f>+MOP_Mes_Corriente!U53*MOP_Mes_Constante!$P$1</f>
        <v>726221.21579769824</v>
      </c>
      <c r="V52" s="20">
        <f>+MOP_Mes_Corriente!V53*MOP_Mes_Constante!$P$1</f>
        <v>726221.21579769824</v>
      </c>
      <c r="W52" s="20">
        <f>+MOP_Mes_Corriente!W53*MOP_Mes_Constante!$P$1</f>
        <v>726221.21579769824</v>
      </c>
      <c r="X52" s="20">
        <f>+MOP_Mes_Corriente!X53*MOP_Mes_Constante!$P$1</f>
        <v>726221.21579769824</v>
      </c>
      <c r="Y52" s="20">
        <f>+MOP_Mes_Corriente!Y53*MOP_Mes_Constante!$P$1</f>
        <v>726221.21579769824</v>
      </c>
      <c r="Z52" s="20">
        <f>+MOP_Mes_Corriente!Z53*MOP_Mes_Constante!$P$1</f>
        <v>726221.21579769824</v>
      </c>
      <c r="AA52" s="20">
        <f>+MOP_Mes_Corriente!AA53*MOP_Mes_Constante!$P$1</f>
        <v>726221.21579769824</v>
      </c>
      <c r="AB52" s="20">
        <f t="shared" si="58"/>
        <v>726221.21579769824</v>
      </c>
      <c r="AC52" s="20">
        <f>+MOP_Mes_Corriente!AC53*MOP_Mes_Constante!$AC$1</f>
        <v>261738.8366302393</v>
      </c>
      <c r="AD52" s="20">
        <f>+MOP_Mes_Corriente!AD53*MOP_Mes_Constante!$AC$1</f>
        <v>261738.8366302393</v>
      </c>
      <c r="AE52" s="20">
        <f>+MOP_Mes_Corriente!AE53*MOP_Mes_Constante!$AC$1</f>
        <v>261738.8366302393</v>
      </c>
      <c r="AF52" s="20">
        <f>+MOP_Mes_Corriente!AF53*MOP_Mes_Constante!$AC$1</f>
        <v>261738.8366302393</v>
      </c>
      <c r="AG52" s="20">
        <f>+MOP_Mes_Corriente!AG53*MOP_Mes_Constante!$AC$1</f>
        <v>261738.8366302393</v>
      </c>
      <c r="AH52" s="20">
        <f>+MOP_Mes_Corriente!AH53*MOP_Mes_Constante!$AC$1</f>
        <v>261738.8366302393</v>
      </c>
      <c r="AI52" s="20">
        <f>+MOP_Mes_Corriente!AI53*MOP_Mes_Constante!$AC$1</f>
        <v>261738.8366302393</v>
      </c>
      <c r="AJ52" s="20">
        <f>+MOP_Mes_Corriente!AJ53*MOP_Mes_Constante!$AC$1</f>
        <v>261738.8366302393</v>
      </c>
      <c r="AK52" s="20">
        <f>+MOP_Mes_Corriente!AK53*MOP_Mes_Constante!$AC$1</f>
        <v>261738.8366302393</v>
      </c>
      <c r="AL52" s="20">
        <f>+MOP_Mes_Corriente!AL53*MOP_Mes_Constante!$AC$1</f>
        <v>261738.8366302393</v>
      </c>
      <c r="AM52" s="20">
        <f>+MOP_Mes_Corriente!AM53*MOP_Mes_Constante!$AC$1</f>
        <v>261738.8366302393</v>
      </c>
      <c r="AN52" s="20">
        <f>+MOP_Mes_Corriente!AN53*MOP_Mes_Constante!$AC$1</f>
        <v>261738.8366302393</v>
      </c>
      <c r="AO52" s="20">
        <f t="shared" si="59"/>
        <v>261738.8366302393</v>
      </c>
      <c r="AP52" s="20">
        <f>+MOP_Mes_Corriente!AP53*MOP_Mes_Constante!$AP$1</f>
        <v>147982.05139997293</v>
      </c>
      <c r="AQ52" s="20">
        <f>+MOP_Mes_Corriente!AQ53*MOP_Mes_Constante!$AP$1</f>
        <v>147982.05139997293</v>
      </c>
      <c r="AR52" s="20">
        <f>+MOP_Mes_Corriente!AR53*MOP_Mes_Constante!$AP$1</f>
        <v>147982.05139997293</v>
      </c>
      <c r="AS52" s="20">
        <f>+MOP_Mes_Corriente!AS53*MOP_Mes_Constante!$AP$1</f>
        <v>147982.05139997293</v>
      </c>
      <c r="AT52" s="20">
        <f>+MOP_Mes_Corriente!AT53*MOP_Mes_Constante!$AP$1</f>
        <v>147982.05139997293</v>
      </c>
      <c r="AU52" s="20">
        <f>+MOP_Mes_Corriente!AU53*MOP_Mes_Constante!$AP$1</f>
        <v>147982.05139997293</v>
      </c>
      <c r="AV52" s="20">
        <f>+MOP_Mes_Corriente!AV53*MOP_Mes_Constante!$AP$1</f>
        <v>147982.05139997293</v>
      </c>
      <c r="AW52" s="20">
        <f>+MOP_Mes_Corriente!AW53*MOP_Mes_Constante!$AP$1</f>
        <v>147982.05139997293</v>
      </c>
      <c r="AX52" s="20">
        <f>+MOP_Mes_Corriente!AX53*MOP_Mes_Constante!$AP$1</f>
        <v>147982.05139997293</v>
      </c>
      <c r="AY52" s="20">
        <f>+MOP_Mes_Corriente!AY53*MOP_Mes_Constante!$AP$1</f>
        <v>147982.05139997293</v>
      </c>
      <c r="AZ52" s="20">
        <f>+MOP_Mes_Corriente!AZ53*MOP_Mes_Constante!$AP$1</f>
        <v>147982.05139997293</v>
      </c>
      <c r="BA52" s="20">
        <f>+MOP_Mes_Corriente!BA53*MOP_Mes_Constante!$AP$1</f>
        <v>147982.05139997293</v>
      </c>
      <c r="BB52" s="20">
        <f t="shared" si="60"/>
        <v>147982.05139997293</v>
      </c>
      <c r="BC52" s="20">
        <f>+MOP_Mes_Corriente!BC53*MOP_Mes_Constante!$BC$1</f>
        <v>137601.60886192802</v>
      </c>
      <c r="BD52" s="20">
        <f>+MOP_Mes_Corriente!BD53*MOP_Mes_Constante!$BC$1</f>
        <v>137601.60886192802</v>
      </c>
      <c r="BE52" s="20">
        <f>+MOP_Mes_Corriente!BE53*MOP_Mes_Constante!$BC$1</f>
        <v>137601.60886192802</v>
      </c>
      <c r="BF52" s="20">
        <f>+MOP_Mes_Corriente!BF53*MOP_Mes_Constante!$BC$1</f>
        <v>137601.60886192802</v>
      </c>
      <c r="BG52" s="20">
        <f>+MOP_Mes_Corriente!BG53*MOP_Mes_Constante!$BC$1</f>
        <v>137601.60886192802</v>
      </c>
      <c r="BH52" s="20">
        <f>+MOP_Mes_Corriente!BH53*MOP_Mes_Constante!$BC$1</f>
        <v>137601.60886192802</v>
      </c>
      <c r="BI52" s="20">
        <f>+MOP_Mes_Corriente!BI53*MOP_Mes_Constante!$BC$1</f>
        <v>137601.60886192802</v>
      </c>
      <c r="BJ52" s="20">
        <f>+MOP_Mes_Corriente!BJ53*MOP_Mes_Constante!$BC$1</f>
        <v>137601.60886192802</v>
      </c>
      <c r="BK52" s="20">
        <f>+MOP_Mes_Corriente!BK53*MOP_Mes_Constante!$BC$1</f>
        <v>137601.60886192802</v>
      </c>
      <c r="BL52" s="20">
        <f>+MOP_Mes_Corriente!BL53*MOP_Mes_Constante!$BC$1</f>
        <v>137601.60886192802</v>
      </c>
      <c r="BM52" s="20">
        <f>+MOP_Mes_Corriente!BM53*MOP_Mes_Constante!$BC$1</f>
        <v>137601.60886192802</v>
      </c>
      <c r="BN52" s="20">
        <f>+MOP_Mes_Corriente!BN53*MOP_Mes_Constante!$BC$1</f>
        <v>137601.60886192802</v>
      </c>
      <c r="BO52" s="20">
        <f t="shared" si="61"/>
        <v>137601.60886192802</v>
      </c>
      <c r="BP52" s="20">
        <f>+MOP_Mes_Corriente!BP53*MOP_Mes_Constante!$BP$1</f>
        <v>136614.17131882205</v>
      </c>
      <c r="BQ52" s="20">
        <f>+MOP_Mes_Corriente!BQ53*MOP_Mes_Constante!$BP$1</f>
        <v>136614.17131882205</v>
      </c>
      <c r="BR52" s="20">
        <f>+MOP_Mes_Corriente!BR53*MOP_Mes_Constante!$BP$1</f>
        <v>136614.17131882205</v>
      </c>
      <c r="BS52" s="20">
        <f>+MOP_Mes_Corriente!BS53*MOP_Mes_Constante!$BP$1</f>
        <v>136614.17131882205</v>
      </c>
      <c r="BT52" s="20">
        <f>+MOP_Mes_Corriente!BT53*MOP_Mes_Constante!$BP$1</f>
        <v>136614.17131882205</v>
      </c>
      <c r="BU52" s="20">
        <f>+MOP_Mes_Corriente!BU53*MOP_Mes_Constante!$BP$1</f>
        <v>136614.17131882205</v>
      </c>
      <c r="BV52" s="20">
        <f>+MOP_Mes_Corriente!BV53*MOP_Mes_Constante!$BP$1</f>
        <v>136614.17131882205</v>
      </c>
      <c r="BW52" s="20">
        <f>+MOP_Mes_Corriente!BW53*MOP_Mes_Constante!$BP$1</f>
        <v>136614.17131882205</v>
      </c>
      <c r="BX52" s="20">
        <f>+MOP_Mes_Corriente!BX53*MOP_Mes_Constante!$BP$1</f>
        <v>136614.17131882205</v>
      </c>
      <c r="BY52" s="20">
        <f>+MOP_Mes_Corriente!BY53*MOP_Mes_Constante!$BP$1</f>
        <v>136614.17131882205</v>
      </c>
      <c r="BZ52" s="20">
        <f>+MOP_Mes_Corriente!BZ53*MOP_Mes_Constante!$BP$1</f>
        <v>136614.17131882205</v>
      </c>
      <c r="CA52" s="20">
        <f>+MOP_Mes_Corriente!CA53*MOP_Mes_Constante!$BP$1</f>
        <v>136614.17131882205</v>
      </c>
      <c r="CB52" s="20">
        <f t="shared" si="62"/>
        <v>136614.17131882205</v>
      </c>
      <c r="CC52" s="20">
        <f>+MOP_Mes_Corriente!CC53*MOP_Mes_Constante!$CC$1</f>
        <v>98056.876538605007</v>
      </c>
      <c r="CD52" s="20">
        <f>+MOP_Mes_Corriente!CD53*MOP_Mes_Constante!$CC$1</f>
        <v>98056.876538605007</v>
      </c>
      <c r="CE52" s="20">
        <f>+MOP_Mes_Corriente!CE53*MOP_Mes_Constante!$CC$1</f>
        <v>98056.876538605007</v>
      </c>
      <c r="CF52" s="20">
        <f>+MOP_Mes_Corriente!CF53*MOP_Mes_Constante!$CC$1</f>
        <v>98056.876538605007</v>
      </c>
      <c r="CG52" s="20">
        <f>+MOP_Mes_Corriente!CG53*MOP_Mes_Constante!$CC$1</f>
        <v>98056.876538605007</v>
      </c>
      <c r="CH52" s="20">
        <f>+MOP_Mes_Corriente!CH53*MOP_Mes_Constante!$CC$1</f>
        <v>98056.876538605007</v>
      </c>
      <c r="CI52" s="20">
        <f>+MOP_Mes_Corriente!CI53*MOP_Mes_Constante!$CC$1</f>
        <v>98056.876538605007</v>
      </c>
      <c r="CJ52" s="20">
        <f>+MOP_Mes_Corriente!CJ53*MOP_Mes_Constante!$CC$1</f>
        <v>98056.876538605007</v>
      </c>
      <c r="CK52" s="20">
        <f>+MOP_Mes_Corriente!CK53*MOP_Mes_Constante!$CC$1</f>
        <v>98056.876538605007</v>
      </c>
      <c r="CL52" s="20">
        <f>+MOP_Mes_Corriente!CL53*MOP_Mes_Constante!$CC$1</f>
        <v>98056.876538605007</v>
      </c>
      <c r="CM52" s="20">
        <f>+MOP_Mes_Corriente!CM53*MOP_Mes_Constante!$CC$1</f>
        <v>98056.876538605007</v>
      </c>
      <c r="CN52" s="20">
        <f>+MOP_Mes_Corriente!CN53*MOP_Mes_Constante!$CC$1</f>
        <v>98056.876538605007</v>
      </c>
      <c r="CO52" s="20">
        <f t="shared" si="63"/>
        <v>98056.876538605007</v>
      </c>
      <c r="CP52" s="20">
        <f>+MOP_Mes_Corriente!CP53*MOP_Mes_Constante!$CP$1</f>
        <v>131066.36937354985</v>
      </c>
      <c r="CQ52" s="20">
        <f>+MOP_Mes_Corriente!CQ53*MOP_Mes_Constante!$CP$1</f>
        <v>131066.36937354985</v>
      </c>
      <c r="CR52" s="20">
        <f>+MOP_Mes_Corriente!CR53*MOP_Mes_Constante!$CP$1</f>
        <v>131066.36937354985</v>
      </c>
      <c r="CS52" s="20">
        <f>+MOP_Mes_Corriente!CS53*MOP_Mes_Constante!$CP$1</f>
        <v>131066.36937354985</v>
      </c>
      <c r="CT52" s="20">
        <f>+MOP_Mes_Corriente!CT53*MOP_Mes_Constante!$CP$1</f>
        <v>131066.36937354985</v>
      </c>
      <c r="CU52" s="20">
        <f>+MOP_Mes_Corriente!CU53*MOP_Mes_Constante!$CP$1</f>
        <v>131066.36937354985</v>
      </c>
      <c r="CV52" s="20">
        <f>+MOP_Mes_Corriente!CV53*MOP_Mes_Constante!$CP$1</f>
        <v>131066.36937354985</v>
      </c>
      <c r="CW52" s="20">
        <f>+MOP_Mes_Corriente!CW53*MOP_Mes_Constante!$CP$1</f>
        <v>131066.36937354985</v>
      </c>
      <c r="CX52" s="20">
        <f>+MOP_Mes_Corriente!CX53*MOP_Mes_Constante!$CP$1</f>
        <v>131066.36937354985</v>
      </c>
      <c r="CY52" s="20">
        <f>+MOP_Mes_Corriente!CY53*MOP_Mes_Constante!$CP$1</f>
        <v>131066.36937354985</v>
      </c>
      <c r="CZ52" s="20">
        <f>+MOP_Mes_Corriente!CZ53*MOP_Mes_Constante!$CP$1</f>
        <v>131066.36937354985</v>
      </c>
      <c r="DA52" s="20">
        <f>+MOP_Mes_Corriente!DA53*MOP_Mes_Constante!$CP$1</f>
        <v>131066.36937354985</v>
      </c>
      <c r="DB52" s="20">
        <f t="shared" si="64"/>
        <v>131066.36937354985</v>
      </c>
      <c r="DC52" s="20">
        <f>+MOP_Mes_Corriente!DC53*MOP_Mes_Constante!$DC$1</f>
        <v>86514.45303981076</v>
      </c>
      <c r="DD52" s="20">
        <f>+MOP_Mes_Corriente!DD53*MOP_Mes_Constante!$DC$1</f>
        <v>86514.45303981076</v>
      </c>
      <c r="DE52" s="20">
        <f>+MOP_Mes_Corriente!DE53*MOP_Mes_Constante!$DC$1</f>
        <v>86514.45303981076</v>
      </c>
      <c r="DF52" s="20">
        <f>+MOP_Mes_Corriente!DF53*MOP_Mes_Constante!$DC$1</f>
        <v>86514.45303981076</v>
      </c>
      <c r="DG52" s="20">
        <f>+MOP_Mes_Corriente!DG53*MOP_Mes_Constante!$DC$1</f>
        <v>86514.45303981076</v>
      </c>
      <c r="DH52" s="20">
        <f>+MOP_Mes_Corriente!DH53*MOP_Mes_Constante!$DC$1</f>
        <v>86514.45303981076</v>
      </c>
      <c r="DI52" s="20">
        <f>+MOP_Mes_Corriente!DI53*MOP_Mes_Constante!$DC$1</f>
        <v>86514.45303981076</v>
      </c>
      <c r="DJ52" s="20">
        <f>+MOP_Mes_Corriente!DJ53*MOP_Mes_Constante!$DC$1</f>
        <v>86514.45303981076</v>
      </c>
      <c r="DK52" s="20">
        <f>+MOP_Mes_Corriente!DK53*MOP_Mes_Constante!$DC$1</f>
        <v>86514.45303981076</v>
      </c>
      <c r="DL52" s="20">
        <f>+MOP_Mes_Corriente!DL53*MOP_Mes_Constante!$DC$1</f>
        <v>86514.45303981076</v>
      </c>
      <c r="DM52" s="20">
        <f>+MOP_Mes_Corriente!DM53*MOP_Mes_Constante!$DC$1</f>
        <v>86514.45303981076</v>
      </c>
      <c r="DN52" s="20">
        <f>+MOP_Mes_Corriente!DN53*MOP_Mes_Constante!$DC$1</f>
        <v>86514.45303981076</v>
      </c>
      <c r="DO52" s="20">
        <f t="shared" si="65"/>
        <v>86514.45303981076</v>
      </c>
      <c r="DP52" s="20">
        <f>+MOP_Mes_Corriente!DP53*MOP_Mes_Constante!$DP$1</f>
        <v>259874.21793349172</v>
      </c>
      <c r="DQ52" s="20">
        <f>+MOP_Mes_Corriente!DQ53*MOP_Mes_Constante!$DP$1</f>
        <v>259874.21793349172</v>
      </c>
      <c r="DR52" s="20">
        <f>+MOP_Mes_Corriente!DR53*MOP_Mes_Constante!$DP$1</f>
        <v>259874.21793349172</v>
      </c>
      <c r="DS52" s="20">
        <f>+MOP_Mes_Corriente!DS53*MOP_Mes_Constante!$DP$1</f>
        <v>259874.21793349172</v>
      </c>
      <c r="DT52" s="20">
        <f>+MOP_Mes_Corriente!DT53*MOP_Mes_Constante!$DP$1</f>
        <v>259874.21793349172</v>
      </c>
      <c r="DU52" s="20">
        <f>+MOP_Mes_Corriente!DU53*MOP_Mes_Constante!$DP$1</f>
        <v>259874.21793349172</v>
      </c>
      <c r="DV52" s="20">
        <f>+MOP_Mes_Corriente!DV53*MOP_Mes_Constante!$DP$1</f>
        <v>259874.21793349172</v>
      </c>
      <c r="DW52" s="20">
        <f>+MOP_Mes_Corriente!DW53*MOP_Mes_Constante!$DP$1</f>
        <v>259874.21793349172</v>
      </c>
      <c r="DX52" s="20">
        <f>+MOP_Mes_Corriente!DX53*MOP_Mes_Constante!$DP$1</f>
        <v>259874.21793349172</v>
      </c>
      <c r="DY52" s="20">
        <f>+MOP_Mes_Corriente!DY53*MOP_Mes_Constante!$DP$1</f>
        <v>259874.21793349172</v>
      </c>
      <c r="DZ52" s="20">
        <f>+MOP_Mes_Corriente!DZ53*MOP_Mes_Constante!$DP$1</f>
        <v>259874.21793349172</v>
      </c>
      <c r="EA52" s="20">
        <f>+MOP_Mes_Corriente!EA53*MOP_Mes_Constante!$DP$1</f>
        <v>259874.21793349172</v>
      </c>
      <c r="EB52" s="20">
        <f t="shared" si="66"/>
        <v>259874.21793349172</v>
      </c>
      <c r="EC52" s="20">
        <f>+MOP_Mes_Corriente!EC53*MOP_Mes_Constante!$EC$1</f>
        <v>260205.7623556144</v>
      </c>
      <c r="ED52" s="20">
        <f>+MOP_Mes_Corriente!ED53*MOP_Mes_Constante!$EC$1</f>
        <v>260205.7623556144</v>
      </c>
      <c r="EE52" s="20">
        <f>+MOP_Mes_Corriente!EE53*MOP_Mes_Constante!$EC$1</f>
        <v>260205.7623556144</v>
      </c>
      <c r="EF52" s="20">
        <f>+MOP_Mes_Corriente!EF53*MOP_Mes_Constante!$EC$1</f>
        <v>260205.7623556144</v>
      </c>
      <c r="EG52" s="20">
        <f>+MOP_Mes_Corriente!EG53*MOP_Mes_Constante!$EC$1</f>
        <v>260205.7623556144</v>
      </c>
      <c r="EH52" s="20">
        <f>+MOP_Mes_Corriente!EH53*MOP_Mes_Constante!$EC$1</f>
        <v>260205.7623556144</v>
      </c>
      <c r="EI52" s="20">
        <f>+MOP_Mes_Corriente!EI53*MOP_Mes_Constante!$EC$1</f>
        <v>260205.7623556144</v>
      </c>
      <c r="EJ52" s="20">
        <f>+MOP_Mes_Corriente!EJ53*MOP_Mes_Constante!$EC$1</f>
        <v>260205.7623556144</v>
      </c>
      <c r="EK52" s="20">
        <f>+MOP_Mes_Corriente!EK53*MOP_Mes_Constante!$EC$1</f>
        <v>260205.7623556144</v>
      </c>
      <c r="EL52" s="20">
        <f>+MOP_Mes_Corriente!EL53*MOP_Mes_Constante!$EC$1</f>
        <v>260205.7623556144</v>
      </c>
      <c r="EM52" s="20">
        <f>+MOP_Mes_Corriente!EM53*MOP_Mes_Constante!$EC$1</f>
        <v>260205.7623556144</v>
      </c>
      <c r="EN52" s="20">
        <f>+MOP_Mes_Corriente!EN53*MOP_Mes_Constante!$EC$1</f>
        <v>260205.7623556144</v>
      </c>
      <c r="EO52" s="20">
        <f t="shared" si="67"/>
        <v>260205.7623556144</v>
      </c>
      <c r="EP52" s="20">
        <f>+MOP_Mes_Corriente!EP53*MOP_Mes_Constante!$EP$1</f>
        <v>924967</v>
      </c>
      <c r="EQ52" s="20">
        <f>+MOP_Mes_Corriente!EQ53*MOP_Mes_Constante!$EP$1</f>
        <v>924967</v>
      </c>
      <c r="ER52" s="20">
        <f>+MOP_Mes_Corriente!ER53*MOP_Mes_Constante!$EP$1</f>
        <v>924967</v>
      </c>
      <c r="ES52" s="20">
        <f>+MOP_Mes_Corriente!ES53*MOP_Mes_Constante!$EP$1</f>
        <v>924967</v>
      </c>
      <c r="ET52" s="20">
        <f>+MOP_Mes_Corriente!ET53*MOP_Mes_Constante!$EP$1</f>
        <v>924967</v>
      </c>
      <c r="EU52" s="20">
        <f>+MOP_Mes_Corriente!EU53*MOP_Mes_Constante!$EP$1</f>
        <v>924967</v>
      </c>
      <c r="EV52" s="20">
        <f>+MOP_Mes_Corriente!EV53*MOP_Mes_Constante!$EP$1</f>
        <v>924967</v>
      </c>
      <c r="EW52" s="20">
        <f>+MOP_Mes_Corriente!EW53*MOP_Mes_Constante!$EP$1</f>
        <v>924967</v>
      </c>
      <c r="EX52" s="20">
        <f>+MOP_Mes_Corriente!EX53*MOP_Mes_Constante!$EP$1</f>
        <v>924967</v>
      </c>
      <c r="EY52" s="20">
        <f>+MOP_Mes_Corriente!EY53*MOP_Mes_Constante!$EP$1</f>
        <v>924967</v>
      </c>
      <c r="EZ52" s="20">
        <f>+MOP_Mes_Corriente!EZ53*MOP_Mes_Constante!$EP$1</f>
        <v>924967</v>
      </c>
      <c r="FA52" s="20">
        <f>+MOP_Mes_Corriente!FA53*MOP_Mes_Constante!$EP$1</f>
        <v>924967</v>
      </c>
      <c r="FB52" s="20">
        <f t="shared" si="68"/>
        <v>924967</v>
      </c>
      <c r="FC52" s="20">
        <f>+MOP_Mes_Corriente!FC53*MOP_Mes_Constante!$FC$1</f>
        <v>294239</v>
      </c>
      <c r="FD52" s="20">
        <f>+MOP_Mes_Corriente!FD53*MOP_Mes_Constante!$FC$1</f>
        <v>294239</v>
      </c>
      <c r="FE52" s="20">
        <f>+MOP_Mes_Corriente!FE53*MOP_Mes_Constante!$FC$1</f>
        <v>294239</v>
      </c>
      <c r="FF52" s="20">
        <f>+MOP_Mes_Corriente!FF53*MOP_Mes_Constante!$FC$1</f>
        <v>294239</v>
      </c>
      <c r="FG52" s="20">
        <f>+MOP_Mes_Corriente!FG53*MOP_Mes_Constante!$FC$1</f>
        <v>294239</v>
      </c>
      <c r="FH52" s="20">
        <f>+MOP_Mes_Corriente!FH53*MOP_Mes_Constante!$FC$1</f>
        <v>294239</v>
      </c>
      <c r="FI52" s="20">
        <f>+MOP_Mes_Corriente!FI53*MOP_Mes_Constante!$FC$1</f>
        <v>294239</v>
      </c>
      <c r="FJ52" s="10"/>
      <c r="FK52" s="10"/>
      <c r="FL52" s="10"/>
      <c r="FM52" s="10"/>
      <c r="FN52" s="10"/>
      <c r="FO52" s="20">
        <f t="shared" si="69"/>
        <v>294239</v>
      </c>
    </row>
    <row r="53" spans="1:171" ht="27.75" customHeight="1">
      <c r="A53" s="10"/>
      <c r="B53" s="19" t="s">
        <v>48</v>
      </c>
      <c r="C53" s="20">
        <f>+MOP_Mes_Corriente!C54*MOP_Mes_Constante!$C$1</f>
        <v>169783.202135548</v>
      </c>
      <c r="D53" s="20">
        <f>+MOP_Mes_Corriente!D54*MOP_Mes_Constante!$C$1</f>
        <v>169783.202135548</v>
      </c>
      <c r="E53" s="20">
        <f>+MOP_Mes_Corriente!E54*MOP_Mes_Constante!$C$1</f>
        <v>169783.202135548</v>
      </c>
      <c r="F53" s="20">
        <f>+MOP_Mes_Corriente!F54*MOP_Mes_Constante!$C$1</f>
        <v>169783.202135548</v>
      </c>
      <c r="G53" s="20">
        <f>+MOP_Mes_Corriente!G54*MOP_Mes_Constante!$C$1</f>
        <v>169783.202135548</v>
      </c>
      <c r="H53" s="20">
        <f>+MOP_Mes_Corriente!H54*MOP_Mes_Constante!$C$1</f>
        <v>169783.202135548</v>
      </c>
      <c r="I53" s="20">
        <f>+MOP_Mes_Corriente!I54*MOP_Mes_Constante!$C$1</f>
        <v>169783.202135548</v>
      </c>
      <c r="J53" s="20">
        <f>+MOP_Mes_Corriente!J54*MOP_Mes_Constante!$C$1</f>
        <v>169783.202135548</v>
      </c>
      <c r="K53" s="20">
        <f>+MOP_Mes_Corriente!K54*MOP_Mes_Constante!$C$1</f>
        <v>169783.202135548</v>
      </c>
      <c r="L53" s="20">
        <f>+MOP_Mes_Corriente!L54*MOP_Mes_Constante!$C$1</f>
        <v>169783.202135548</v>
      </c>
      <c r="M53" s="20">
        <f>+MOP_Mes_Corriente!M54*MOP_Mes_Constante!$C$1</f>
        <v>169783.202135548</v>
      </c>
      <c r="N53" s="20">
        <f>+MOP_Mes_Corriente!N54*MOP_Mes_Constante!$C$1</f>
        <v>169783.202135548</v>
      </c>
      <c r="O53" s="20">
        <f t="shared" si="57"/>
        <v>169783.202135548</v>
      </c>
      <c r="P53" s="20">
        <f>+MOP_Mes_Corriente!P54*MOP_Mes_Constante!$P$1</f>
        <v>148465.69796846138</v>
      </c>
      <c r="Q53" s="20">
        <f>+MOP_Mes_Corriente!Q54*MOP_Mes_Constante!$P$1</f>
        <v>148465.69796846138</v>
      </c>
      <c r="R53" s="20">
        <f>+MOP_Mes_Corriente!R54*MOP_Mes_Constante!$P$1</f>
        <v>148465.69796846138</v>
      </c>
      <c r="S53" s="20">
        <f>+MOP_Mes_Corriente!S54*MOP_Mes_Constante!$P$1</f>
        <v>148465.69796846138</v>
      </c>
      <c r="T53" s="20">
        <f>+MOP_Mes_Corriente!T54*MOP_Mes_Constante!$P$1</f>
        <v>148465.69796846138</v>
      </c>
      <c r="U53" s="20">
        <f>+MOP_Mes_Corriente!U54*MOP_Mes_Constante!$P$1</f>
        <v>148465.69796846138</v>
      </c>
      <c r="V53" s="20">
        <f>+MOP_Mes_Corriente!V54*MOP_Mes_Constante!$P$1</f>
        <v>148465.69796846138</v>
      </c>
      <c r="W53" s="20">
        <f>+MOP_Mes_Corriente!W54*MOP_Mes_Constante!$P$1</f>
        <v>148465.69796846138</v>
      </c>
      <c r="X53" s="20">
        <f>+MOP_Mes_Corriente!X54*MOP_Mes_Constante!$P$1</f>
        <v>148465.69796846138</v>
      </c>
      <c r="Y53" s="20">
        <f>+MOP_Mes_Corriente!Y54*MOP_Mes_Constante!$P$1</f>
        <v>148465.69796846138</v>
      </c>
      <c r="Z53" s="20">
        <f>+MOP_Mes_Corriente!Z54*MOP_Mes_Constante!$P$1</f>
        <v>148465.69796846138</v>
      </c>
      <c r="AA53" s="20">
        <f>+MOP_Mes_Corriente!AA54*MOP_Mes_Constante!$P$1</f>
        <v>148465.69796846138</v>
      </c>
      <c r="AB53" s="20">
        <f t="shared" si="58"/>
        <v>148465.69796846138</v>
      </c>
      <c r="AC53" s="20">
        <f>+MOP_Mes_Corriente!AC54*MOP_Mes_Constante!$AC$1</f>
        <v>145112.21275418453</v>
      </c>
      <c r="AD53" s="20">
        <f>+MOP_Mes_Corriente!AD54*MOP_Mes_Constante!$AC$1</f>
        <v>145112.21275418453</v>
      </c>
      <c r="AE53" s="20">
        <f>+MOP_Mes_Corriente!AE54*MOP_Mes_Constante!$AC$1</f>
        <v>145112.21275418453</v>
      </c>
      <c r="AF53" s="20">
        <f>+MOP_Mes_Corriente!AF54*MOP_Mes_Constante!$AC$1</f>
        <v>145112.21275418453</v>
      </c>
      <c r="AG53" s="20">
        <f>+MOP_Mes_Corriente!AG54*MOP_Mes_Constante!$AC$1</f>
        <v>145112.21275418453</v>
      </c>
      <c r="AH53" s="20">
        <f>+MOP_Mes_Corriente!AH54*MOP_Mes_Constante!$AC$1</f>
        <v>145112.21275418453</v>
      </c>
      <c r="AI53" s="20">
        <f>+MOP_Mes_Corriente!AI54*MOP_Mes_Constante!$AC$1</f>
        <v>145112.21275418453</v>
      </c>
      <c r="AJ53" s="20">
        <f>+MOP_Mes_Corriente!AJ54*MOP_Mes_Constante!$AC$1</f>
        <v>145112.21275418453</v>
      </c>
      <c r="AK53" s="20">
        <f>+MOP_Mes_Corriente!AK54*MOP_Mes_Constante!$AC$1</f>
        <v>145112.21275418453</v>
      </c>
      <c r="AL53" s="20">
        <f>+MOP_Mes_Corriente!AL54*MOP_Mes_Constante!$AC$1</f>
        <v>145112.21275418453</v>
      </c>
      <c r="AM53" s="20">
        <f>+MOP_Mes_Corriente!AM54*MOP_Mes_Constante!$AC$1</f>
        <v>145112.21275418453</v>
      </c>
      <c r="AN53" s="20">
        <f>+MOP_Mes_Corriente!AN54*MOP_Mes_Constante!$AC$1</f>
        <v>145112.21275418453</v>
      </c>
      <c r="AO53" s="20">
        <f t="shared" si="59"/>
        <v>145112.21275418453</v>
      </c>
      <c r="AP53" s="20">
        <f>+MOP_Mes_Corriente!AP54*MOP_Mes_Constante!$AP$1</f>
        <v>182802.48775869064</v>
      </c>
      <c r="AQ53" s="20">
        <f>+MOP_Mes_Corriente!AQ54*MOP_Mes_Constante!$AP$1</f>
        <v>182802.48775869064</v>
      </c>
      <c r="AR53" s="20">
        <f>+MOP_Mes_Corriente!AR54*MOP_Mes_Constante!$AP$1</f>
        <v>182802.48775869064</v>
      </c>
      <c r="AS53" s="20">
        <f>+MOP_Mes_Corriente!AS54*MOP_Mes_Constante!$AP$1</f>
        <v>182802.48775869064</v>
      </c>
      <c r="AT53" s="20">
        <f>+MOP_Mes_Corriente!AT54*MOP_Mes_Constante!$AP$1</f>
        <v>182802.48775869064</v>
      </c>
      <c r="AU53" s="20">
        <f>+MOP_Mes_Corriente!AU54*MOP_Mes_Constante!$AP$1</f>
        <v>182802.48775869064</v>
      </c>
      <c r="AV53" s="20">
        <f>+MOP_Mes_Corriente!AV54*MOP_Mes_Constante!$AP$1</f>
        <v>182802.48775869064</v>
      </c>
      <c r="AW53" s="20">
        <f>+MOP_Mes_Corriente!AW54*MOP_Mes_Constante!$AP$1</f>
        <v>182802.48775869064</v>
      </c>
      <c r="AX53" s="20">
        <f>+MOP_Mes_Corriente!AX54*MOP_Mes_Constante!$AP$1</f>
        <v>182802.48775869064</v>
      </c>
      <c r="AY53" s="20">
        <f>+MOP_Mes_Corriente!AY54*MOP_Mes_Constante!$AP$1</f>
        <v>182802.48775869064</v>
      </c>
      <c r="AZ53" s="20">
        <f>+MOP_Mes_Corriente!AZ54*MOP_Mes_Constante!$AP$1</f>
        <v>182802.48775869064</v>
      </c>
      <c r="BA53" s="20">
        <f>+MOP_Mes_Corriente!BA54*MOP_Mes_Constante!$AP$1</f>
        <v>182802.48775869064</v>
      </c>
      <c r="BB53" s="20">
        <f t="shared" si="60"/>
        <v>182802.48775869064</v>
      </c>
      <c r="BC53" s="20">
        <f>+MOP_Mes_Corriente!BC54*MOP_Mes_Constante!$BC$1</f>
        <v>145634.3729394699</v>
      </c>
      <c r="BD53" s="20">
        <f>+MOP_Mes_Corriente!BD54*MOP_Mes_Constante!$BC$1</f>
        <v>145634.3729394699</v>
      </c>
      <c r="BE53" s="20">
        <f>+MOP_Mes_Corriente!BE54*MOP_Mes_Constante!$BC$1</f>
        <v>145634.3729394699</v>
      </c>
      <c r="BF53" s="20">
        <f>+MOP_Mes_Corriente!BF54*MOP_Mes_Constante!$BC$1</f>
        <v>145634.3729394699</v>
      </c>
      <c r="BG53" s="20">
        <f>+MOP_Mes_Corriente!BG54*MOP_Mes_Constante!$BC$1</f>
        <v>145634.3729394699</v>
      </c>
      <c r="BH53" s="20">
        <f>+MOP_Mes_Corriente!BH54*MOP_Mes_Constante!$BC$1</f>
        <v>145634.3729394699</v>
      </c>
      <c r="BI53" s="20">
        <f>+MOP_Mes_Corriente!BI54*MOP_Mes_Constante!$BC$1</f>
        <v>145634.3729394699</v>
      </c>
      <c r="BJ53" s="20">
        <f>+MOP_Mes_Corriente!BJ54*MOP_Mes_Constante!$BC$1</f>
        <v>145634.3729394699</v>
      </c>
      <c r="BK53" s="20">
        <f>+MOP_Mes_Corriente!BK54*MOP_Mes_Constante!$BC$1</f>
        <v>145634.3729394699</v>
      </c>
      <c r="BL53" s="20">
        <f>+MOP_Mes_Corriente!BL54*MOP_Mes_Constante!$BC$1</f>
        <v>145634.3729394699</v>
      </c>
      <c r="BM53" s="20">
        <f>+MOP_Mes_Corriente!BM54*MOP_Mes_Constante!$BC$1</f>
        <v>145634.3729394699</v>
      </c>
      <c r="BN53" s="20">
        <f>+MOP_Mes_Corriente!BN54*MOP_Mes_Constante!$BC$1</f>
        <v>145634.3729394699</v>
      </c>
      <c r="BO53" s="20">
        <f t="shared" si="61"/>
        <v>145634.3729394699</v>
      </c>
      <c r="BP53" s="20">
        <f>+MOP_Mes_Corriente!BP54*MOP_Mes_Constante!$BP$1</f>
        <v>156527.19103713191</v>
      </c>
      <c r="BQ53" s="20">
        <f>+MOP_Mes_Corriente!BQ54*MOP_Mes_Constante!$BP$1</f>
        <v>156527.19103713191</v>
      </c>
      <c r="BR53" s="20">
        <f>+MOP_Mes_Corriente!BR54*MOP_Mes_Constante!$BP$1</f>
        <v>156527.19103713191</v>
      </c>
      <c r="BS53" s="20">
        <f>+MOP_Mes_Corriente!BS54*MOP_Mes_Constante!$BP$1</f>
        <v>156527.19103713191</v>
      </c>
      <c r="BT53" s="20">
        <f>+MOP_Mes_Corriente!BT54*MOP_Mes_Constante!$BP$1</f>
        <v>156527.19103713191</v>
      </c>
      <c r="BU53" s="20">
        <f>+MOP_Mes_Corriente!BU54*MOP_Mes_Constante!$BP$1</f>
        <v>156527.19103713191</v>
      </c>
      <c r="BV53" s="20">
        <f>+MOP_Mes_Corriente!BV54*MOP_Mes_Constante!$BP$1</f>
        <v>156527.19103713191</v>
      </c>
      <c r="BW53" s="20">
        <f>+MOP_Mes_Corriente!BW54*MOP_Mes_Constante!$BP$1</f>
        <v>156527.19103713191</v>
      </c>
      <c r="BX53" s="20">
        <f>+MOP_Mes_Corriente!BX54*MOP_Mes_Constante!$BP$1</f>
        <v>156527.19103713191</v>
      </c>
      <c r="BY53" s="20">
        <f>+MOP_Mes_Corriente!BY54*MOP_Mes_Constante!$BP$1</f>
        <v>156527.19103713191</v>
      </c>
      <c r="BZ53" s="20">
        <f>+MOP_Mes_Corriente!BZ54*MOP_Mes_Constante!$BP$1</f>
        <v>156527.19103713191</v>
      </c>
      <c r="CA53" s="20">
        <f>+MOP_Mes_Corriente!CA54*MOP_Mes_Constante!$BP$1</f>
        <v>156527.19103713191</v>
      </c>
      <c r="CB53" s="20">
        <f t="shared" si="62"/>
        <v>156527.19103713191</v>
      </c>
      <c r="CC53" s="20">
        <f>+MOP_Mes_Corriente!CC54*MOP_Mes_Constante!$CC$1</f>
        <v>252375.24953375608</v>
      </c>
      <c r="CD53" s="20">
        <f>+MOP_Mes_Corriente!CD54*MOP_Mes_Constante!$CC$1</f>
        <v>252375.24953375608</v>
      </c>
      <c r="CE53" s="20">
        <f>+MOP_Mes_Corriente!CE54*MOP_Mes_Constante!$CC$1</f>
        <v>252375.24953375608</v>
      </c>
      <c r="CF53" s="20">
        <f>+MOP_Mes_Corriente!CF54*MOP_Mes_Constante!$CC$1</f>
        <v>252375.24953375608</v>
      </c>
      <c r="CG53" s="20">
        <f>+MOP_Mes_Corriente!CG54*MOP_Mes_Constante!$CC$1</f>
        <v>252375.24953375608</v>
      </c>
      <c r="CH53" s="20">
        <f>+MOP_Mes_Corriente!CH54*MOP_Mes_Constante!$CC$1</f>
        <v>252375.24953375608</v>
      </c>
      <c r="CI53" s="20">
        <f>+MOP_Mes_Corriente!CI54*MOP_Mes_Constante!$CC$1</f>
        <v>252375.24953375608</v>
      </c>
      <c r="CJ53" s="20">
        <f>+MOP_Mes_Corriente!CJ54*MOP_Mes_Constante!$CC$1</f>
        <v>252375.24953375608</v>
      </c>
      <c r="CK53" s="20">
        <f>+MOP_Mes_Corriente!CK54*MOP_Mes_Constante!$CC$1</f>
        <v>252375.24953375608</v>
      </c>
      <c r="CL53" s="20">
        <f>+MOP_Mes_Corriente!CL54*MOP_Mes_Constante!$CC$1</f>
        <v>252375.24953375608</v>
      </c>
      <c r="CM53" s="20">
        <f>+MOP_Mes_Corriente!CM54*MOP_Mes_Constante!$CC$1</f>
        <v>252375.24953375608</v>
      </c>
      <c r="CN53" s="20">
        <f>+MOP_Mes_Corriente!CN54*MOP_Mes_Constante!$CC$1</f>
        <v>252375.24953375608</v>
      </c>
      <c r="CO53" s="20">
        <f t="shared" si="63"/>
        <v>252375.24953375608</v>
      </c>
      <c r="CP53" s="20">
        <f>+MOP_Mes_Corriente!CP54*MOP_Mes_Constante!$CP$1</f>
        <v>136095.87842227376</v>
      </c>
      <c r="CQ53" s="20">
        <f>+MOP_Mes_Corriente!CQ54*MOP_Mes_Constante!$CP$1</f>
        <v>136095.87842227376</v>
      </c>
      <c r="CR53" s="20">
        <f>+MOP_Mes_Corriente!CR54*MOP_Mes_Constante!$CP$1</f>
        <v>136095.87842227376</v>
      </c>
      <c r="CS53" s="20">
        <f>+MOP_Mes_Corriente!CS54*MOP_Mes_Constante!$CP$1</f>
        <v>136095.87842227376</v>
      </c>
      <c r="CT53" s="20">
        <f>+MOP_Mes_Corriente!CT54*MOP_Mes_Constante!$CP$1</f>
        <v>136095.87842227376</v>
      </c>
      <c r="CU53" s="20">
        <f>+MOP_Mes_Corriente!CU54*MOP_Mes_Constante!$CP$1</f>
        <v>136095.87842227376</v>
      </c>
      <c r="CV53" s="20">
        <f>+MOP_Mes_Corriente!CV54*MOP_Mes_Constante!$CP$1</f>
        <v>136095.87842227376</v>
      </c>
      <c r="CW53" s="20">
        <f>+MOP_Mes_Corriente!CW54*MOP_Mes_Constante!$CP$1</f>
        <v>136095.87842227376</v>
      </c>
      <c r="CX53" s="20">
        <f>+MOP_Mes_Corriente!CX54*MOP_Mes_Constante!$CP$1</f>
        <v>136095.87842227376</v>
      </c>
      <c r="CY53" s="20">
        <f>+MOP_Mes_Corriente!CY54*MOP_Mes_Constante!$CP$1</f>
        <v>136095.87842227376</v>
      </c>
      <c r="CZ53" s="20">
        <f>+MOP_Mes_Corriente!CZ54*MOP_Mes_Constante!$CP$1</f>
        <v>136095.87842227376</v>
      </c>
      <c r="DA53" s="20">
        <f>+MOP_Mes_Corriente!DA54*MOP_Mes_Constante!$CP$1</f>
        <v>136095.87842227376</v>
      </c>
      <c r="DB53" s="20">
        <f t="shared" si="64"/>
        <v>136095.87842227376</v>
      </c>
      <c r="DC53" s="20">
        <f>+MOP_Mes_Corriente!DC54*MOP_Mes_Constante!$DC$1</f>
        <v>190494.09628639038</v>
      </c>
      <c r="DD53" s="20">
        <f>+MOP_Mes_Corriente!DD54*MOP_Mes_Constante!$DC$1</f>
        <v>190494.09628639038</v>
      </c>
      <c r="DE53" s="20">
        <f>+MOP_Mes_Corriente!DE54*MOP_Mes_Constante!$DC$1</f>
        <v>190494.09628639038</v>
      </c>
      <c r="DF53" s="20">
        <f>+MOP_Mes_Corriente!DF54*MOP_Mes_Constante!$DC$1</f>
        <v>190494.09628639038</v>
      </c>
      <c r="DG53" s="20">
        <f>+MOP_Mes_Corriente!DG54*MOP_Mes_Constante!$DC$1</f>
        <v>190494.09628639038</v>
      </c>
      <c r="DH53" s="20">
        <f>+MOP_Mes_Corriente!DH54*MOP_Mes_Constante!$DC$1</f>
        <v>190494.09628639038</v>
      </c>
      <c r="DI53" s="20">
        <f>+MOP_Mes_Corriente!DI54*MOP_Mes_Constante!$DC$1</f>
        <v>190494.09628639038</v>
      </c>
      <c r="DJ53" s="20">
        <f>+MOP_Mes_Corriente!DJ54*MOP_Mes_Constante!$DC$1</f>
        <v>190494.09628639038</v>
      </c>
      <c r="DK53" s="20">
        <f>+MOP_Mes_Corriente!DK54*MOP_Mes_Constante!$DC$1</f>
        <v>190494.09628639038</v>
      </c>
      <c r="DL53" s="20">
        <f>+MOP_Mes_Corriente!DL54*MOP_Mes_Constante!$DC$1</f>
        <v>190494.09628639038</v>
      </c>
      <c r="DM53" s="20">
        <f>+MOP_Mes_Corriente!DM54*MOP_Mes_Constante!$DC$1</f>
        <v>190494.09628639038</v>
      </c>
      <c r="DN53" s="20">
        <f>+MOP_Mes_Corriente!DN54*MOP_Mes_Constante!$DC$1</f>
        <v>190494.09628639038</v>
      </c>
      <c r="DO53" s="20">
        <f t="shared" si="65"/>
        <v>190494.09628639038</v>
      </c>
      <c r="DP53" s="20">
        <f>+MOP_Mes_Corriente!DP54*MOP_Mes_Constante!$DP$1</f>
        <v>602267.63479809987</v>
      </c>
      <c r="DQ53" s="20">
        <f>+MOP_Mes_Corriente!DQ54*MOP_Mes_Constante!$DP$1</f>
        <v>602267.63479809987</v>
      </c>
      <c r="DR53" s="20">
        <f>+MOP_Mes_Corriente!DR54*MOP_Mes_Constante!$DP$1</f>
        <v>602267.63479809987</v>
      </c>
      <c r="DS53" s="20">
        <f>+MOP_Mes_Corriente!DS54*MOP_Mes_Constante!$DP$1</f>
        <v>602267.63479809987</v>
      </c>
      <c r="DT53" s="20">
        <f>+MOP_Mes_Corriente!DT54*MOP_Mes_Constante!$DP$1</f>
        <v>602267.63479809987</v>
      </c>
      <c r="DU53" s="20">
        <f>+MOP_Mes_Corriente!DU54*MOP_Mes_Constante!$DP$1</f>
        <v>602267.63479809987</v>
      </c>
      <c r="DV53" s="20">
        <f>+MOP_Mes_Corriente!DV54*MOP_Mes_Constante!$DP$1</f>
        <v>602267.63479809987</v>
      </c>
      <c r="DW53" s="20">
        <f>+MOP_Mes_Corriente!DW54*MOP_Mes_Constante!$DP$1</f>
        <v>602267.63479809987</v>
      </c>
      <c r="DX53" s="20">
        <f>+MOP_Mes_Corriente!DX54*MOP_Mes_Constante!$DP$1</f>
        <v>602267.63479809987</v>
      </c>
      <c r="DY53" s="20">
        <f>+MOP_Mes_Corriente!DY54*MOP_Mes_Constante!$DP$1</f>
        <v>602267.63479809987</v>
      </c>
      <c r="DZ53" s="20">
        <f>+MOP_Mes_Corriente!DZ54*MOP_Mes_Constante!$DP$1</f>
        <v>602267.63479809987</v>
      </c>
      <c r="EA53" s="20">
        <f>+MOP_Mes_Corriente!EA54*MOP_Mes_Constante!$DP$1</f>
        <v>602267.63479809987</v>
      </c>
      <c r="EB53" s="20">
        <f t="shared" si="66"/>
        <v>602267.63479809987</v>
      </c>
      <c r="EC53" s="20">
        <f>+MOP_Mes_Corriente!EC54*MOP_Mes_Constante!$EC$1</f>
        <v>636977.93807990896</v>
      </c>
      <c r="ED53" s="20">
        <f>+MOP_Mes_Corriente!ED54*MOP_Mes_Constante!$EC$1</f>
        <v>636977.93807990896</v>
      </c>
      <c r="EE53" s="20">
        <f>+MOP_Mes_Corriente!EE54*MOP_Mes_Constante!$EC$1</f>
        <v>636977.93807990896</v>
      </c>
      <c r="EF53" s="20">
        <f>+MOP_Mes_Corriente!EF54*MOP_Mes_Constante!$EC$1</f>
        <v>636977.93807990896</v>
      </c>
      <c r="EG53" s="20">
        <f>+MOP_Mes_Corriente!EG54*MOP_Mes_Constante!$EC$1</f>
        <v>636977.93807990896</v>
      </c>
      <c r="EH53" s="20">
        <f>+MOP_Mes_Corriente!EH54*MOP_Mes_Constante!$EC$1</f>
        <v>636977.93807990896</v>
      </c>
      <c r="EI53" s="20">
        <f>+MOP_Mes_Corriente!EI54*MOP_Mes_Constante!$EC$1</f>
        <v>636977.93807990896</v>
      </c>
      <c r="EJ53" s="20">
        <f>+MOP_Mes_Corriente!EJ54*MOP_Mes_Constante!$EC$1</f>
        <v>636977.93807990896</v>
      </c>
      <c r="EK53" s="20">
        <f>+MOP_Mes_Corriente!EK54*MOP_Mes_Constante!$EC$1</f>
        <v>636977.93807990896</v>
      </c>
      <c r="EL53" s="20">
        <f>+MOP_Mes_Corriente!EL54*MOP_Mes_Constante!$EC$1</f>
        <v>636977.93807990896</v>
      </c>
      <c r="EM53" s="20">
        <f>+MOP_Mes_Corriente!EM54*MOP_Mes_Constante!$EC$1</f>
        <v>636977.93807990896</v>
      </c>
      <c r="EN53" s="20">
        <f>+MOP_Mes_Corriente!EN54*MOP_Mes_Constante!$EC$1</f>
        <v>636977.93807990896</v>
      </c>
      <c r="EO53" s="20">
        <f t="shared" si="67"/>
        <v>636977.93807990896</v>
      </c>
      <c r="EP53" s="20">
        <f>+MOP_Mes_Corriente!EP54*MOP_Mes_Constante!$EP$1</f>
        <v>555640</v>
      </c>
      <c r="EQ53" s="20">
        <f>+MOP_Mes_Corriente!EQ54*MOP_Mes_Constante!$EP$1</f>
        <v>555640</v>
      </c>
      <c r="ER53" s="20">
        <f>+MOP_Mes_Corriente!ER54*MOP_Mes_Constante!$EP$1</f>
        <v>555640</v>
      </c>
      <c r="ES53" s="20">
        <f>+MOP_Mes_Corriente!ES54*MOP_Mes_Constante!$EP$1</f>
        <v>555640</v>
      </c>
      <c r="ET53" s="20">
        <f>+MOP_Mes_Corriente!ET54*MOP_Mes_Constante!$EP$1</f>
        <v>555640</v>
      </c>
      <c r="EU53" s="20">
        <f>+MOP_Mes_Corriente!EU54*MOP_Mes_Constante!$EP$1</f>
        <v>555640</v>
      </c>
      <c r="EV53" s="20">
        <f>+MOP_Mes_Corriente!EV54*MOP_Mes_Constante!$EP$1</f>
        <v>555640</v>
      </c>
      <c r="EW53" s="20">
        <f>+MOP_Mes_Corriente!EW54*MOP_Mes_Constante!$EP$1</f>
        <v>555640</v>
      </c>
      <c r="EX53" s="20">
        <f>+MOP_Mes_Corriente!EX54*MOP_Mes_Constante!$EP$1</f>
        <v>555640</v>
      </c>
      <c r="EY53" s="20">
        <f>+MOP_Mes_Corriente!EY54*MOP_Mes_Constante!$EP$1</f>
        <v>555640</v>
      </c>
      <c r="EZ53" s="20">
        <f>+MOP_Mes_Corriente!EZ54*MOP_Mes_Constante!$EP$1</f>
        <v>555640</v>
      </c>
      <c r="FA53" s="20">
        <f>+MOP_Mes_Corriente!FA54*MOP_Mes_Constante!$EP$1</f>
        <v>555640</v>
      </c>
      <c r="FB53" s="20">
        <f t="shared" si="68"/>
        <v>555640</v>
      </c>
      <c r="FC53" s="20">
        <f>+MOP_Mes_Corriente!FC54*MOP_Mes_Constante!$FC$1</f>
        <v>392933</v>
      </c>
      <c r="FD53" s="20">
        <f>+MOP_Mes_Corriente!FD54*MOP_Mes_Constante!$FC$1</f>
        <v>392933</v>
      </c>
      <c r="FE53" s="20">
        <f>+MOP_Mes_Corriente!FE54*MOP_Mes_Constante!$FC$1</f>
        <v>392933</v>
      </c>
      <c r="FF53" s="20">
        <f>+MOP_Mes_Corriente!FF54*MOP_Mes_Constante!$FC$1</f>
        <v>392933</v>
      </c>
      <c r="FG53" s="20">
        <f>+MOP_Mes_Corriente!FG54*MOP_Mes_Constante!$FC$1</f>
        <v>392933</v>
      </c>
      <c r="FH53" s="20">
        <f>+MOP_Mes_Corriente!FH54*MOP_Mes_Constante!$FC$1</f>
        <v>392933</v>
      </c>
      <c r="FI53" s="20">
        <f>+MOP_Mes_Corriente!FI54*MOP_Mes_Constante!$FC$1</f>
        <v>392933</v>
      </c>
      <c r="FJ53" s="10"/>
      <c r="FK53" s="10"/>
      <c r="FL53" s="10"/>
      <c r="FM53" s="10"/>
      <c r="FN53" s="10"/>
      <c r="FO53" s="20">
        <f t="shared" si="69"/>
        <v>392933</v>
      </c>
    </row>
    <row r="54" spans="1:171" ht="21.75" customHeight="1">
      <c r="A54" s="10"/>
      <c r="B54" s="15" t="s">
        <v>49</v>
      </c>
      <c r="C54" s="38">
        <f t="shared" ref="C54:AH54" si="70">SUM(C48:C53)</f>
        <v>6282458.1017351337</v>
      </c>
      <c r="D54" s="38">
        <f t="shared" si="70"/>
        <v>6282458.1017351337</v>
      </c>
      <c r="E54" s="38">
        <f t="shared" si="70"/>
        <v>6282458.1017351337</v>
      </c>
      <c r="F54" s="38">
        <f t="shared" si="70"/>
        <v>6282458.1017351337</v>
      </c>
      <c r="G54" s="38">
        <f t="shared" si="70"/>
        <v>6282458.1017351337</v>
      </c>
      <c r="H54" s="38">
        <f t="shared" si="70"/>
        <v>6282458.1017351337</v>
      </c>
      <c r="I54" s="38">
        <f t="shared" si="70"/>
        <v>6282458.1017351337</v>
      </c>
      <c r="J54" s="38">
        <f t="shared" si="70"/>
        <v>6282458.1017351337</v>
      </c>
      <c r="K54" s="38">
        <f t="shared" si="70"/>
        <v>6282458.1017351337</v>
      </c>
      <c r="L54" s="38">
        <f t="shared" si="70"/>
        <v>6282458.1017351337</v>
      </c>
      <c r="M54" s="38">
        <f t="shared" si="70"/>
        <v>6282458.1017351337</v>
      </c>
      <c r="N54" s="38">
        <f t="shared" si="70"/>
        <v>6282458.1017351337</v>
      </c>
      <c r="O54" s="38">
        <f t="shared" si="70"/>
        <v>6282458.1017351337</v>
      </c>
      <c r="P54" s="38">
        <f t="shared" si="70"/>
        <v>6747957.5152720539</v>
      </c>
      <c r="Q54" s="38">
        <f t="shared" si="70"/>
        <v>6747957.5152720539</v>
      </c>
      <c r="R54" s="38">
        <f t="shared" si="70"/>
        <v>6747957.5152720539</v>
      </c>
      <c r="S54" s="38">
        <f t="shared" si="70"/>
        <v>6747957.5152720539</v>
      </c>
      <c r="T54" s="38">
        <f t="shared" si="70"/>
        <v>6747957.5152720539</v>
      </c>
      <c r="U54" s="38">
        <f t="shared" si="70"/>
        <v>6747957.5152720539</v>
      </c>
      <c r="V54" s="38">
        <f t="shared" si="70"/>
        <v>6747957.5152720539</v>
      </c>
      <c r="W54" s="38">
        <f t="shared" si="70"/>
        <v>6747957.5152720539</v>
      </c>
      <c r="X54" s="38">
        <f t="shared" si="70"/>
        <v>6747957.5152720539</v>
      </c>
      <c r="Y54" s="38">
        <f t="shared" si="70"/>
        <v>6747957.5152720539</v>
      </c>
      <c r="Z54" s="38">
        <f t="shared" si="70"/>
        <v>6747957.5152720539</v>
      </c>
      <c r="AA54" s="38">
        <f t="shared" si="70"/>
        <v>6747957.5152720539</v>
      </c>
      <c r="AB54" s="38">
        <f t="shared" si="70"/>
        <v>6747957.5152720539</v>
      </c>
      <c r="AC54" s="38">
        <f t="shared" si="70"/>
        <v>12969697.039977865</v>
      </c>
      <c r="AD54" s="38">
        <f t="shared" si="70"/>
        <v>12969697.039977865</v>
      </c>
      <c r="AE54" s="38">
        <f t="shared" si="70"/>
        <v>12969697.039977865</v>
      </c>
      <c r="AF54" s="38">
        <f t="shared" si="70"/>
        <v>12969697.039977865</v>
      </c>
      <c r="AG54" s="38">
        <f t="shared" si="70"/>
        <v>12969697.039977865</v>
      </c>
      <c r="AH54" s="38">
        <f t="shared" si="70"/>
        <v>12969697.039977865</v>
      </c>
      <c r="AI54" s="38">
        <f t="shared" ref="AI54:BN54" si="71">SUM(AI48:AI53)</f>
        <v>12969697.039977865</v>
      </c>
      <c r="AJ54" s="38">
        <f t="shared" si="71"/>
        <v>12969697.039977865</v>
      </c>
      <c r="AK54" s="38">
        <f t="shared" si="71"/>
        <v>12969697.039977865</v>
      </c>
      <c r="AL54" s="38">
        <f t="shared" si="71"/>
        <v>12969697.039977865</v>
      </c>
      <c r="AM54" s="38">
        <f t="shared" si="71"/>
        <v>12969697.039977865</v>
      </c>
      <c r="AN54" s="38">
        <f t="shared" si="71"/>
        <v>12969697.039977865</v>
      </c>
      <c r="AO54" s="38">
        <f t="shared" si="71"/>
        <v>12969697.039977865</v>
      </c>
      <c r="AP54" s="38">
        <f t="shared" si="71"/>
        <v>9044064.8521574456</v>
      </c>
      <c r="AQ54" s="38">
        <f t="shared" si="71"/>
        <v>9044064.8521574456</v>
      </c>
      <c r="AR54" s="38">
        <f t="shared" si="71"/>
        <v>9044064.8521574456</v>
      </c>
      <c r="AS54" s="38">
        <f t="shared" si="71"/>
        <v>9044064.8521574456</v>
      </c>
      <c r="AT54" s="38">
        <f t="shared" si="71"/>
        <v>9044064.8521574456</v>
      </c>
      <c r="AU54" s="38">
        <f t="shared" si="71"/>
        <v>9044064.8521574456</v>
      </c>
      <c r="AV54" s="38">
        <f t="shared" si="71"/>
        <v>9044064.8521574456</v>
      </c>
      <c r="AW54" s="38">
        <f t="shared" si="71"/>
        <v>9044064.8521574456</v>
      </c>
      <c r="AX54" s="38">
        <f t="shared" si="71"/>
        <v>9044064.8521574456</v>
      </c>
      <c r="AY54" s="38">
        <f t="shared" si="71"/>
        <v>9044064.8521574456</v>
      </c>
      <c r="AZ54" s="38">
        <f t="shared" si="71"/>
        <v>9044064.8521574456</v>
      </c>
      <c r="BA54" s="38">
        <f t="shared" si="71"/>
        <v>9044064.8521574456</v>
      </c>
      <c r="BB54" s="38">
        <f t="shared" si="71"/>
        <v>9044064.8521574456</v>
      </c>
      <c r="BC54" s="38">
        <f t="shared" si="71"/>
        <v>6542607.8145852583</v>
      </c>
      <c r="BD54" s="38">
        <f t="shared" si="71"/>
        <v>6542607.8145852583</v>
      </c>
      <c r="BE54" s="38">
        <f t="shared" si="71"/>
        <v>6542607.8145852583</v>
      </c>
      <c r="BF54" s="38">
        <f t="shared" si="71"/>
        <v>6542607.8145852583</v>
      </c>
      <c r="BG54" s="38">
        <f t="shared" si="71"/>
        <v>6542607.8145852583</v>
      </c>
      <c r="BH54" s="38">
        <f t="shared" si="71"/>
        <v>6542607.8145852583</v>
      </c>
      <c r="BI54" s="38">
        <f t="shared" si="71"/>
        <v>6542607.8145852583</v>
      </c>
      <c r="BJ54" s="38">
        <f t="shared" si="71"/>
        <v>6542607.8145852583</v>
      </c>
      <c r="BK54" s="38">
        <f t="shared" si="71"/>
        <v>6542607.8145852583</v>
      </c>
      <c r="BL54" s="38">
        <f t="shared" si="71"/>
        <v>6542607.8145852583</v>
      </c>
      <c r="BM54" s="38">
        <f t="shared" si="71"/>
        <v>6542607.8145852583</v>
      </c>
      <c r="BN54" s="38">
        <f t="shared" si="71"/>
        <v>6542607.8145852583</v>
      </c>
      <c r="BO54" s="38">
        <f t="shared" ref="BO54:CT54" si="72">SUM(BO48:BO53)</f>
        <v>6542607.8145852583</v>
      </c>
      <c r="BP54" s="38">
        <f t="shared" si="72"/>
        <v>6395495.6281690141</v>
      </c>
      <c r="BQ54" s="38">
        <f t="shared" si="72"/>
        <v>6395495.6281690141</v>
      </c>
      <c r="BR54" s="38">
        <f t="shared" si="72"/>
        <v>6395495.6281690141</v>
      </c>
      <c r="BS54" s="38">
        <f t="shared" si="72"/>
        <v>6395495.6281690141</v>
      </c>
      <c r="BT54" s="38">
        <f t="shared" si="72"/>
        <v>6395495.6281690141</v>
      </c>
      <c r="BU54" s="38">
        <f t="shared" si="72"/>
        <v>6395495.6281690141</v>
      </c>
      <c r="BV54" s="38">
        <f t="shared" si="72"/>
        <v>6395495.6281690141</v>
      </c>
      <c r="BW54" s="38">
        <f t="shared" si="72"/>
        <v>6395495.6281690141</v>
      </c>
      <c r="BX54" s="38">
        <f t="shared" si="72"/>
        <v>6395495.6281690141</v>
      </c>
      <c r="BY54" s="38">
        <f t="shared" si="72"/>
        <v>6395495.6281690141</v>
      </c>
      <c r="BZ54" s="38">
        <f t="shared" si="72"/>
        <v>6395495.6281690141</v>
      </c>
      <c r="CA54" s="38">
        <f t="shared" si="72"/>
        <v>6395495.6281690141</v>
      </c>
      <c r="CB54" s="38">
        <f t="shared" si="72"/>
        <v>6395495.6281690141</v>
      </c>
      <c r="CC54" s="38">
        <f t="shared" si="72"/>
        <v>6582790.7019768748</v>
      </c>
      <c r="CD54" s="38">
        <f t="shared" si="72"/>
        <v>6582790.7019768748</v>
      </c>
      <c r="CE54" s="38">
        <f t="shared" si="72"/>
        <v>6582790.7019768748</v>
      </c>
      <c r="CF54" s="38">
        <f t="shared" si="72"/>
        <v>6582790.7019768748</v>
      </c>
      <c r="CG54" s="38">
        <f t="shared" si="72"/>
        <v>6582790.7019768748</v>
      </c>
      <c r="CH54" s="38">
        <f t="shared" si="72"/>
        <v>6582790.7019768748</v>
      </c>
      <c r="CI54" s="38">
        <f t="shared" si="72"/>
        <v>6582790.7019768748</v>
      </c>
      <c r="CJ54" s="38">
        <f t="shared" si="72"/>
        <v>6582790.7019768748</v>
      </c>
      <c r="CK54" s="38">
        <f t="shared" si="72"/>
        <v>6582790.7019768748</v>
      </c>
      <c r="CL54" s="38">
        <f t="shared" si="72"/>
        <v>6582790.7019768748</v>
      </c>
      <c r="CM54" s="38">
        <f t="shared" si="72"/>
        <v>6582790.7019768748</v>
      </c>
      <c r="CN54" s="38">
        <f t="shared" si="72"/>
        <v>6582790.7019768748</v>
      </c>
      <c r="CO54" s="38">
        <f t="shared" si="72"/>
        <v>6582790.7019768748</v>
      </c>
      <c r="CP54" s="38">
        <f t="shared" si="72"/>
        <v>6759774.238051042</v>
      </c>
      <c r="CQ54" s="38">
        <f t="shared" si="72"/>
        <v>6759774.238051042</v>
      </c>
      <c r="CR54" s="38">
        <f t="shared" si="72"/>
        <v>6759774.238051042</v>
      </c>
      <c r="CS54" s="38">
        <f t="shared" si="72"/>
        <v>6759774.238051042</v>
      </c>
      <c r="CT54" s="38">
        <f t="shared" si="72"/>
        <v>6759774.238051042</v>
      </c>
      <c r="CU54" s="38">
        <f t="shared" ref="CU54:DZ54" si="73">SUM(CU48:CU53)</f>
        <v>6759774.238051042</v>
      </c>
      <c r="CV54" s="38">
        <f t="shared" si="73"/>
        <v>6759774.238051042</v>
      </c>
      <c r="CW54" s="38">
        <f t="shared" si="73"/>
        <v>6759774.238051042</v>
      </c>
      <c r="CX54" s="38">
        <f t="shared" si="73"/>
        <v>6759774.238051042</v>
      </c>
      <c r="CY54" s="38">
        <f t="shared" si="73"/>
        <v>6759774.238051042</v>
      </c>
      <c r="CZ54" s="38">
        <f t="shared" si="73"/>
        <v>6759774.238051042</v>
      </c>
      <c r="DA54" s="38">
        <f t="shared" si="73"/>
        <v>6759774.238051042</v>
      </c>
      <c r="DB54" s="38">
        <f t="shared" si="73"/>
        <v>6759774.238051042</v>
      </c>
      <c r="DC54" s="38">
        <f t="shared" si="73"/>
        <v>2756705.8919864227</v>
      </c>
      <c r="DD54" s="38">
        <f t="shared" si="73"/>
        <v>2756705.8919864227</v>
      </c>
      <c r="DE54" s="38">
        <f t="shared" si="73"/>
        <v>2756705.8919864227</v>
      </c>
      <c r="DF54" s="38">
        <f t="shared" si="73"/>
        <v>2756705.8919864227</v>
      </c>
      <c r="DG54" s="38">
        <f t="shared" si="73"/>
        <v>2756705.8919864227</v>
      </c>
      <c r="DH54" s="38">
        <f t="shared" si="73"/>
        <v>2756705.8919864227</v>
      </c>
      <c r="DI54" s="38">
        <f t="shared" si="73"/>
        <v>2756705.8919864227</v>
      </c>
      <c r="DJ54" s="38">
        <f t="shared" si="73"/>
        <v>2756705.8919864227</v>
      </c>
      <c r="DK54" s="38">
        <f t="shared" si="73"/>
        <v>2756705.8919864227</v>
      </c>
      <c r="DL54" s="38">
        <f t="shared" si="73"/>
        <v>2756705.8919864227</v>
      </c>
      <c r="DM54" s="38">
        <f t="shared" si="73"/>
        <v>2756705.8919864227</v>
      </c>
      <c r="DN54" s="38">
        <f t="shared" si="73"/>
        <v>2756705.8919864227</v>
      </c>
      <c r="DO54" s="38">
        <f t="shared" si="73"/>
        <v>2756705.8919864227</v>
      </c>
      <c r="DP54" s="38">
        <f t="shared" si="73"/>
        <v>28084130.276722092</v>
      </c>
      <c r="DQ54" s="38">
        <f t="shared" si="73"/>
        <v>28084130.276722092</v>
      </c>
      <c r="DR54" s="38">
        <f t="shared" si="73"/>
        <v>28084130.276722092</v>
      </c>
      <c r="DS54" s="38">
        <f t="shared" si="73"/>
        <v>28084130.276722092</v>
      </c>
      <c r="DT54" s="38">
        <f t="shared" si="73"/>
        <v>28084130.276722092</v>
      </c>
      <c r="DU54" s="38">
        <f t="shared" si="73"/>
        <v>28084130.276722092</v>
      </c>
      <c r="DV54" s="38">
        <f t="shared" si="73"/>
        <v>28084130.276722092</v>
      </c>
      <c r="DW54" s="38">
        <f t="shared" si="73"/>
        <v>28084130.276722092</v>
      </c>
      <c r="DX54" s="38">
        <f t="shared" si="73"/>
        <v>28084130.276722092</v>
      </c>
      <c r="DY54" s="38">
        <f t="shared" si="73"/>
        <v>28084130.276722092</v>
      </c>
      <c r="DZ54" s="38">
        <f t="shared" si="73"/>
        <v>28084130.276722092</v>
      </c>
      <c r="EA54" s="38">
        <f t="shared" ref="EA54:FF54" si="74">SUM(EA48:EA53)</f>
        <v>28084130.276722092</v>
      </c>
      <c r="EB54" s="38">
        <f t="shared" si="74"/>
        <v>28084130.276722092</v>
      </c>
      <c r="EC54" s="38">
        <f t="shared" si="74"/>
        <v>8946360.2454080638</v>
      </c>
      <c r="ED54" s="38">
        <f t="shared" si="74"/>
        <v>8946360.2454080638</v>
      </c>
      <c r="EE54" s="38">
        <f t="shared" si="74"/>
        <v>8946360.2454080638</v>
      </c>
      <c r="EF54" s="38">
        <f t="shared" si="74"/>
        <v>8946360.2454080638</v>
      </c>
      <c r="EG54" s="38">
        <f t="shared" si="74"/>
        <v>8946360.2454080638</v>
      </c>
      <c r="EH54" s="38">
        <f t="shared" si="74"/>
        <v>8946360.2454080638</v>
      </c>
      <c r="EI54" s="38">
        <f t="shared" si="74"/>
        <v>8946360.2454080638</v>
      </c>
      <c r="EJ54" s="38">
        <f t="shared" si="74"/>
        <v>8946360.2454080638</v>
      </c>
      <c r="EK54" s="38">
        <f t="shared" si="74"/>
        <v>8946360.2454080638</v>
      </c>
      <c r="EL54" s="38">
        <f t="shared" si="74"/>
        <v>8946360.2454080638</v>
      </c>
      <c r="EM54" s="38">
        <f t="shared" si="74"/>
        <v>8946360.2454080638</v>
      </c>
      <c r="EN54" s="38">
        <f t="shared" si="74"/>
        <v>8946360.2454080638</v>
      </c>
      <c r="EO54" s="38">
        <f t="shared" si="74"/>
        <v>8946360.2454080638</v>
      </c>
      <c r="EP54" s="38">
        <f t="shared" si="74"/>
        <v>13243449</v>
      </c>
      <c r="EQ54" s="38">
        <f t="shared" si="74"/>
        <v>13243449</v>
      </c>
      <c r="ER54" s="38">
        <f t="shared" si="74"/>
        <v>13243449</v>
      </c>
      <c r="ES54" s="38">
        <f t="shared" si="74"/>
        <v>13243449</v>
      </c>
      <c r="ET54" s="38">
        <f t="shared" si="74"/>
        <v>13243449</v>
      </c>
      <c r="EU54" s="38">
        <f t="shared" si="74"/>
        <v>13243449</v>
      </c>
      <c r="EV54" s="38">
        <f t="shared" si="74"/>
        <v>13243449</v>
      </c>
      <c r="EW54" s="38">
        <f t="shared" si="74"/>
        <v>13243449</v>
      </c>
      <c r="EX54" s="38">
        <f t="shared" si="74"/>
        <v>13243449</v>
      </c>
      <c r="EY54" s="38">
        <f t="shared" si="74"/>
        <v>13243449</v>
      </c>
      <c r="EZ54" s="38">
        <f t="shared" si="74"/>
        <v>13243449</v>
      </c>
      <c r="FA54" s="38">
        <f t="shared" si="74"/>
        <v>13243449</v>
      </c>
      <c r="FB54" s="38">
        <f t="shared" si="74"/>
        <v>13243449</v>
      </c>
      <c r="FC54" s="38">
        <f t="shared" si="74"/>
        <v>5203817</v>
      </c>
      <c r="FD54" s="38">
        <f t="shared" si="74"/>
        <v>5203817</v>
      </c>
      <c r="FE54" s="38">
        <f t="shared" si="74"/>
        <v>5203817</v>
      </c>
      <c r="FF54" s="38">
        <f t="shared" si="74"/>
        <v>5203817</v>
      </c>
      <c r="FG54" s="38">
        <f t="shared" ref="FG54:GL54" si="75">SUM(FG48:FG53)</f>
        <v>5203817</v>
      </c>
      <c r="FH54" s="38">
        <f t="shared" si="75"/>
        <v>5203817</v>
      </c>
      <c r="FI54" s="38">
        <f t="shared" si="75"/>
        <v>5203817</v>
      </c>
      <c r="FJ54" s="38">
        <f t="shared" si="75"/>
        <v>0</v>
      </c>
      <c r="FK54" s="38">
        <f t="shared" si="75"/>
        <v>0</v>
      </c>
      <c r="FL54" s="38">
        <f t="shared" si="75"/>
        <v>0</v>
      </c>
      <c r="FM54" s="38">
        <f t="shared" si="75"/>
        <v>0</v>
      </c>
      <c r="FN54" s="38">
        <f t="shared" si="75"/>
        <v>0</v>
      </c>
      <c r="FO54" s="38">
        <f t="shared" si="75"/>
        <v>5203817</v>
      </c>
    </row>
    <row r="55" spans="1:171" ht="14.25" customHeight="1">
      <c r="A55" s="10"/>
      <c r="B55" s="18" t="s">
        <v>54</v>
      </c>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row>
    <row r="56" spans="1:171"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row>
    <row r="57" spans="1:171" ht="15.75" customHeight="1">
      <c r="A57" s="10"/>
      <c r="B57" s="104" t="s">
        <v>59</v>
      </c>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c r="CQ57" s="105"/>
      <c r="CR57" s="105"/>
      <c r="CS57" s="105"/>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5"/>
      <c r="DY57" s="105"/>
      <c r="DZ57" s="105"/>
      <c r="EA57" s="105"/>
      <c r="EB57" s="105"/>
      <c r="EC57" s="105"/>
      <c r="ED57" s="105"/>
      <c r="EE57" s="105"/>
      <c r="EF57" s="105"/>
      <c r="EG57" s="105"/>
      <c r="EH57" s="105"/>
      <c r="EI57" s="105"/>
      <c r="EJ57" s="105"/>
      <c r="EK57" s="105"/>
      <c r="EL57" s="105"/>
      <c r="EM57" s="105"/>
      <c r="EN57" s="105"/>
      <c r="EO57" s="105"/>
      <c r="EP57" s="105"/>
      <c r="EQ57" s="105"/>
      <c r="ER57" s="105"/>
      <c r="ES57" s="105"/>
      <c r="ET57" s="105"/>
      <c r="EU57" s="105"/>
      <c r="EV57" s="105"/>
      <c r="EW57" s="105"/>
      <c r="EX57" s="105"/>
      <c r="EY57" s="105"/>
      <c r="EZ57" s="105"/>
      <c r="FA57" s="105"/>
      <c r="FB57" s="105"/>
      <c r="FC57" s="105"/>
      <c r="FD57" s="105"/>
      <c r="FE57" s="105"/>
      <c r="FF57" s="105"/>
      <c r="FG57" s="105"/>
      <c r="FH57" s="105"/>
      <c r="FI57" s="105"/>
      <c r="FJ57" s="105"/>
      <c r="FK57" s="105"/>
      <c r="FL57" s="105"/>
      <c r="FM57" s="105"/>
      <c r="FN57" s="105"/>
      <c r="FO57" s="105"/>
    </row>
    <row r="58" spans="1:171" ht="21.75" customHeight="1">
      <c r="A58" s="10"/>
      <c r="B58" s="14"/>
      <c r="C58" s="102" t="s">
        <v>4</v>
      </c>
      <c r="D58" s="103"/>
      <c r="E58" s="103"/>
      <c r="F58" s="103"/>
      <c r="G58" s="103"/>
      <c r="H58" s="103"/>
      <c r="I58" s="103"/>
      <c r="J58" s="103"/>
      <c r="K58" s="103"/>
      <c r="L58" s="103"/>
      <c r="M58" s="103"/>
      <c r="N58" s="103"/>
      <c r="O58" s="103"/>
      <c r="P58" s="102" t="s">
        <v>5</v>
      </c>
      <c r="Q58" s="103"/>
      <c r="R58" s="103"/>
      <c r="S58" s="103"/>
      <c r="T58" s="103"/>
      <c r="U58" s="103"/>
      <c r="V58" s="103"/>
      <c r="W58" s="103"/>
      <c r="X58" s="103"/>
      <c r="Y58" s="103"/>
      <c r="Z58" s="103"/>
      <c r="AA58" s="103"/>
      <c r="AB58" s="103"/>
      <c r="AC58" s="102" t="s">
        <v>6</v>
      </c>
      <c r="AD58" s="103"/>
      <c r="AE58" s="103"/>
      <c r="AF58" s="103"/>
      <c r="AG58" s="103"/>
      <c r="AH58" s="103"/>
      <c r="AI58" s="103"/>
      <c r="AJ58" s="103"/>
      <c r="AK58" s="103"/>
      <c r="AL58" s="103"/>
      <c r="AM58" s="103"/>
      <c r="AN58" s="103"/>
      <c r="AO58" s="103"/>
      <c r="AP58" s="102" t="s">
        <v>7</v>
      </c>
      <c r="AQ58" s="103"/>
      <c r="AR58" s="103"/>
      <c r="AS58" s="103"/>
      <c r="AT58" s="103"/>
      <c r="AU58" s="103"/>
      <c r="AV58" s="103"/>
      <c r="AW58" s="103"/>
      <c r="AX58" s="103"/>
      <c r="AY58" s="103"/>
      <c r="AZ58" s="103"/>
      <c r="BA58" s="103"/>
      <c r="BB58" s="103"/>
      <c r="BC58" s="102" t="s">
        <v>8</v>
      </c>
      <c r="BD58" s="103"/>
      <c r="BE58" s="103"/>
      <c r="BF58" s="103"/>
      <c r="BG58" s="103"/>
      <c r="BH58" s="103"/>
      <c r="BI58" s="103"/>
      <c r="BJ58" s="103"/>
      <c r="BK58" s="103"/>
      <c r="BL58" s="103"/>
      <c r="BM58" s="103"/>
      <c r="BN58" s="103"/>
      <c r="BO58" s="103"/>
      <c r="BP58" s="102" t="s">
        <v>9</v>
      </c>
      <c r="BQ58" s="103"/>
      <c r="BR58" s="103"/>
      <c r="BS58" s="103"/>
      <c r="BT58" s="103"/>
      <c r="BU58" s="103"/>
      <c r="BV58" s="103"/>
      <c r="BW58" s="103"/>
      <c r="BX58" s="103"/>
      <c r="BY58" s="103"/>
      <c r="BZ58" s="103"/>
      <c r="CA58" s="103"/>
      <c r="CB58" s="103"/>
      <c r="CC58" s="102" t="s">
        <v>10</v>
      </c>
      <c r="CD58" s="103"/>
      <c r="CE58" s="103"/>
      <c r="CF58" s="103"/>
      <c r="CG58" s="103"/>
      <c r="CH58" s="103"/>
      <c r="CI58" s="103"/>
      <c r="CJ58" s="103"/>
      <c r="CK58" s="103"/>
      <c r="CL58" s="103"/>
      <c r="CM58" s="103"/>
      <c r="CN58" s="103"/>
      <c r="CO58" s="103"/>
      <c r="CP58" s="102" t="s">
        <v>57</v>
      </c>
      <c r="CQ58" s="103"/>
      <c r="CR58" s="103"/>
      <c r="CS58" s="103"/>
      <c r="CT58" s="103"/>
      <c r="CU58" s="103"/>
      <c r="CV58" s="103"/>
      <c r="CW58" s="103"/>
      <c r="CX58" s="103"/>
      <c r="CY58" s="103"/>
      <c r="CZ58" s="103"/>
      <c r="DA58" s="103"/>
      <c r="DB58" s="103"/>
      <c r="DC58" s="102" t="s">
        <v>58</v>
      </c>
      <c r="DD58" s="103"/>
      <c r="DE58" s="103"/>
      <c r="DF58" s="103"/>
      <c r="DG58" s="103"/>
      <c r="DH58" s="103"/>
      <c r="DI58" s="103"/>
      <c r="DJ58" s="103"/>
      <c r="DK58" s="103"/>
      <c r="DL58" s="103"/>
      <c r="DM58" s="103"/>
      <c r="DN58" s="103"/>
      <c r="DO58" s="103"/>
      <c r="DP58" s="102" t="s">
        <v>13</v>
      </c>
      <c r="DQ58" s="103"/>
      <c r="DR58" s="103"/>
      <c r="DS58" s="103"/>
      <c r="DT58" s="103"/>
      <c r="DU58" s="103"/>
      <c r="DV58" s="103"/>
      <c r="DW58" s="103"/>
      <c r="DX58" s="103"/>
      <c r="DY58" s="103"/>
      <c r="DZ58" s="103"/>
      <c r="EA58" s="103"/>
      <c r="EB58" s="103"/>
      <c r="EC58" s="102" t="s">
        <v>14</v>
      </c>
      <c r="ED58" s="103"/>
      <c r="EE58" s="103"/>
      <c r="EF58" s="103"/>
      <c r="EG58" s="103"/>
      <c r="EH58" s="103"/>
      <c r="EI58" s="103"/>
      <c r="EJ58" s="103"/>
      <c r="EK58" s="103"/>
      <c r="EL58" s="103"/>
      <c r="EM58" s="103"/>
      <c r="EN58" s="103"/>
      <c r="EO58" s="103"/>
      <c r="EP58" s="102" t="s">
        <v>15</v>
      </c>
      <c r="EQ58" s="103"/>
      <c r="ER58" s="103"/>
      <c r="ES58" s="103"/>
      <c r="ET58" s="103"/>
      <c r="EU58" s="103"/>
      <c r="EV58" s="103"/>
      <c r="EW58" s="103"/>
      <c r="EX58" s="103"/>
      <c r="EY58" s="103"/>
      <c r="EZ58" s="103"/>
      <c r="FA58" s="103"/>
      <c r="FB58" s="103"/>
      <c r="FC58" s="102" t="s">
        <v>16</v>
      </c>
      <c r="FD58" s="103"/>
      <c r="FE58" s="103"/>
      <c r="FF58" s="103"/>
      <c r="FG58" s="103"/>
      <c r="FH58" s="103"/>
      <c r="FI58" s="103"/>
      <c r="FJ58" s="103"/>
      <c r="FK58" s="103"/>
      <c r="FL58" s="103"/>
      <c r="FM58" s="103"/>
      <c r="FN58" s="103"/>
      <c r="FO58" s="103"/>
    </row>
    <row r="59" spans="1:171" ht="27.75" customHeight="1">
      <c r="A59" s="10"/>
      <c r="B59" s="15" t="s">
        <v>17</v>
      </c>
      <c r="C59" s="16" t="s">
        <v>18</v>
      </c>
      <c r="D59" s="16" t="s">
        <v>19</v>
      </c>
      <c r="E59" s="16" t="s">
        <v>20</v>
      </c>
      <c r="F59" s="16" t="s">
        <v>21</v>
      </c>
      <c r="G59" s="16" t="s">
        <v>22</v>
      </c>
      <c r="H59" s="16" t="s">
        <v>23</v>
      </c>
      <c r="I59" s="16" t="s">
        <v>24</v>
      </c>
      <c r="J59" s="16" t="s">
        <v>25</v>
      </c>
      <c r="K59" s="16" t="s">
        <v>26</v>
      </c>
      <c r="L59" s="16" t="s">
        <v>27</v>
      </c>
      <c r="M59" s="16" t="s">
        <v>28</v>
      </c>
      <c r="N59" s="16" t="s">
        <v>29</v>
      </c>
      <c r="O59" s="16" t="s">
        <v>30</v>
      </c>
      <c r="P59" s="16" t="s">
        <v>18</v>
      </c>
      <c r="Q59" s="16" t="s">
        <v>19</v>
      </c>
      <c r="R59" s="16" t="s">
        <v>20</v>
      </c>
      <c r="S59" s="16" t="s">
        <v>21</v>
      </c>
      <c r="T59" s="16" t="s">
        <v>22</v>
      </c>
      <c r="U59" s="16" t="s">
        <v>23</v>
      </c>
      <c r="V59" s="16" t="s">
        <v>24</v>
      </c>
      <c r="W59" s="16" t="s">
        <v>25</v>
      </c>
      <c r="X59" s="16" t="s">
        <v>26</v>
      </c>
      <c r="Y59" s="16" t="s">
        <v>27</v>
      </c>
      <c r="Z59" s="16" t="s">
        <v>28</v>
      </c>
      <c r="AA59" s="16" t="s">
        <v>29</v>
      </c>
      <c r="AB59" s="16" t="s">
        <v>31</v>
      </c>
      <c r="AC59" s="16" t="s">
        <v>18</v>
      </c>
      <c r="AD59" s="16" t="s">
        <v>19</v>
      </c>
      <c r="AE59" s="16" t="s">
        <v>20</v>
      </c>
      <c r="AF59" s="16" t="s">
        <v>21</v>
      </c>
      <c r="AG59" s="16" t="s">
        <v>22</v>
      </c>
      <c r="AH59" s="16" t="s">
        <v>23</v>
      </c>
      <c r="AI59" s="16" t="s">
        <v>24</v>
      </c>
      <c r="AJ59" s="16" t="s">
        <v>25</v>
      </c>
      <c r="AK59" s="16" t="s">
        <v>26</v>
      </c>
      <c r="AL59" s="16" t="s">
        <v>27</v>
      </c>
      <c r="AM59" s="16" t="s">
        <v>28</v>
      </c>
      <c r="AN59" s="16" t="s">
        <v>29</v>
      </c>
      <c r="AO59" s="16" t="s">
        <v>32</v>
      </c>
      <c r="AP59" s="16" t="s">
        <v>18</v>
      </c>
      <c r="AQ59" s="16" t="s">
        <v>19</v>
      </c>
      <c r="AR59" s="16" t="s">
        <v>20</v>
      </c>
      <c r="AS59" s="16" t="s">
        <v>21</v>
      </c>
      <c r="AT59" s="16" t="s">
        <v>22</v>
      </c>
      <c r="AU59" s="16" t="s">
        <v>23</v>
      </c>
      <c r="AV59" s="16" t="s">
        <v>24</v>
      </c>
      <c r="AW59" s="16" t="s">
        <v>25</v>
      </c>
      <c r="AX59" s="16" t="s">
        <v>26</v>
      </c>
      <c r="AY59" s="16" t="s">
        <v>27</v>
      </c>
      <c r="AZ59" s="16" t="s">
        <v>28</v>
      </c>
      <c r="BA59" s="16" t="s">
        <v>29</v>
      </c>
      <c r="BB59" s="16" t="s">
        <v>33</v>
      </c>
      <c r="BC59" s="16" t="s">
        <v>18</v>
      </c>
      <c r="BD59" s="16" t="s">
        <v>19</v>
      </c>
      <c r="BE59" s="16" t="s">
        <v>20</v>
      </c>
      <c r="BF59" s="16" t="s">
        <v>21</v>
      </c>
      <c r="BG59" s="16" t="s">
        <v>22</v>
      </c>
      <c r="BH59" s="16" t="s">
        <v>23</v>
      </c>
      <c r="BI59" s="16" t="s">
        <v>24</v>
      </c>
      <c r="BJ59" s="16" t="s">
        <v>25</v>
      </c>
      <c r="BK59" s="16" t="s">
        <v>26</v>
      </c>
      <c r="BL59" s="16" t="s">
        <v>27</v>
      </c>
      <c r="BM59" s="16" t="s">
        <v>28</v>
      </c>
      <c r="BN59" s="16" t="s">
        <v>29</v>
      </c>
      <c r="BO59" s="16" t="s">
        <v>34</v>
      </c>
      <c r="BP59" s="16" t="s">
        <v>18</v>
      </c>
      <c r="BQ59" s="16" t="s">
        <v>19</v>
      </c>
      <c r="BR59" s="16" t="s">
        <v>20</v>
      </c>
      <c r="BS59" s="16" t="s">
        <v>21</v>
      </c>
      <c r="BT59" s="16" t="s">
        <v>22</v>
      </c>
      <c r="BU59" s="16" t="s">
        <v>23</v>
      </c>
      <c r="BV59" s="16" t="s">
        <v>24</v>
      </c>
      <c r="BW59" s="16" t="s">
        <v>25</v>
      </c>
      <c r="BX59" s="16" t="s">
        <v>26</v>
      </c>
      <c r="BY59" s="16" t="s">
        <v>27</v>
      </c>
      <c r="BZ59" s="16" t="s">
        <v>28</v>
      </c>
      <c r="CA59" s="16" t="s">
        <v>29</v>
      </c>
      <c r="CB59" s="16" t="s">
        <v>35</v>
      </c>
      <c r="CC59" s="16" t="s">
        <v>18</v>
      </c>
      <c r="CD59" s="16" t="s">
        <v>19</v>
      </c>
      <c r="CE59" s="16" t="s">
        <v>20</v>
      </c>
      <c r="CF59" s="16" t="s">
        <v>21</v>
      </c>
      <c r="CG59" s="16" t="s">
        <v>22</v>
      </c>
      <c r="CH59" s="16" t="s">
        <v>23</v>
      </c>
      <c r="CI59" s="16" t="s">
        <v>24</v>
      </c>
      <c r="CJ59" s="16" t="s">
        <v>25</v>
      </c>
      <c r="CK59" s="16" t="s">
        <v>26</v>
      </c>
      <c r="CL59" s="16" t="s">
        <v>27</v>
      </c>
      <c r="CM59" s="16" t="s">
        <v>28</v>
      </c>
      <c r="CN59" s="16" t="s">
        <v>29</v>
      </c>
      <c r="CO59" s="16" t="s">
        <v>36</v>
      </c>
      <c r="CP59" s="16" t="s">
        <v>18</v>
      </c>
      <c r="CQ59" s="16" t="s">
        <v>19</v>
      </c>
      <c r="CR59" s="16" t="s">
        <v>20</v>
      </c>
      <c r="CS59" s="16" t="s">
        <v>21</v>
      </c>
      <c r="CT59" s="16" t="s">
        <v>22</v>
      </c>
      <c r="CU59" s="16" t="s">
        <v>23</v>
      </c>
      <c r="CV59" s="16" t="s">
        <v>24</v>
      </c>
      <c r="CW59" s="16" t="s">
        <v>25</v>
      </c>
      <c r="CX59" s="16" t="s">
        <v>26</v>
      </c>
      <c r="CY59" s="16" t="s">
        <v>27</v>
      </c>
      <c r="CZ59" s="16" t="s">
        <v>28</v>
      </c>
      <c r="DA59" s="16" t="s">
        <v>29</v>
      </c>
      <c r="DB59" s="16" t="s">
        <v>37</v>
      </c>
      <c r="DC59" s="16" t="s">
        <v>18</v>
      </c>
      <c r="DD59" s="16" t="s">
        <v>19</v>
      </c>
      <c r="DE59" s="16" t="s">
        <v>20</v>
      </c>
      <c r="DF59" s="16" t="s">
        <v>21</v>
      </c>
      <c r="DG59" s="16" t="s">
        <v>22</v>
      </c>
      <c r="DH59" s="16" t="s">
        <v>23</v>
      </c>
      <c r="DI59" s="16" t="s">
        <v>24</v>
      </c>
      <c r="DJ59" s="16" t="s">
        <v>25</v>
      </c>
      <c r="DK59" s="16" t="s">
        <v>26</v>
      </c>
      <c r="DL59" s="16" t="s">
        <v>27</v>
      </c>
      <c r="DM59" s="16" t="s">
        <v>28</v>
      </c>
      <c r="DN59" s="16" t="s">
        <v>29</v>
      </c>
      <c r="DO59" s="16" t="s">
        <v>38</v>
      </c>
      <c r="DP59" s="16" t="s">
        <v>18</v>
      </c>
      <c r="DQ59" s="16" t="s">
        <v>19</v>
      </c>
      <c r="DR59" s="16" t="s">
        <v>20</v>
      </c>
      <c r="DS59" s="16" t="s">
        <v>21</v>
      </c>
      <c r="DT59" s="16" t="s">
        <v>22</v>
      </c>
      <c r="DU59" s="16" t="s">
        <v>23</v>
      </c>
      <c r="DV59" s="16" t="s">
        <v>24</v>
      </c>
      <c r="DW59" s="16" t="s">
        <v>25</v>
      </c>
      <c r="DX59" s="16" t="s">
        <v>26</v>
      </c>
      <c r="DY59" s="16" t="s">
        <v>27</v>
      </c>
      <c r="DZ59" s="16" t="s">
        <v>28</v>
      </c>
      <c r="EA59" s="16" t="s">
        <v>29</v>
      </c>
      <c r="EB59" s="16" t="s">
        <v>39</v>
      </c>
      <c r="EC59" s="16" t="s">
        <v>18</v>
      </c>
      <c r="ED59" s="16" t="s">
        <v>19</v>
      </c>
      <c r="EE59" s="16" t="s">
        <v>20</v>
      </c>
      <c r="EF59" s="16" t="s">
        <v>21</v>
      </c>
      <c r="EG59" s="16" t="s">
        <v>22</v>
      </c>
      <c r="EH59" s="16" t="s">
        <v>23</v>
      </c>
      <c r="EI59" s="16" t="s">
        <v>24</v>
      </c>
      <c r="EJ59" s="16" t="s">
        <v>25</v>
      </c>
      <c r="EK59" s="16" t="s">
        <v>26</v>
      </c>
      <c r="EL59" s="16" t="s">
        <v>27</v>
      </c>
      <c r="EM59" s="16" t="s">
        <v>28</v>
      </c>
      <c r="EN59" s="16" t="s">
        <v>29</v>
      </c>
      <c r="EO59" s="16" t="s">
        <v>40</v>
      </c>
      <c r="EP59" s="16" t="s">
        <v>18</v>
      </c>
      <c r="EQ59" s="16" t="s">
        <v>19</v>
      </c>
      <c r="ER59" s="16" t="s">
        <v>20</v>
      </c>
      <c r="ES59" s="16" t="s">
        <v>21</v>
      </c>
      <c r="ET59" s="16" t="s">
        <v>22</v>
      </c>
      <c r="EU59" s="16" t="s">
        <v>23</v>
      </c>
      <c r="EV59" s="16" t="s">
        <v>24</v>
      </c>
      <c r="EW59" s="16" t="s">
        <v>25</v>
      </c>
      <c r="EX59" s="16" t="s">
        <v>26</v>
      </c>
      <c r="EY59" s="16" t="s">
        <v>27</v>
      </c>
      <c r="EZ59" s="16" t="s">
        <v>28</v>
      </c>
      <c r="FA59" s="16" t="s">
        <v>29</v>
      </c>
      <c r="FB59" s="16" t="s">
        <v>41</v>
      </c>
      <c r="FC59" s="16" t="s">
        <v>18</v>
      </c>
      <c r="FD59" s="16" t="s">
        <v>19</v>
      </c>
      <c r="FE59" s="16" t="s">
        <v>20</v>
      </c>
      <c r="FF59" s="16" t="s">
        <v>21</v>
      </c>
      <c r="FG59" s="16" t="s">
        <v>22</v>
      </c>
      <c r="FH59" s="16" t="s">
        <v>23</v>
      </c>
      <c r="FI59" s="16" t="s">
        <v>24</v>
      </c>
      <c r="FJ59" s="16" t="s">
        <v>25</v>
      </c>
      <c r="FK59" s="16" t="s">
        <v>26</v>
      </c>
      <c r="FL59" s="16" t="s">
        <v>27</v>
      </c>
      <c r="FM59" s="16" t="s">
        <v>28</v>
      </c>
      <c r="FN59" s="16" t="s">
        <v>29</v>
      </c>
      <c r="FO59" s="16" t="s">
        <v>42</v>
      </c>
    </row>
    <row r="60" spans="1:171" ht="27.75" customHeight="1">
      <c r="A60" s="10"/>
      <c r="B60" s="19" t="s">
        <v>43</v>
      </c>
      <c r="C60" s="20">
        <f>+MOP_Mes_Corriente!C61*MOP_Mes_Constante!$C$1</f>
        <v>4785286.6154530635</v>
      </c>
      <c r="D60" s="20">
        <f>+MOP_Mes_Corriente!D61*MOP_Mes_Constante!$C$1</f>
        <v>4785286.6154530635</v>
      </c>
      <c r="E60" s="20">
        <f>+MOP_Mes_Corriente!E61*MOP_Mes_Constante!$C$1</f>
        <v>4785286.6154530635</v>
      </c>
      <c r="F60" s="20">
        <f>+MOP_Mes_Corriente!F61*MOP_Mes_Constante!$C$1</f>
        <v>4785286.6154530635</v>
      </c>
      <c r="G60" s="20">
        <f>+MOP_Mes_Corriente!G61*MOP_Mes_Constante!$C$1</f>
        <v>4807971.4738247078</v>
      </c>
      <c r="H60" s="20">
        <f>+MOP_Mes_Corriente!H61*MOP_Mes_Constante!$C$1</f>
        <v>22064612.214741215</v>
      </c>
      <c r="I60" s="20">
        <f>+MOP_Mes_Corriente!I61*MOP_Mes_Constante!$C$1</f>
        <v>27184908.818626728</v>
      </c>
      <c r="J60" s="20">
        <f>+MOP_Mes_Corriente!J61*MOP_Mes_Constante!$C$1</f>
        <v>27184908.818626728</v>
      </c>
      <c r="K60" s="20">
        <f>+MOP_Mes_Corriente!K61*MOP_Mes_Constante!$C$1</f>
        <v>27184908.818626728</v>
      </c>
      <c r="L60" s="20">
        <f>+MOP_Mes_Corriente!L61*MOP_Mes_Constante!$C$1</f>
        <v>29615429.358445801</v>
      </c>
      <c r="M60" s="20">
        <f>+MOP_Mes_Corriente!M61*MOP_Mes_Constante!$C$1</f>
        <v>30200640.371941276</v>
      </c>
      <c r="N60" s="20">
        <f>+MOP_Mes_Corriente!N61*MOP_Mes_Constante!$C$1</f>
        <v>20692836.144149493</v>
      </c>
      <c r="O60" s="20">
        <f t="shared" ref="O60:O65" si="76">N60</f>
        <v>20692836.144149493</v>
      </c>
      <c r="P60" s="20">
        <f>+MOP_Mes_Corriente!P61*MOP_Mes_Constante!$P$1</f>
        <v>2721069.1547094746</v>
      </c>
      <c r="Q60" s="20">
        <f>+MOP_Mes_Corriente!Q61*MOP_Mes_Constante!$P$1</f>
        <v>2721069.1547094746</v>
      </c>
      <c r="R60" s="20">
        <f>+MOP_Mes_Corriente!R61*MOP_Mes_Constante!$P$1</f>
        <v>12584771.381162092</v>
      </c>
      <c r="S60" s="20">
        <f>+MOP_Mes_Corriente!S61*MOP_Mes_Constante!$P$1</f>
        <v>12584771.381162092</v>
      </c>
      <c r="T60" s="20">
        <f>+MOP_Mes_Corriente!T61*MOP_Mes_Constante!$P$1</f>
        <v>13415203.260690434</v>
      </c>
      <c r="U60" s="20">
        <f>+MOP_Mes_Corriente!U61*MOP_Mes_Constante!$P$1</f>
        <v>13415203.260690434</v>
      </c>
      <c r="V60" s="20">
        <f>+MOP_Mes_Corriente!V61*MOP_Mes_Constante!$P$1</f>
        <v>13570424.172751807</v>
      </c>
      <c r="W60" s="20">
        <f>+MOP_Mes_Corriente!W61*MOP_Mes_Constante!$P$1</f>
        <v>13570424.172751807</v>
      </c>
      <c r="X60" s="20">
        <f>+MOP_Mes_Corriente!X61*MOP_Mes_Constante!$P$1</f>
        <v>13570424.172751807</v>
      </c>
      <c r="Y60" s="20">
        <f>+MOP_Mes_Corriente!Y61*MOP_Mes_Constante!$P$1</f>
        <v>13570424.172751807</v>
      </c>
      <c r="Z60" s="20">
        <f>+MOP_Mes_Corriente!Z61*MOP_Mes_Constante!$P$1</f>
        <v>18227051.534592975</v>
      </c>
      <c r="AA60" s="20">
        <f>+MOP_Mes_Corriente!AA61*MOP_Mes_Constante!$P$1</f>
        <v>18227051.534592975</v>
      </c>
      <c r="AB60" s="20">
        <f t="shared" ref="AB60:AB65" si="77">AA60</f>
        <v>18227051.534592975</v>
      </c>
      <c r="AC60" s="20">
        <f>+MOP_Mes_Corriente!AC61*MOP_Mes_Constante!$AC$1</f>
        <v>2707482.1460782955</v>
      </c>
      <c r="AD60" s="20">
        <f>+MOP_Mes_Corriente!AD61*MOP_Mes_Constante!$AC$1</f>
        <v>2707482.1460782955</v>
      </c>
      <c r="AE60" s="20">
        <f>+MOP_Mes_Corriente!AE61*MOP_Mes_Constante!$AC$1</f>
        <v>2707482.1460782955</v>
      </c>
      <c r="AF60" s="20">
        <f>+MOP_Mes_Corriente!AF61*MOP_Mes_Constante!$AC$1</f>
        <v>2601683.2803983954</v>
      </c>
      <c r="AG60" s="20">
        <f>+MOP_Mes_Corriente!AG61*MOP_Mes_Constante!$AC$1</f>
        <v>2601683.2803983954</v>
      </c>
      <c r="AH60" s="20">
        <f>+MOP_Mes_Corriente!AH61*MOP_Mes_Constante!$AC$1</f>
        <v>3416334.5461336286</v>
      </c>
      <c r="AI60" s="20">
        <f>+MOP_Mes_Corriente!AI61*MOP_Mes_Constante!$AC$1</f>
        <v>3416334.5461336286</v>
      </c>
      <c r="AJ60" s="20">
        <f>+MOP_Mes_Corriente!AJ61*MOP_Mes_Constante!$AC$1</f>
        <v>3416334.5461336286</v>
      </c>
      <c r="AK60" s="20">
        <f>+MOP_Mes_Corriente!AK61*MOP_Mes_Constante!$AC$1</f>
        <v>3416334.5461336286</v>
      </c>
      <c r="AL60" s="20">
        <f>+MOP_Mes_Corriente!AL61*MOP_Mes_Constante!$AC$1</f>
        <v>3416334.5461336286</v>
      </c>
      <c r="AM60" s="20">
        <f>+MOP_Mes_Corriente!AM61*MOP_Mes_Constante!$AC$1</f>
        <v>3556895.8962512105</v>
      </c>
      <c r="AN60" s="20">
        <f>+MOP_Mes_Corriente!AN61*MOP_Mes_Constante!$AC$1</f>
        <v>4028828.3621524414</v>
      </c>
      <c r="AO60" s="20">
        <f t="shared" ref="AO60:AO65" si="78">AN60</f>
        <v>4028828.3621524414</v>
      </c>
      <c r="AP60" s="20">
        <f>+MOP_Mes_Corriente!AP61*MOP_Mes_Constante!$AP$1</f>
        <v>2629755.0426078723</v>
      </c>
      <c r="AQ60" s="20">
        <f>+MOP_Mes_Corriente!AQ61*MOP_Mes_Constante!$AP$1</f>
        <v>2629755.0426078723</v>
      </c>
      <c r="AR60" s="20">
        <f>+MOP_Mes_Corriente!AR61*MOP_Mes_Constante!$AP$1</f>
        <v>3040606.9295279318</v>
      </c>
      <c r="AS60" s="20">
        <f>+MOP_Mes_Corriente!AS61*MOP_Mes_Constante!$AP$1</f>
        <v>3040606.9295279318</v>
      </c>
      <c r="AT60" s="20">
        <f>+MOP_Mes_Corriente!AT61*MOP_Mes_Constante!$AP$1</f>
        <v>3336183.8265927224</v>
      </c>
      <c r="AU60" s="20">
        <f>+MOP_Mes_Corriente!AU61*MOP_Mes_Constante!$AP$1</f>
        <v>27673542.165562015</v>
      </c>
      <c r="AV60" s="20">
        <f>+MOP_Mes_Corriente!AV61*MOP_Mes_Constante!$AP$1</f>
        <v>27992617.425943457</v>
      </c>
      <c r="AW60" s="20">
        <f>+MOP_Mes_Corriente!AW61*MOP_Mes_Constante!$AP$1</f>
        <v>28191392.88921953</v>
      </c>
      <c r="AX60" s="20">
        <f>+MOP_Mes_Corriente!AX61*MOP_Mes_Constante!$AP$1</f>
        <v>28204102.695793316</v>
      </c>
      <c r="AY60" s="20">
        <f>+MOP_Mes_Corriente!AY61*MOP_Mes_Constante!$AP$1</f>
        <v>28204102.695793316</v>
      </c>
      <c r="AZ60" s="20">
        <f>+MOP_Mes_Corriente!AZ61*MOP_Mes_Constante!$AP$1</f>
        <v>28227748.847558498</v>
      </c>
      <c r="BA60" s="20">
        <f>+MOP_Mes_Corriente!BA61*MOP_Mes_Constante!$AP$1</f>
        <v>21104215.574462328</v>
      </c>
      <c r="BB60" s="20">
        <f t="shared" ref="BB60:BB65" si="79">BA60</f>
        <v>21104215.574462328</v>
      </c>
      <c r="BC60" s="20">
        <f>+MOP_Mes_Corriente!BC61*MOP_Mes_Constante!$BC$1</f>
        <v>2315276.0255835429</v>
      </c>
      <c r="BD60" s="20">
        <f>+MOP_Mes_Corriente!BD61*MOP_Mes_Constante!$BC$1</f>
        <v>2315276.0255835429</v>
      </c>
      <c r="BE60" s="20">
        <f>+MOP_Mes_Corriente!BE61*MOP_Mes_Constante!$BC$1</f>
        <v>10881277.315838061</v>
      </c>
      <c r="BF60" s="20">
        <f>+MOP_Mes_Corriente!BF61*MOP_Mes_Constante!$BC$1</f>
        <v>10881277.315838061</v>
      </c>
      <c r="BG60" s="20">
        <f>+MOP_Mes_Corriente!BG61*MOP_Mes_Constante!$BC$1</f>
        <v>11335421.700118689</v>
      </c>
      <c r="BH60" s="20">
        <f>+MOP_Mes_Corriente!BH61*MOP_Mes_Constante!$BC$1</f>
        <v>11335421.700118689</v>
      </c>
      <c r="BI60" s="20">
        <f>+MOP_Mes_Corriente!BI61*MOP_Mes_Constante!$BC$1</f>
        <v>10956010.118422791</v>
      </c>
      <c r="BJ60" s="20">
        <f>+MOP_Mes_Corriente!BJ61*MOP_Mes_Constante!$BC$1</f>
        <v>11010217.948041676</v>
      </c>
      <c r="BK60" s="20">
        <f>+MOP_Mes_Corriente!BK61*MOP_Mes_Constante!$BC$1</f>
        <v>11010217.948041676</v>
      </c>
      <c r="BL60" s="20">
        <f>+MOP_Mes_Corriente!BL61*MOP_Mes_Constante!$BC$1</f>
        <v>11031830.766187528</v>
      </c>
      <c r="BM60" s="20">
        <f>+MOP_Mes_Corriente!BM61*MOP_Mes_Constante!$BC$1</f>
        <v>11653847.672425164</v>
      </c>
      <c r="BN60" s="20">
        <f>+MOP_Mes_Corriente!BN61*MOP_Mes_Constante!$BC$1</f>
        <v>11904124.106554138</v>
      </c>
      <c r="BO60" s="20">
        <f t="shared" ref="BO60:BO65" si="80">BN60</f>
        <v>11904124.106554138</v>
      </c>
      <c r="BP60" s="20">
        <f>+MOP_Mes_Corriente!BP61*MOP_Mes_Constante!$BP$1</f>
        <v>2293964.762612036</v>
      </c>
      <c r="BQ60" s="20">
        <f>+MOP_Mes_Corriente!BQ61*MOP_Mes_Constante!$BP$1</f>
        <v>2293964.762612036</v>
      </c>
      <c r="BR60" s="20">
        <f>+MOP_Mes_Corriente!BR61*MOP_Mes_Constante!$BP$1</f>
        <v>2293964.762612036</v>
      </c>
      <c r="BS60" s="20">
        <f>+MOP_Mes_Corriente!BS61*MOP_Mes_Constante!$BP$1</f>
        <v>2390214.2888604356</v>
      </c>
      <c r="BT60" s="20">
        <f>+MOP_Mes_Corriente!BT61*MOP_Mes_Constante!$BP$1</f>
        <v>2390214.2888604356</v>
      </c>
      <c r="BU60" s="20">
        <f>+MOP_Mes_Corriente!BU61*MOP_Mes_Constante!$BP$1</f>
        <v>9150064.7370038424</v>
      </c>
      <c r="BV60" s="20">
        <f>+MOP_Mes_Corriente!BV61*MOP_Mes_Constante!$BP$1</f>
        <v>9197979.65377721</v>
      </c>
      <c r="BW60" s="20">
        <f>+MOP_Mes_Corriente!BW61*MOP_Mes_Constante!$BP$1</f>
        <v>9267928.4373879656</v>
      </c>
      <c r="BX60" s="20">
        <f>+MOP_Mes_Corriente!BX61*MOP_Mes_Constante!$BP$1</f>
        <v>9267928.4373879656</v>
      </c>
      <c r="BY60" s="20">
        <f>+MOP_Mes_Corriente!BY61*MOP_Mes_Constante!$BP$1</f>
        <v>9267928.4373879656</v>
      </c>
      <c r="BZ60" s="20">
        <f>+MOP_Mes_Corriente!BZ61*MOP_Mes_Constante!$BP$1</f>
        <v>9267928.4373879656</v>
      </c>
      <c r="CA60" s="20">
        <f>+MOP_Mes_Corriente!CA61*MOP_Mes_Constante!$BP$1</f>
        <v>9291711.0238156226</v>
      </c>
      <c r="CB60" s="20">
        <f t="shared" ref="CB60:CB65" si="81">CA60</f>
        <v>9291711.0238156226</v>
      </c>
      <c r="CC60" s="20">
        <f>+MOP_Mes_Corriente!CC61*MOP_Mes_Constante!$CC$1</f>
        <v>2315528.1753077214</v>
      </c>
      <c r="CD60" s="20">
        <f>+MOP_Mes_Corriente!CD61*MOP_Mes_Constante!$CC$1</f>
        <v>2315528.1753077214</v>
      </c>
      <c r="CE60" s="20">
        <f>+MOP_Mes_Corriente!CE61*MOP_Mes_Constante!$CC$1</f>
        <v>2315528.1753077214</v>
      </c>
      <c r="CF60" s="20">
        <f>+MOP_Mes_Corriente!CF61*MOP_Mes_Constante!$CC$1</f>
        <v>1569764.488623648</v>
      </c>
      <c r="CG60" s="20">
        <f>+MOP_Mes_Corriente!CG61*MOP_Mes_Constante!$CC$1</f>
        <v>1091778.1387541962</v>
      </c>
      <c r="CH60" s="20">
        <f>+MOP_Mes_Corriente!CH61*MOP_Mes_Constante!$CC$1</f>
        <v>1091778.1387541962</v>
      </c>
      <c r="CI60" s="20">
        <f>+MOP_Mes_Corriente!CI61*MOP_Mes_Constante!$CC$1</f>
        <v>1817189.5524058188</v>
      </c>
      <c r="CJ60" s="20">
        <f>+MOP_Mes_Corriente!CJ61*MOP_Mes_Constante!$CC$1</f>
        <v>1817189.5524058188</v>
      </c>
      <c r="CK60" s="20">
        <f>+MOP_Mes_Corriente!CK61*MOP_Mes_Constante!$CC$1</f>
        <v>1817189.5524058188</v>
      </c>
      <c r="CL60" s="20">
        <f>+MOP_Mes_Corriente!CL61*MOP_Mes_Constante!$CC$1</f>
        <v>10871781.609847073</v>
      </c>
      <c r="CM60" s="20">
        <f>+MOP_Mes_Corriente!CM61*MOP_Mes_Constante!$CC$1</f>
        <v>10871781.609847073</v>
      </c>
      <c r="CN60" s="20">
        <f>+MOP_Mes_Corriente!CN61*MOP_Mes_Constante!$CC$1</f>
        <v>10100182.952629616</v>
      </c>
      <c r="CO60" s="20">
        <f t="shared" ref="CO60:CO65" si="82">CN60</f>
        <v>10100182.952629616</v>
      </c>
      <c r="CP60" s="20">
        <f>+MOP_Mes_Corriente!CP61*MOP_Mes_Constante!$CP$1</f>
        <v>2447467.0955916466</v>
      </c>
      <c r="CQ60" s="20">
        <f>+MOP_Mes_Corriente!CQ61*MOP_Mes_Constante!$CP$1</f>
        <v>2447467.0955916466</v>
      </c>
      <c r="CR60" s="20">
        <f>+MOP_Mes_Corriente!CR61*MOP_Mes_Constante!$CP$1</f>
        <v>4941406.4491879344</v>
      </c>
      <c r="CS60" s="20">
        <f>+MOP_Mes_Corriente!CS61*MOP_Mes_Constante!$CP$1</f>
        <v>5969363.0617169365</v>
      </c>
      <c r="CT60" s="20">
        <f>+MOP_Mes_Corriente!CT61*MOP_Mes_Constante!$CP$1</f>
        <v>5969363.0617169365</v>
      </c>
      <c r="CU60" s="20">
        <f>+MOP_Mes_Corriente!CU61*MOP_Mes_Constante!$CP$1</f>
        <v>5997248.4445475629</v>
      </c>
      <c r="CV60" s="20">
        <f>+MOP_Mes_Corriente!CV61*MOP_Mes_Constante!$CP$1</f>
        <v>5997248.4445475629</v>
      </c>
      <c r="CW60" s="20">
        <f>+MOP_Mes_Corriente!CW61*MOP_Mes_Constante!$CP$1</f>
        <v>6125483.1800464028</v>
      </c>
      <c r="CX60" s="20">
        <f>+MOP_Mes_Corriente!CX61*MOP_Mes_Constante!$CP$1</f>
        <v>6125483.1800464028</v>
      </c>
      <c r="CY60" s="20">
        <f>+MOP_Mes_Corriente!CY61*MOP_Mes_Constante!$CP$1</f>
        <v>6125483.1800464028</v>
      </c>
      <c r="CZ60" s="20">
        <f>+MOP_Mes_Corriente!CZ61*MOP_Mes_Constante!$CP$1</f>
        <v>6243362.2983758692</v>
      </c>
      <c r="DA60" s="20">
        <f>+MOP_Mes_Corriente!DA61*MOP_Mes_Constante!$CP$1</f>
        <v>6108367.8925754046</v>
      </c>
      <c r="DB60" s="20">
        <f t="shared" ref="DB60:DB65" si="83">DA60</f>
        <v>6108367.8925754046</v>
      </c>
      <c r="DC60" s="20">
        <f>+MOP_Mes_Corriente!DC61*MOP_Mes_Constante!$DC$1</f>
        <v>335201.49758255342</v>
      </c>
      <c r="DD60" s="20">
        <f>+MOP_Mes_Corriente!DD61*MOP_Mes_Constante!$DC$1</f>
        <v>335201.49758255342</v>
      </c>
      <c r="DE60" s="20">
        <f>+MOP_Mes_Corriente!DE61*MOP_Mes_Constante!$DC$1</f>
        <v>335201.49758255342</v>
      </c>
      <c r="DF60" s="20">
        <f>+MOP_Mes_Corriente!DF61*MOP_Mes_Constante!$DC$1</f>
        <v>335201.49758255342</v>
      </c>
      <c r="DG60" s="20">
        <f>+MOP_Mes_Corriente!DG61*MOP_Mes_Constante!$DC$1</f>
        <v>2130163.1270445436</v>
      </c>
      <c r="DH60" s="20">
        <f>+MOP_Mes_Corriente!DH61*MOP_Mes_Constante!$DC$1</f>
        <v>2130163.1270445436</v>
      </c>
      <c r="DI60" s="20">
        <f>+MOP_Mes_Corriente!DI61*MOP_Mes_Constante!$DC$1</f>
        <v>2130163.1270445436</v>
      </c>
      <c r="DJ60" s="20">
        <f>+MOP_Mes_Corriente!DJ61*MOP_Mes_Constante!$DC$1</f>
        <v>2130163.1270445436</v>
      </c>
      <c r="DK60" s="20">
        <f>+MOP_Mes_Corriente!DK61*MOP_Mes_Constante!$DC$1</f>
        <v>13368225.692212742</v>
      </c>
      <c r="DL60" s="20">
        <f>+MOP_Mes_Corriente!DL61*MOP_Mes_Constante!$DC$1</f>
        <v>13368225.692212742</v>
      </c>
      <c r="DM60" s="20">
        <f>+MOP_Mes_Corriente!DM61*MOP_Mes_Constante!$DC$1</f>
        <v>13368225.692212742</v>
      </c>
      <c r="DN60" s="20">
        <f>+MOP_Mes_Corriente!DN61*MOP_Mes_Constante!$DC$1</f>
        <v>9517847.5438740924</v>
      </c>
      <c r="DO60" s="20">
        <f t="shared" ref="DO60:DO65" si="84">DN60</f>
        <v>9517847.5438740924</v>
      </c>
      <c r="DP60" s="20">
        <f>+MOP_Mes_Corriente!DP61*MOP_Mes_Constante!$DP$1</f>
        <v>23886511.168646082</v>
      </c>
      <c r="DQ60" s="20">
        <f>+MOP_Mes_Corriente!DQ61*MOP_Mes_Constante!$DP$1</f>
        <v>23886511.168646082</v>
      </c>
      <c r="DR60" s="20">
        <f>+MOP_Mes_Corriente!DR61*MOP_Mes_Constante!$DP$1</f>
        <v>23886511.168646082</v>
      </c>
      <c r="DS60" s="20">
        <f>+MOP_Mes_Corriente!DS61*MOP_Mes_Constante!$DP$1</f>
        <v>45468373.820665084</v>
      </c>
      <c r="DT60" s="20">
        <f>+MOP_Mes_Corriente!DT61*MOP_Mes_Constante!$DP$1</f>
        <v>45721270.061757721</v>
      </c>
      <c r="DU60" s="20">
        <f>+MOP_Mes_Corriente!DU61*MOP_Mes_Constante!$DP$1</f>
        <v>45721270.061757721</v>
      </c>
      <c r="DV60" s="20">
        <f>+MOP_Mes_Corriente!DV61*MOP_Mes_Constante!$DP$1</f>
        <v>45721270.061757721</v>
      </c>
      <c r="DW60" s="20">
        <f>+MOP_Mes_Corriente!DW61*MOP_Mes_Constante!$DP$1</f>
        <v>45721270.061757721</v>
      </c>
      <c r="DX60" s="20">
        <f>+MOP_Mes_Corriente!DX61*MOP_Mes_Constante!$DP$1</f>
        <v>48334729.467933498</v>
      </c>
      <c r="DY60" s="20">
        <f>+MOP_Mes_Corriente!DY61*MOP_Mes_Constante!$DP$1</f>
        <v>48334729.467933498</v>
      </c>
      <c r="DZ60" s="20">
        <f>+MOP_Mes_Corriente!DZ61*MOP_Mes_Constante!$DP$1</f>
        <v>48334729.467933498</v>
      </c>
      <c r="EA60" s="20">
        <f>+MOP_Mes_Corriente!EA61*MOP_Mes_Constante!$DP$1</f>
        <v>7822503.4382422809</v>
      </c>
      <c r="EB60" s="20">
        <f t="shared" ref="EB60:EB65" si="85">EA60</f>
        <v>7822503.4382422809</v>
      </c>
      <c r="EC60" s="20">
        <f>+MOP_Mes_Corriente!EC61*MOP_Mes_Constante!$EC$1</f>
        <v>1175006.3705737547</v>
      </c>
      <c r="ED60" s="20">
        <f>+MOP_Mes_Corriente!ED61*MOP_Mes_Constante!$EC$1</f>
        <v>1175006.3705737547</v>
      </c>
      <c r="EE60" s="20">
        <f>+MOP_Mes_Corriente!EE61*MOP_Mes_Constante!$EC$1</f>
        <v>1175006.3705737547</v>
      </c>
      <c r="EF60" s="20">
        <f>+MOP_Mes_Corriente!EF61*MOP_Mes_Constante!$EC$1</f>
        <v>1175006.3705737547</v>
      </c>
      <c r="EG60" s="20">
        <f>+MOP_Mes_Corriente!EG61*MOP_Mes_Constante!$EC$1</f>
        <v>1175006.3705737547</v>
      </c>
      <c r="EH60" s="20">
        <f>+MOP_Mes_Corriente!EH61*MOP_Mes_Constante!$EC$1</f>
        <v>1175006.3705737547</v>
      </c>
      <c r="EI60" s="20">
        <f>+MOP_Mes_Corriente!EI61*MOP_Mes_Constante!$EC$1</f>
        <v>1175006.3705737547</v>
      </c>
      <c r="EJ60" s="20">
        <f>+MOP_Mes_Corriente!EJ61*MOP_Mes_Constante!$EC$1</f>
        <v>1175006.3705737547</v>
      </c>
      <c r="EK60" s="20">
        <f>+MOP_Mes_Corriente!EK61*MOP_Mes_Constante!$EC$1</f>
        <v>1175006.3705737547</v>
      </c>
      <c r="EL60" s="20">
        <f>+MOP_Mes_Corriente!EL61*MOP_Mes_Constante!$EC$1</f>
        <v>1175006.3705737547</v>
      </c>
      <c r="EM60" s="20">
        <f>+MOP_Mes_Corriente!EM61*MOP_Mes_Constante!$EC$1</f>
        <v>1175006.3705737547</v>
      </c>
      <c r="EN60" s="20">
        <f>+MOP_Mes_Corriente!EN61*MOP_Mes_Constante!$EC$1</f>
        <v>1175006.3705737547</v>
      </c>
      <c r="EO60" s="20">
        <f t="shared" ref="EO60:EO65" si="86">EN60</f>
        <v>1175006.3705737547</v>
      </c>
      <c r="EP60" s="20">
        <f>+MOP_Mes_Corriente!EP61*MOP_Mes_Constante!$EP$1</f>
        <v>6213840</v>
      </c>
      <c r="EQ60" s="20">
        <f>+MOP_Mes_Corriente!EQ61*MOP_Mes_Constante!$EP$1</f>
        <v>6213840</v>
      </c>
      <c r="ER60" s="20">
        <f>+MOP_Mes_Corriente!ER61*MOP_Mes_Constante!$EP$1</f>
        <v>6213840</v>
      </c>
      <c r="ES60" s="20">
        <f>+MOP_Mes_Corriente!ES61*MOP_Mes_Constante!$EP$1</f>
        <v>6347840</v>
      </c>
      <c r="ET60" s="20">
        <f>+MOP_Mes_Corriente!ET61*MOP_Mes_Constante!$EP$1</f>
        <v>6347840</v>
      </c>
      <c r="EU60" s="20">
        <f>+MOP_Mes_Corriente!EU61*MOP_Mes_Constante!$EP$1</f>
        <v>6347840</v>
      </c>
      <c r="EV60" s="20">
        <f>+MOP_Mes_Corriente!EV61*MOP_Mes_Constante!$EP$1</f>
        <v>6347840</v>
      </c>
      <c r="EW60" s="20">
        <f>+MOP_Mes_Corriente!EW61*MOP_Mes_Constante!$EP$1</f>
        <v>6347840</v>
      </c>
      <c r="EX60" s="20">
        <f>+MOP_Mes_Corriente!EX61*MOP_Mes_Constante!$EP$1</f>
        <v>4559840</v>
      </c>
      <c r="EY60" s="20">
        <f>+MOP_Mes_Corriente!EY61*MOP_Mes_Constante!$EP$1</f>
        <v>4559840</v>
      </c>
      <c r="EZ60" s="20">
        <f>+MOP_Mes_Corriente!EZ61*MOP_Mes_Constante!$EP$1</f>
        <v>4559840</v>
      </c>
      <c r="FA60" s="20">
        <f>+MOP_Mes_Corriente!FA61*MOP_Mes_Constante!$EP$1</f>
        <v>2245535</v>
      </c>
      <c r="FB60" s="20">
        <f t="shared" ref="FB60:FB65" si="87">FA60</f>
        <v>2245535</v>
      </c>
      <c r="FC60" s="20">
        <f>+MOP_Mes_Corriente!FC61*MOP_Mes_Constante!$FC$1</f>
        <v>1062955</v>
      </c>
      <c r="FD60" s="20">
        <f>+MOP_Mes_Corriente!FD61*MOP_Mes_Constante!$FC$1</f>
        <v>1062955</v>
      </c>
      <c r="FE60" s="20">
        <f>+MOP_Mes_Corriente!FE61*MOP_Mes_Constante!$FC$1</f>
        <v>1582955</v>
      </c>
      <c r="FF60" s="20">
        <f>+MOP_Mes_Corriente!FF61*MOP_Mes_Constante!$FC$1</f>
        <v>1582955</v>
      </c>
      <c r="FG60" s="20">
        <f>+MOP_Mes_Corriente!FG61*MOP_Mes_Constante!$FC$1</f>
        <v>1551066</v>
      </c>
      <c r="FH60" s="20">
        <f>+MOP_Mes_Corriente!FH61*MOP_Mes_Constante!$FC$1</f>
        <v>1551066</v>
      </c>
      <c r="FI60" s="20">
        <f>+MOP_Mes_Corriente!FI61*MOP_Mes_Constante!$FC$1</f>
        <v>1551066</v>
      </c>
      <c r="FJ60" s="10"/>
      <c r="FK60" s="10"/>
      <c r="FL60" s="10"/>
      <c r="FM60" s="10"/>
      <c r="FN60" s="10"/>
      <c r="FO60" s="20">
        <f t="shared" ref="FO60:FO65" si="88">FI60</f>
        <v>1551066</v>
      </c>
    </row>
    <row r="61" spans="1:171" ht="27.75" customHeight="1">
      <c r="A61" s="10"/>
      <c r="B61" s="19" t="s">
        <v>44</v>
      </c>
      <c r="C61" s="20">
        <f>+MOP_Mes_Corriente!C62*MOP_Mes_Constante!$C$1</f>
        <v>618567.47738395387</v>
      </c>
      <c r="D61" s="20">
        <f>+MOP_Mes_Corriente!D62*MOP_Mes_Constante!$C$1</f>
        <v>618567.47738395387</v>
      </c>
      <c r="E61" s="20">
        <f>+MOP_Mes_Corriente!E62*MOP_Mes_Constante!$C$1</f>
        <v>618567.47738395387</v>
      </c>
      <c r="F61" s="20">
        <f>+MOP_Mes_Corriente!F62*MOP_Mes_Constante!$C$1</f>
        <v>618567.47738395387</v>
      </c>
      <c r="G61" s="20">
        <f>+MOP_Mes_Corriente!G62*MOP_Mes_Constante!$C$1</f>
        <v>618567.47738395387</v>
      </c>
      <c r="H61" s="20">
        <f>+MOP_Mes_Corriente!H62*MOP_Mes_Constante!$C$1</f>
        <v>618567.47738395387</v>
      </c>
      <c r="I61" s="20">
        <f>+MOP_Mes_Corriente!I62*MOP_Mes_Constante!$C$1</f>
        <v>618567.47738395387</v>
      </c>
      <c r="J61" s="20">
        <f>+MOP_Mes_Corriente!J62*MOP_Mes_Constante!$C$1</f>
        <v>618567.47738395387</v>
      </c>
      <c r="K61" s="20">
        <f>+MOP_Mes_Corriente!K62*MOP_Mes_Constante!$C$1</f>
        <v>618567.47738395387</v>
      </c>
      <c r="L61" s="20">
        <f>+MOP_Mes_Corriente!L62*MOP_Mes_Constante!$C$1</f>
        <v>618567.47738395387</v>
      </c>
      <c r="M61" s="20">
        <f>+MOP_Mes_Corriente!M62*MOP_Mes_Constante!$C$1</f>
        <v>618567.47738395387</v>
      </c>
      <c r="N61" s="20">
        <f>+MOP_Mes_Corriente!N62*MOP_Mes_Constante!$C$1</f>
        <v>618567.47738395387</v>
      </c>
      <c r="O61" s="20">
        <f t="shared" si="76"/>
        <v>618567.47738395387</v>
      </c>
      <c r="P61" s="20">
        <f>+MOP_Mes_Corriente!P62*MOP_Mes_Constante!$P$1</f>
        <v>562334.32021593954</v>
      </c>
      <c r="Q61" s="20">
        <f>+MOP_Mes_Corriente!Q62*MOP_Mes_Constante!$P$1</f>
        <v>562334.32021593954</v>
      </c>
      <c r="R61" s="20">
        <f>+MOP_Mes_Corriente!R62*MOP_Mes_Constante!$P$1</f>
        <v>562334.32021593954</v>
      </c>
      <c r="S61" s="20">
        <f>+MOP_Mes_Corriente!S62*MOP_Mes_Constante!$P$1</f>
        <v>562334.32021593954</v>
      </c>
      <c r="T61" s="20">
        <f>+MOP_Mes_Corriente!T62*MOP_Mes_Constante!$P$1</f>
        <v>562334.32021593954</v>
      </c>
      <c r="U61" s="20">
        <f>+MOP_Mes_Corriente!U62*MOP_Mes_Constante!$P$1</f>
        <v>562334.32021593954</v>
      </c>
      <c r="V61" s="20">
        <f>+MOP_Mes_Corriente!V62*MOP_Mes_Constante!$P$1</f>
        <v>562334.32021593954</v>
      </c>
      <c r="W61" s="20">
        <f>+MOP_Mes_Corriente!W62*MOP_Mes_Constante!$P$1</f>
        <v>562334.32021593954</v>
      </c>
      <c r="X61" s="20">
        <f>+MOP_Mes_Corriente!X62*MOP_Mes_Constante!$P$1</f>
        <v>562334.32021593954</v>
      </c>
      <c r="Y61" s="20">
        <f>+MOP_Mes_Corriente!Y62*MOP_Mes_Constante!$P$1</f>
        <v>562334.32021593954</v>
      </c>
      <c r="Z61" s="20">
        <f>+MOP_Mes_Corriente!Z62*MOP_Mes_Constante!$P$1</f>
        <v>562334.32021593954</v>
      </c>
      <c r="AA61" s="20">
        <f>+MOP_Mes_Corriente!AA62*MOP_Mes_Constante!$P$1</f>
        <v>562334.32021593954</v>
      </c>
      <c r="AB61" s="20">
        <f t="shared" si="77"/>
        <v>562334.32021593954</v>
      </c>
      <c r="AC61" s="20">
        <f>+MOP_Mes_Corriente!AC62*MOP_Mes_Constante!$AC$1</f>
        <v>494446.46451791393</v>
      </c>
      <c r="AD61" s="20">
        <f>+MOP_Mes_Corriente!AD62*MOP_Mes_Constante!$AC$1</f>
        <v>494446.46451791393</v>
      </c>
      <c r="AE61" s="20">
        <f>+MOP_Mes_Corriente!AE62*MOP_Mes_Constante!$AC$1</f>
        <v>494446.46451791393</v>
      </c>
      <c r="AF61" s="20">
        <f>+MOP_Mes_Corriente!AF62*MOP_Mes_Constante!$AC$1</f>
        <v>390159.01120486925</v>
      </c>
      <c r="AG61" s="20">
        <f>+MOP_Mes_Corriente!AG62*MOP_Mes_Constante!$AC$1</f>
        <v>390159.01120486925</v>
      </c>
      <c r="AH61" s="20">
        <f>+MOP_Mes_Corriente!AH62*MOP_Mes_Constante!$AC$1</f>
        <v>390159.01120486925</v>
      </c>
      <c r="AI61" s="20">
        <f>+MOP_Mes_Corriente!AI62*MOP_Mes_Constante!$AC$1</f>
        <v>390159.01120486925</v>
      </c>
      <c r="AJ61" s="20">
        <f>+MOP_Mes_Corriente!AJ62*MOP_Mes_Constante!$AC$1</f>
        <v>390159.01120486925</v>
      </c>
      <c r="AK61" s="20">
        <f>+MOP_Mes_Corriente!AK62*MOP_Mes_Constante!$AC$1</f>
        <v>390159.01120486925</v>
      </c>
      <c r="AL61" s="20">
        <f>+MOP_Mes_Corriente!AL62*MOP_Mes_Constante!$AC$1</f>
        <v>390159.01120486925</v>
      </c>
      <c r="AM61" s="20">
        <f>+MOP_Mes_Corriente!AM62*MOP_Mes_Constante!$AC$1</f>
        <v>390159.01120486925</v>
      </c>
      <c r="AN61" s="20">
        <f>+MOP_Mes_Corriente!AN62*MOP_Mes_Constante!$AC$1</f>
        <v>390159.01120486925</v>
      </c>
      <c r="AO61" s="20">
        <f t="shared" si="78"/>
        <v>390159.01120486925</v>
      </c>
      <c r="AP61" s="20">
        <f>+MOP_Mes_Corriente!AP62*MOP_Mes_Constante!$AP$1</f>
        <v>258074.10036521032</v>
      </c>
      <c r="AQ61" s="20">
        <f>+MOP_Mes_Corriente!AQ62*MOP_Mes_Constante!$AP$1</f>
        <v>258074.10036521032</v>
      </c>
      <c r="AR61" s="20">
        <f>+MOP_Mes_Corriente!AR62*MOP_Mes_Constante!$AP$1</f>
        <v>258074.10036521032</v>
      </c>
      <c r="AS61" s="20">
        <f>+MOP_Mes_Corriente!AS62*MOP_Mes_Constante!$AP$1</f>
        <v>258074.10036521032</v>
      </c>
      <c r="AT61" s="20">
        <f>+MOP_Mes_Corriente!AT62*MOP_Mes_Constante!$AP$1</f>
        <v>258074.10036521032</v>
      </c>
      <c r="AU61" s="20">
        <f>+MOP_Mes_Corriente!AU62*MOP_Mes_Constante!$AP$1</f>
        <v>258074.10036521032</v>
      </c>
      <c r="AV61" s="20">
        <f>+MOP_Mes_Corriente!AV62*MOP_Mes_Constante!$AP$1</f>
        <v>258074.10036521032</v>
      </c>
      <c r="AW61" s="20">
        <f>+MOP_Mes_Corriente!AW62*MOP_Mes_Constante!$AP$1</f>
        <v>770900.01677262271</v>
      </c>
      <c r="AX61" s="20">
        <f>+MOP_Mes_Corriente!AX62*MOP_Mes_Constante!$AP$1</f>
        <v>770900.01677262271</v>
      </c>
      <c r="AY61" s="20">
        <f>+MOP_Mes_Corriente!AY62*MOP_Mes_Constante!$AP$1</f>
        <v>770900.01677262271</v>
      </c>
      <c r="AZ61" s="20">
        <f>+MOP_Mes_Corriente!AZ62*MOP_Mes_Constante!$AP$1</f>
        <v>770900.01677262271</v>
      </c>
      <c r="BA61" s="20">
        <f>+MOP_Mes_Corriente!BA62*MOP_Mes_Constante!$AP$1</f>
        <v>807847.12890572159</v>
      </c>
      <c r="BB61" s="20">
        <f t="shared" si="79"/>
        <v>807847.12890572159</v>
      </c>
      <c r="BC61" s="20">
        <f>+MOP_Mes_Corriente!BC62*MOP_Mes_Constante!$BC$1</f>
        <v>201023.70328366087</v>
      </c>
      <c r="BD61" s="20">
        <f>+MOP_Mes_Corriente!BD62*MOP_Mes_Constante!$BC$1</f>
        <v>201023.70328366087</v>
      </c>
      <c r="BE61" s="20">
        <f>+MOP_Mes_Corriente!BE62*MOP_Mes_Constante!$BC$1</f>
        <v>201023.70328366087</v>
      </c>
      <c r="BF61" s="20">
        <f>+MOP_Mes_Corriente!BF62*MOP_Mes_Constante!$BC$1</f>
        <v>201023.70328366087</v>
      </c>
      <c r="BG61" s="20">
        <f>+MOP_Mes_Corriente!BG62*MOP_Mes_Constante!$BC$1</f>
        <v>201023.70328366087</v>
      </c>
      <c r="BH61" s="20">
        <f>+MOP_Mes_Corriente!BH62*MOP_Mes_Constante!$BC$1</f>
        <v>201023.70328366087</v>
      </c>
      <c r="BI61" s="20">
        <f>+MOP_Mes_Corriente!BI62*MOP_Mes_Constante!$BC$1</f>
        <v>188792.28906765138</v>
      </c>
      <c r="BJ61" s="20">
        <f>+MOP_Mes_Corriente!BJ62*MOP_Mes_Constante!$BC$1</f>
        <v>198895.56112356592</v>
      </c>
      <c r="BK61" s="20">
        <f>+MOP_Mes_Corriente!BK62*MOP_Mes_Constante!$BC$1</f>
        <v>198895.56112356592</v>
      </c>
      <c r="BL61" s="20">
        <f>+MOP_Mes_Corriente!BL62*MOP_Mes_Constante!$BC$1</f>
        <v>198895.56112356592</v>
      </c>
      <c r="BM61" s="20">
        <f>+MOP_Mes_Corriente!BM62*MOP_Mes_Constante!$BC$1</f>
        <v>198895.56112356592</v>
      </c>
      <c r="BN61" s="20">
        <f>+MOP_Mes_Corriente!BN62*MOP_Mes_Constante!$BC$1</f>
        <v>4656010.5100883571</v>
      </c>
      <c r="BO61" s="20">
        <f t="shared" si="80"/>
        <v>4656010.5100883571</v>
      </c>
      <c r="BP61" s="20">
        <f>+MOP_Mes_Corriente!BP62*MOP_Mes_Constante!$BP$1</f>
        <v>161532.72599231757</v>
      </c>
      <c r="BQ61" s="20">
        <f>+MOP_Mes_Corriente!BQ62*MOP_Mes_Constante!$BP$1</f>
        <v>161532.72599231757</v>
      </c>
      <c r="BR61" s="20">
        <f>+MOP_Mes_Corriente!BR62*MOP_Mes_Constante!$BP$1</f>
        <v>161532.72599231757</v>
      </c>
      <c r="BS61" s="20">
        <f>+MOP_Mes_Corriente!BS62*MOP_Mes_Constante!$BP$1</f>
        <v>161532.72599231757</v>
      </c>
      <c r="BT61" s="20">
        <f>+MOP_Mes_Corriente!BT62*MOP_Mes_Constante!$BP$1</f>
        <v>161532.72599231757</v>
      </c>
      <c r="BU61" s="20">
        <f>+MOP_Mes_Corriente!BU62*MOP_Mes_Constante!$BP$1</f>
        <v>161532.72599231757</v>
      </c>
      <c r="BV61" s="20">
        <f>+MOP_Mes_Corriente!BV62*MOP_Mes_Constante!$BP$1</f>
        <v>161532.72599231757</v>
      </c>
      <c r="BW61" s="20">
        <f>+MOP_Mes_Corriente!BW62*MOP_Mes_Constante!$BP$1</f>
        <v>226962.81818181821</v>
      </c>
      <c r="BX61" s="20">
        <f>+MOP_Mes_Corriente!BX62*MOP_Mes_Constante!$BP$1</f>
        <v>226962.81818181821</v>
      </c>
      <c r="BY61" s="20">
        <f>+MOP_Mes_Corriente!BY62*MOP_Mes_Constante!$BP$1</f>
        <v>226962.81818181821</v>
      </c>
      <c r="BZ61" s="20">
        <f>+MOP_Mes_Corriente!BZ62*MOP_Mes_Constante!$BP$1</f>
        <v>226962.81818181821</v>
      </c>
      <c r="CA61" s="20">
        <f>+MOP_Mes_Corriente!CA62*MOP_Mes_Constante!$BP$1</f>
        <v>1055257.1423815622</v>
      </c>
      <c r="CB61" s="20">
        <f t="shared" si="81"/>
        <v>1055257.1423815622</v>
      </c>
      <c r="CC61" s="20">
        <f>+MOP_Mes_Corriente!CC62*MOP_Mes_Constante!$CC$1</f>
        <v>255915.36590824323</v>
      </c>
      <c r="CD61" s="20">
        <f>+MOP_Mes_Corriente!CD62*MOP_Mes_Constante!$CC$1</f>
        <v>255915.36590824323</v>
      </c>
      <c r="CE61" s="20">
        <f>+MOP_Mes_Corriente!CE62*MOP_Mes_Constante!$CC$1</f>
        <v>255915.36590824323</v>
      </c>
      <c r="CF61" s="20">
        <f>+MOP_Mes_Corriente!CF62*MOP_Mes_Constante!$CC$1</f>
        <v>235959.75979112275</v>
      </c>
      <c r="CG61" s="20">
        <f>+MOP_Mes_Corriente!CG62*MOP_Mes_Constante!$CC$1</f>
        <v>128475.25177172698</v>
      </c>
      <c r="CH61" s="20">
        <f>+MOP_Mes_Corriente!CH62*MOP_Mes_Constante!$CC$1</f>
        <v>128475.25177172698</v>
      </c>
      <c r="CI61" s="20">
        <f>+MOP_Mes_Corriente!CI62*MOP_Mes_Constante!$CC$1</f>
        <v>128475.25177172698</v>
      </c>
      <c r="CJ61" s="20">
        <f>+MOP_Mes_Corriente!CJ62*MOP_Mes_Constante!$CC$1</f>
        <v>128475.25177172698</v>
      </c>
      <c r="CK61" s="20">
        <f>+MOP_Mes_Corriente!CK62*MOP_Mes_Constante!$CC$1</f>
        <v>128475.25177172698</v>
      </c>
      <c r="CL61" s="20">
        <f>+MOP_Mes_Corriente!CL62*MOP_Mes_Constante!$CC$1</f>
        <v>125079.13092129804</v>
      </c>
      <c r="CM61" s="20">
        <f>+MOP_Mes_Corriente!CM62*MOP_Mes_Constante!$CC$1</f>
        <v>125079.13092129804</v>
      </c>
      <c r="CN61" s="20">
        <f>+MOP_Mes_Corriente!CN62*MOP_Mes_Constante!$CC$1</f>
        <v>152169.30772099964</v>
      </c>
      <c r="CO61" s="20">
        <f t="shared" si="82"/>
        <v>152169.30772099964</v>
      </c>
      <c r="CP61" s="20">
        <f>+MOP_Mes_Corriente!CP62*MOP_Mes_Constante!$CP$1</f>
        <v>163331.02482598604</v>
      </c>
      <c r="CQ61" s="20">
        <f>+MOP_Mes_Corriente!CQ62*MOP_Mes_Constante!$CP$1</f>
        <v>163331.02482598604</v>
      </c>
      <c r="CR61" s="20">
        <f>+MOP_Mes_Corriente!CR62*MOP_Mes_Constante!$CP$1</f>
        <v>163331.02482598604</v>
      </c>
      <c r="CS61" s="20">
        <f>+MOP_Mes_Corriente!CS62*MOP_Mes_Constante!$CP$1</f>
        <v>163331.02482598604</v>
      </c>
      <c r="CT61" s="20">
        <f>+MOP_Mes_Corriente!CT62*MOP_Mes_Constante!$CP$1</f>
        <v>163331.02482598604</v>
      </c>
      <c r="CU61" s="20">
        <f>+MOP_Mes_Corriente!CU62*MOP_Mes_Constante!$CP$1</f>
        <v>163331.02482598604</v>
      </c>
      <c r="CV61" s="20">
        <f>+MOP_Mes_Corriente!CV62*MOP_Mes_Constante!$CP$1</f>
        <v>163331.02482598604</v>
      </c>
      <c r="CW61" s="20">
        <f>+MOP_Mes_Corriente!CW62*MOP_Mes_Constante!$CP$1</f>
        <v>163331.02482598604</v>
      </c>
      <c r="CX61" s="20">
        <f>+MOP_Mes_Corriente!CX62*MOP_Mes_Constante!$CP$1</f>
        <v>163331.02482598604</v>
      </c>
      <c r="CY61" s="20">
        <f>+MOP_Mes_Corriente!CY62*MOP_Mes_Constante!$CP$1</f>
        <v>163331.02482598604</v>
      </c>
      <c r="CZ61" s="20">
        <f>+MOP_Mes_Corriente!CZ62*MOP_Mes_Constante!$CP$1</f>
        <v>163331.02482598604</v>
      </c>
      <c r="DA61" s="20">
        <f>+MOP_Mes_Corriente!DA62*MOP_Mes_Constante!$CP$1</f>
        <v>898275.63967517379</v>
      </c>
      <c r="DB61" s="20">
        <f t="shared" si="83"/>
        <v>898275.63967517379</v>
      </c>
      <c r="DC61" s="20">
        <f>+MOP_Mes_Corriente!DC62*MOP_Mes_Constante!$DC$1</f>
        <v>146521.47021911334</v>
      </c>
      <c r="DD61" s="20">
        <f>+MOP_Mes_Corriente!DD62*MOP_Mes_Constante!$DC$1</f>
        <v>146521.47021911334</v>
      </c>
      <c r="DE61" s="20">
        <f>+MOP_Mes_Corriente!DE62*MOP_Mes_Constante!$DC$1</f>
        <v>146521.47021911334</v>
      </c>
      <c r="DF61" s="20">
        <f>+MOP_Mes_Corriente!DF62*MOP_Mes_Constante!$DC$1</f>
        <v>146521.47021911334</v>
      </c>
      <c r="DG61" s="20">
        <f>+MOP_Mes_Corriente!DG62*MOP_Mes_Constante!$DC$1</f>
        <v>146521.47021911334</v>
      </c>
      <c r="DH61" s="20">
        <f>+MOP_Mes_Corriente!DH62*MOP_Mes_Constante!$DC$1</f>
        <v>146521.47021911334</v>
      </c>
      <c r="DI61" s="20">
        <f>+MOP_Mes_Corriente!DI62*MOP_Mes_Constante!$DC$1</f>
        <v>146521.47021911334</v>
      </c>
      <c r="DJ61" s="20">
        <f>+MOP_Mes_Corriente!DJ62*MOP_Mes_Constante!$DC$1</f>
        <v>146521.47021911334</v>
      </c>
      <c r="DK61" s="20">
        <f>+MOP_Mes_Corriente!DK62*MOP_Mes_Constante!$DC$1</f>
        <v>1139567.9753111824</v>
      </c>
      <c r="DL61" s="20">
        <f>+MOP_Mes_Corriente!DL62*MOP_Mes_Constante!$DC$1</f>
        <v>1139567.9753111824</v>
      </c>
      <c r="DM61" s="20">
        <f>+MOP_Mes_Corriente!DM62*MOP_Mes_Constante!$DC$1</f>
        <v>1341303.9039193506</v>
      </c>
      <c r="DN61" s="20">
        <f>+MOP_Mes_Corriente!DN62*MOP_Mes_Constante!$DC$1</f>
        <v>1341303.9039193506</v>
      </c>
      <c r="DO61" s="20">
        <f t="shared" si="84"/>
        <v>1341303.9039193506</v>
      </c>
      <c r="DP61" s="20">
        <f>+MOP_Mes_Corriente!DP62*MOP_Mes_Constante!$DP$1</f>
        <v>699728.9821852732</v>
      </c>
      <c r="DQ61" s="20">
        <f>+MOP_Mes_Corriente!DQ62*MOP_Mes_Constante!$DP$1</f>
        <v>699728.9821852732</v>
      </c>
      <c r="DR61" s="20">
        <f>+MOP_Mes_Corriente!DR62*MOP_Mes_Constante!$DP$1</f>
        <v>699728.9821852732</v>
      </c>
      <c r="DS61" s="20">
        <f>+MOP_Mes_Corriente!DS62*MOP_Mes_Constante!$DP$1</f>
        <v>699728.9821852732</v>
      </c>
      <c r="DT61" s="20">
        <f>+MOP_Mes_Corriente!DT62*MOP_Mes_Constante!$DP$1</f>
        <v>699728.9821852732</v>
      </c>
      <c r="DU61" s="20">
        <f>+MOP_Mes_Corriente!DU62*MOP_Mes_Constante!$DP$1</f>
        <v>699728.9821852732</v>
      </c>
      <c r="DV61" s="20">
        <f>+MOP_Mes_Corriente!DV62*MOP_Mes_Constante!$DP$1</f>
        <v>699728.9821852732</v>
      </c>
      <c r="DW61" s="20">
        <f>+MOP_Mes_Corriente!DW62*MOP_Mes_Constante!$DP$1</f>
        <v>699728.9821852732</v>
      </c>
      <c r="DX61" s="20">
        <f>+MOP_Mes_Corriente!DX62*MOP_Mes_Constante!$DP$1</f>
        <v>699728.9821852732</v>
      </c>
      <c r="DY61" s="20">
        <f>+MOP_Mes_Corriente!DY62*MOP_Mes_Constante!$DP$1</f>
        <v>699728.9821852732</v>
      </c>
      <c r="DZ61" s="20">
        <f>+MOP_Mes_Corriente!DZ62*MOP_Mes_Constante!$DP$1</f>
        <v>699728.9821852732</v>
      </c>
      <c r="EA61" s="20">
        <f>+MOP_Mes_Corriente!EA62*MOP_Mes_Constante!$DP$1</f>
        <v>699728.9821852732</v>
      </c>
      <c r="EB61" s="20">
        <f t="shared" si="85"/>
        <v>699728.9821852732</v>
      </c>
      <c r="EC61" s="20">
        <f>+MOP_Mes_Corriente!EC62*MOP_Mes_Constante!$EC$1</f>
        <v>886043.56655936351</v>
      </c>
      <c r="ED61" s="20">
        <f>+MOP_Mes_Corriente!ED62*MOP_Mes_Constante!$EC$1</f>
        <v>886043.56655936351</v>
      </c>
      <c r="EE61" s="20">
        <f>+MOP_Mes_Corriente!EE62*MOP_Mes_Constante!$EC$1</f>
        <v>886043.56655936351</v>
      </c>
      <c r="EF61" s="20">
        <f>+MOP_Mes_Corriente!EF62*MOP_Mes_Constante!$EC$1</f>
        <v>886043.56655936351</v>
      </c>
      <c r="EG61" s="20">
        <f>+MOP_Mes_Corriente!EG62*MOP_Mes_Constante!$EC$1</f>
        <v>945112.44802120782</v>
      </c>
      <c r="EH61" s="20">
        <f>+MOP_Mes_Corriente!EH62*MOP_Mes_Constante!$EC$1</f>
        <v>945112.44802120782</v>
      </c>
      <c r="EI61" s="20">
        <f>+MOP_Mes_Corriente!EI62*MOP_Mes_Constante!$EC$1</f>
        <v>945112.44802120782</v>
      </c>
      <c r="EJ61" s="20">
        <f>+MOP_Mes_Corriente!EJ62*MOP_Mes_Constante!$EC$1</f>
        <v>945112.44802120782</v>
      </c>
      <c r="EK61" s="20">
        <f>+MOP_Mes_Corriente!EK62*MOP_Mes_Constante!$EC$1</f>
        <v>945112.44802120782</v>
      </c>
      <c r="EL61" s="20">
        <f>+MOP_Mes_Corriente!EL62*MOP_Mes_Constante!$EC$1</f>
        <v>945112.44802120782</v>
      </c>
      <c r="EM61" s="20">
        <f>+MOP_Mes_Corriente!EM62*MOP_Mes_Constante!$EC$1</f>
        <v>945112.44802120782</v>
      </c>
      <c r="EN61" s="20">
        <f>+MOP_Mes_Corriente!EN62*MOP_Mes_Constante!$EC$1</f>
        <v>945112.44802120782</v>
      </c>
      <c r="EO61" s="20">
        <f t="shared" si="86"/>
        <v>945112.44802120782</v>
      </c>
      <c r="EP61" s="20">
        <f>+MOP_Mes_Corriente!EP62*MOP_Mes_Constante!$EP$1</f>
        <v>1172171</v>
      </c>
      <c r="EQ61" s="20">
        <f>+MOP_Mes_Corriente!EQ62*MOP_Mes_Constante!$EP$1</f>
        <v>1172171</v>
      </c>
      <c r="ER61" s="20">
        <f>+MOP_Mes_Corriente!ER62*MOP_Mes_Constante!$EP$1</f>
        <v>1172171</v>
      </c>
      <c r="ES61" s="20">
        <f>+MOP_Mes_Corriente!ES62*MOP_Mes_Constante!$EP$1</f>
        <v>1172171</v>
      </c>
      <c r="ET61" s="20">
        <f>+MOP_Mes_Corriente!ET62*MOP_Mes_Constante!$EP$1</f>
        <v>1172171</v>
      </c>
      <c r="EU61" s="20">
        <f>+MOP_Mes_Corriente!EU62*MOP_Mes_Constante!$EP$1</f>
        <v>1172171</v>
      </c>
      <c r="EV61" s="20">
        <f>+MOP_Mes_Corriente!EV62*MOP_Mes_Constante!$EP$1</f>
        <v>1172171</v>
      </c>
      <c r="EW61" s="20">
        <f>+MOP_Mes_Corriente!EW62*MOP_Mes_Constante!$EP$1</f>
        <v>1172171</v>
      </c>
      <c r="EX61" s="20">
        <f>+MOP_Mes_Corriente!EX62*MOP_Mes_Constante!$EP$1</f>
        <v>1172171</v>
      </c>
      <c r="EY61" s="20">
        <f>+MOP_Mes_Corriente!EY62*MOP_Mes_Constante!$EP$1</f>
        <v>1172171</v>
      </c>
      <c r="EZ61" s="20">
        <f>+MOP_Mes_Corriente!EZ62*MOP_Mes_Constante!$EP$1</f>
        <v>1172171</v>
      </c>
      <c r="FA61" s="20">
        <f>+MOP_Mes_Corriente!FA62*MOP_Mes_Constante!$EP$1</f>
        <v>992552</v>
      </c>
      <c r="FB61" s="20">
        <f t="shared" si="87"/>
        <v>992552</v>
      </c>
      <c r="FC61" s="20">
        <f>+MOP_Mes_Corriente!FC62*MOP_Mes_Constante!$FC$1</f>
        <v>651088</v>
      </c>
      <c r="FD61" s="20">
        <f>+MOP_Mes_Corriente!FD62*MOP_Mes_Constante!$FC$1</f>
        <v>651088</v>
      </c>
      <c r="FE61" s="20">
        <f>+MOP_Mes_Corriente!FE62*MOP_Mes_Constante!$FC$1</f>
        <v>651088</v>
      </c>
      <c r="FF61" s="20">
        <f>+MOP_Mes_Corriente!FF62*MOP_Mes_Constante!$FC$1</f>
        <v>651088</v>
      </c>
      <c r="FG61" s="20">
        <f>+MOP_Mes_Corriente!FG62*MOP_Mes_Constante!$FC$1</f>
        <v>517480</v>
      </c>
      <c r="FH61" s="20">
        <f>+MOP_Mes_Corriente!FH62*MOP_Mes_Constante!$FC$1</f>
        <v>517480</v>
      </c>
      <c r="FI61" s="20">
        <f>+MOP_Mes_Corriente!FI62*MOP_Mes_Constante!$FC$1</f>
        <v>517480</v>
      </c>
      <c r="FJ61" s="10"/>
      <c r="FK61" s="10"/>
      <c r="FL61" s="10"/>
      <c r="FM61" s="10"/>
      <c r="FN61" s="10"/>
      <c r="FO61" s="20">
        <f t="shared" si="88"/>
        <v>517480</v>
      </c>
    </row>
    <row r="62" spans="1:171" ht="27.75" customHeight="1">
      <c r="A62" s="10"/>
      <c r="B62" s="19" t="s">
        <v>45</v>
      </c>
      <c r="C62" s="20">
        <f>+MOP_Mes_Corriente!C63*MOP_Mes_Constante!$C$1</f>
        <v>64825.22349102774</v>
      </c>
      <c r="D62" s="20">
        <f>+MOP_Mes_Corriente!D63*MOP_Mes_Constante!$C$1</f>
        <v>64825.22349102774</v>
      </c>
      <c r="E62" s="20">
        <f>+MOP_Mes_Corriente!E63*MOP_Mes_Constante!$C$1</f>
        <v>64825.22349102774</v>
      </c>
      <c r="F62" s="20">
        <f>+MOP_Mes_Corriente!F63*MOP_Mes_Constante!$C$1</f>
        <v>64825.22349102774</v>
      </c>
      <c r="G62" s="20">
        <f>+MOP_Mes_Corriente!G63*MOP_Mes_Constante!$C$1</f>
        <v>64825.22349102774</v>
      </c>
      <c r="H62" s="20">
        <f>+MOP_Mes_Corriente!H63*MOP_Mes_Constante!$C$1</f>
        <v>64825.22349102774</v>
      </c>
      <c r="I62" s="20">
        <f>+MOP_Mes_Corriente!I63*MOP_Mes_Constante!$C$1</f>
        <v>64825.22349102774</v>
      </c>
      <c r="J62" s="20">
        <f>+MOP_Mes_Corriente!J63*MOP_Mes_Constante!$C$1</f>
        <v>64825.22349102774</v>
      </c>
      <c r="K62" s="20">
        <f>+MOP_Mes_Corriente!K63*MOP_Mes_Constante!$C$1</f>
        <v>64825.22349102774</v>
      </c>
      <c r="L62" s="20">
        <f>+MOP_Mes_Corriente!L63*MOP_Mes_Constante!$C$1</f>
        <v>64825.22349102774</v>
      </c>
      <c r="M62" s="20">
        <f>+MOP_Mes_Corriente!M63*MOP_Mes_Constante!$C$1</f>
        <v>64825.22349102774</v>
      </c>
      <c r="N62" s="20">
        <f>+MOP_Mes_Corriente!N63*MOP_Mes_Constante!$C$1</f>
        <v>64825.22349102774</v>
      </c>
      <c r="O62" s="20">
        <f t="shared" si="76"/>
        <v>64825.22349102774</v>
      </c>
      <c r="P62" s="20">
        <f>+MOP_Mes_Corriente!P63*MOP_Mes_Constante!$P$1</f>
        <v>121797.193067197</v>
      </c>
      <c r="Q62" s="20">
        <f>+MOP_Mes_Corriente!Q63*MOP_Mes_Constante!$P$1</f>
        <v>121797.193067197</v>
      </c>
      <c r="R62" s="20">
        <f>+MOP_Mes_Corriente!R63*MOP_Mes_Constante!$P$1</f>
        <v>121797.193067197</v>
      </c>
      <c r="S62" s="20">
        <f>+MOP_Mes_Corriente!S63*MOP_Mes_Constante!$P$1</f>
        <v>121797.193067197</v>
      </c>
      <c r="T62" s="20">
        <f>+MOP_Mes_Corriente!T63*MOP_Mes_Constante!$P$1</f>
        <v>121797.193067197</v>
      </c>
      <c r="U62" s="20">
        <f>+MOP_Mes_Corriente!U63*MOP_Mes_Constante!$P$1</f>
        <v>121797.193067197</v>
      </c>
      <c r="V62" s="20">
        <f>+MOP_Mes_Corriente!V63*MOP_Mes_Constante!$P$1</f>
        <v>121797.193067197</v>
      </c>
      <c r="W62" s="20">
        <f>+MOP_Mes_Corriente!W63*MOP_Mes_Constante!$P$1</f>
        <v>121797.193067197</v>
      </c>
      <c r="X62" s="20">
        <f>+MOP_Mes_Corriente!X63*MOP_Mes_Constante!$P$1</f>
        <v>121797.193067197</v>
      </c>
      <c r="Y62" s="20">
        <f>+MOP_Mes_Corriente!Y63*MOP_Mes_Constante!$P$1</f>
        <v>121797.193067197</v>
      </c>
      <c r="Z62" s="20">
        <f>+MOP_Mes_Corriente!Z63*MOP_Mes_Constante!$P$1</f>
        <v>121797.193067197</v>
      </c>
      <c r="AA62" s="20">
        <f>+MOP_Mes_Corriente!AA63*MOP_Mes_Constante!$P$1</f>
        <v>121797.193067197</v>
      </c>
      <c r="AB62" s="20">
        <f t="shared" si="77"/>
        <v>121797.193067197</v>
      </c>
      <c r="AC62" s="20">
        <f>+MOP_Mes_Corriente!AC63*MOP_Mes_Constante!$AC$1</f>
        <v>95138.87425646701</v>
      </c>
      <c r="AD62" s="20">
        <f>+MOP_Mes_Corriente!AD63*MOP_Mes_Constante!$AC$1</f>
        <v>95138.87425646701</v>
      </c>
      <c r="AE62" s="20">
        <f>+MOP_Mes_Corriente!AE63*MOP_Mes_Constante!$AC$1</f>
        <v>95138.87425646701</v>
      </c>
      <c r="AF62" s="20">
        <f>+MOP_Mes_Corriente!AF63*MOP_Mes_Constante!$AC$1</f>
        <v>95138.87425646701</v>
      </c>
      <c r="AG62" s="20">
        <f>+MOP_Mes_Corriente!AG63*MOP_Mes_Constante!$AC$1</f>
        <v>95138.87425646701</v>
      </c>
      <c r="AH62" s="20">
        <f>+MOP_Mes_Corriente!AH63*MOP_Mes_Constante!$AC$1</f>
        <v>95138.87425646701</v>
      </c>
      <c r="AI62" s="20">
        <f>+MOP_Mes_Corriente!AI63*MOP_Mes_Constante!$AC$1</f>
        <v>95138.87425646701</v>
      </c>
      <c r="AJ62" s="20">
        <f>+MOP_Mes_Corriente!AJ63*MOP_Mes_Constante!$AC$1</f>
        <v>95138.87425646701</v>
      </c>
      <c r="AK62" s="20">
        <f>+MOP_Mes_Corriente!AK63*MOP_Mes_Constante!$AC$1</f>
        <v>95138.87425646701</v>
      </c>
      <c r="AL62" s="20">
        <f>+MOP_Mes_Corriente!AL63*MOP_Mes_Constante!$AC$1</f>
        <v>95138.87425646701</v>
      </c>
      <c r="AM62" s="20">
        <f>+MOP_Mes_Corriente!AM63*MOP_Mes_Constante!$AC$1</f>
        <v>95138.87425646701</v>
      </c>
      <c r="AN62" s="20">
        <f>+MOP_Mes_Corriente!AN63*MOP_Mes_Constante!$AC$1</f>
        <v>95138.87425646701</v>
      </c>
      <c r="AO62" s="20">
        <f t="shared" si="78"/>
        <v>95138.87425646701</v>
      </c>
      <c r="AP62" s="20">
        <f>+MOP_Mes_Corriente!AP63*MOP_Mes_Constante!$AP$1</f>
        <v>72796.156093602054</v>
      </c>
      <c r="AQ62" s="20">
        <f>+MOP_Mes_Corriente!AQ63*MOP_Mes_Constante!$AP$1</f>
        <v>72796.156093602054</v>
      </c>
      <c r="AR62" s="20">
        <f>+MOP_Mes_Corriente!AR63*MOP_Mes_Constante!$AP$1</f>
        <v>72796.156093602054</v>
      </c>
      <c r="AS62" s="20">
        <f>+MOP_Mes_Corriente!AS63*MOP_Mes_Constante!$AP$1</f>
        <v>72796.156093602054</v>
      </c>
      <c r="AT62" s="20">
        <f>+MOP_Mes_Corriente!AT63*MOP_Mes_Constante!$AP$1</f>
        <v>72796.156093602054</v>
      </c>
      <c r="AU62" s="20">
        <f>+MOP_Mes_Corriente!AU63*MOP_Mes_Constante!$AP$1</f>
        <v>72796.156093602054</v>
      </c>
      <c r="AV62" s="20">
        <f>+MOP_Mes_Corriente!AV63*MOP_Mes_Constante!$AP$1</f>
        <v>72796.156093602054</v>
      </c>
      <c r="AW62" s="20">
        <f>+MOP_Mes_Corriente!AW63*MOP_Mes_Constante!$AP$1</f>
        <v>72796.156093602054</v>
      </c>
      <c r="AX62" s="20">
        <f>+MOP_Mes_Corriente!AX63*MOP_Mes_Constante!$AP$1</f>
        <v>72796.156093602054</v>
      </c>
      <c r="AY62" s="20">
        <f>+MOP_Mes_Corriente!AY63*MOP_Mes_Constante!$AP$1</f>
        <v>72796.156093602054</v>
      </c>
      <c r="AZ62" s="20">
        <f>+MOP_Mes_Corriente!AZ63*MOP_Mes_Constante!$AP$1</f>
        <v>72796.156093602054</v>
      </c>
      <c r="BA62" s="20">
        <f>+MOP_Mes_Corriente!BA63*MOP_Mes_Constante!$AP$1</f>
        <v>72796.156093602054</v>
      </c>
      <c r="BB62" s="20">
        <f t="shared" si="79"/>
        <v>72796.156093602054</v>
      </c>
      <c r="BC62" s="20">
        <f>+MOP_Mes_Corriente!BC63*MOP_Mes_Constante!$BC$1</f>
        <v>879961.56824475818</v>
      </c>
      <c r="BD62" s="20">
        <f>+MOP_Mes_Corriente!BD63*MOP_Mes_Constante!$BC$1</f>
        <v>879961.56824475818</v>
      </c>
      <c r="BE62" s="20">
        <f>+MOP_Mes_Corriente!BE63*MOP_Mes_Constante!$BC$1</f>
        <v>879961.56824475818</v>
      </c>
      <c r="BF62" s="20">
        <f>+MOP_Mes_Corriente!BF63*MOP_Mes_Constante!$BC$1</f>
        <v>879961.56824475818</v>
      </c>
      <c r="BG62" s="20">
        <f>+MOP_Mes_Corriente!BG63*MOP_Mes_Constante!$BC$1</f>
        <v>879961.56824475818</v>
      </c>
      <c r="BH62" s="20">
        <f>+MOP_Mes_Corriente!BH63*MOP_Mes_Constante!$BC$1</f>
        <v>879961.56824475818</v>
      </c>
      <c r="BI62" s="20">
        <f>+MOP_Mes_Corriente!BI63*MOP_Mes_Constante!$BC$1</f>
        <v>815610.12264275376</v>
      </c>
      <c r="BJ62" s="20">
        <f>+MOP_Mes_Corriente!BJ63*MOP_Mes_Constante!$BC$1</f>
        <v>815610.12264275376</v>
      </c>
      <c r="BK62" s="20">
        <f>+MOP_Mes_Corriente!BK63*MOP_Mes_Constante!$BC$1</f>
        <v>815610.12264275376</v>
      </c>
      <c r="BL62" s="20">
        <f>+MOP_Mes_Corriente!BL63*MOP_Mes_Constante!$BC$1</f>
        <v>815610.12264275376</v>
      </c>
      <c r="BM62" s="20">
        <f>+MOP_Mes_Corriente!BM63*MOP_Mes_Constante!$BC$1</f>
        <v>815610.12264275376</v>
      </c>
      <c r="BN62" s="20">
        <f>+MOP_Mes_Corriente!BN63*MOP_Mes_Constante!$BC$1</f>
        <v>815610.12264275376</v>
      </c>
      <c r="BO62" s="20">
        <f t="shared" si="80"/>
        <v>815610.12264275376</v>
      </c>
      <c r="BP62" s="20">
        <f>+MOP_Mes_Corriente!BP63*MOP_Mes_Constante!$BP$1</f>
        <v>232977.01459667095</v>
      </c>
      <c r="BQ62" s="20">
        <f>+MOP_Mes_Corriente!BQ63*MOP_Mes_Constante!$BP$1</f>
        <v>232977.01459667095</v>
      </c>
      <c r="BR62" s="20">
        <f>+MOP_Mes_Corriente!BR63*MOP_Mes_Constante!$BP$1</f>
        <v>232977.01459667095</v>
      </c>
      <c r="BS62" s="20">
        <f>+MOP_Mes_Corriente!BS63*MOP_Mes_Constante!$BP$1</f>
        <v>232977.01459667095</v>
      </c>
      <c r="BT62" s="20">
        <f>+MOP_Mes_Corriente!BT63*MOP_Mes_Constante!$BP$1</f>
        <v>232977.01459667095</v>
      </c>
      <c r="BU62" s="20">
        <f>+MOP_Mes_Corriente!BU63*MOP_Mes_Constante!$BP$1</f>
        <v>232977.01459667095</v>
      </c>
      <c r="BV62" s="20">
        <f>+MOP_Mes_Corriente!BV63*MOP_Mes_Constante!$BP$1</f>
        <v>248438.49372599233</v>
      </c>
      <c r="BW62" s="20">
        <f>+MOP_Mes_Corriente!BW63*MOP_Mes_Constante!$BP$1</f>
        <v>248438.49372599233</v>
      </c>
      <c r="BX62" s="20">
        <f>+MOP_Mes_Corriente!BX63*MOP_Mes_Constante!$BP$1</f>
        <v>248438.49372599233</v>
      </c>
      <c r="BY62" s="20">
        <f>+MOP_Mes_Corriente!BY63*MOP_Mes_Constante!$BP$1</f>
        <v>248438.49372599233</v>
      </c>
      <c r="BZ62" s="20">
        <f>+MOP_Mes_Corriente!BZ63*MOP_Mes_Constante!$BP$1</f>
        <v>248438.49372599233</v>
      </c>
      <c r="CA62" s="20">
        <f>+MOP_Mes_Corriente!CA63*MOP_Mes_Constante!$BP$1</f>
        <v>248438.49372599233</v>
      </c>
      <c r="CB62" s="20">
        <f t="shared" si="81"/>
        <v>248438.49372599233</v>
      </c>
      <c r="CC62" s="20">
        <f>+MOP_Mes_Corriente!CC63*MOP_Mes_Constante!$CC$1</f>
        <v>280743.72622155916</v>
      </c>
      <c r="CD62" s="20">
        <f>+MOP_Mes_Corriente!CD63*MOP_Mes_Constante!$CC$1</f>
        <v>280743.72622155916</v>
      </c>
      <c r="CE62" s="20">
        <f>+MOP_Mes_Corriente!CE63*MOP_Mes_Constante!$CC$1</f>
        <v>280743.72622155916</v>
      </c>
      <c r="CF62" s="20">
        <f>+MOP_Mes_Corriente!CF63*MOP_Mes_Constante!$CC$1</f>
        <v>248506.38866094744</v>
      </c>
      <c r="CG62" s="20">
        <f>+MOP_Mes_Corriente!CG63*MOP_Mes_Constante!$CC$1</f>
        <v>248506.38866094744</v>
      </c>
      <c r="CH62" s="20">
        <f>+MOP_Mes_Corriente!CH63*MOP_Mes_Constante!$CC$1</f>
        <v>248506.38866094744</v>
      </c>
      <c r="CI62" s="20">
        <f>+MOP_Mes_Corriente!CI63*MOP_Mes_Constante!$CC$1</f>
        <v>248506.38866094744</v>
      </c>
      <c r="CJ62" s="20">
        <f>+MOP_Mes_Corriente!CJ63*MOP_Mes_Constante!$CC$1</f>
        <v>248506.38866094744</v>
      </c>
      <c r="CK62" s="20">
        <f>+MOP_Mes_Corriente!CK63*MOP_Mes_Constante!$CC$1</f>
        <v>248506.38866094744</v>
      </c>
      <c r="CL62" s="20">
        <f>+MOP_Mes_Corriente!CL63*MOP_Mes_Constante!$CC$1</f>
        <v>248506.38866094744</v>
      </c>
      <c r="CM62" s="20">
        <f>+MOP_Mes_Corriente!CM63*MOP_Mes_Constante!$CC$1</f>
        <v>248506.38866094744</v>
      </c>
      <c r="CN62" s="20">
        <f>+MOP_Mes_Corriente!CN63*MOP_Mes_Constante!$CC$1</f>
        <v>249116.33196568448</v>
      </c>
      <c r="CO62" s="20">
        <f t="shared" si="82"/>
        <v>249116.33196568448</v>
      </c>
      <c r="CP62" s="20">
        <f>+MOP_Mes_Corriente!CP63*MOP_Mes_Constante!$CP$1</f>
        <v>203369.36450116005</v>
      </c>
      <c r="CQ62" s="20">
        <f>+MOP_Mes_Corriente!CQ63*MOP_Mes_Constante!$CP$1</f>
        <v>203369.36450116005</v>
      </c>
      <c r="CR62" s="20">
        <f>+MOP_Mes_Corriente!CR63*MOP_Mes_Constante!$CP$1</f>
        <v>203369.36450116005</v>
      </c>
      <c r="CS62" s="20">
        <f>+MOP_Mes_Corriente!CS63*MOP_Mes_Constante!$CP$1</f>
        <v>203369.36450116005</v>
      </c>
      <c r="CT62" s="20">
        <f>+MOP_Mes_Corriente!CT63*MOP_Mes_Constante!$CP$1</f>
        <v>203369.36450116005</v>
      </c>
      <c r="CU62" s="20">
        <f>+MOP_Mes_Corriente!CU63*MOP_Mes_Constante!$CP$1</f>
        <v>203369.36450116005</v>
      </c>
      <c r="CV62" s="20">
        <f>+MOP_Mes_Corriente!CV63*MOP_Mes_Constante!$CP$1</f>
        <v>203369.36450116005</v>
      </c>
      <c r="CW62" s="20">
        <f>+MOP_Mes_Corriente!CW63*MOP_Mes_Constante!$CP$1</f>
        <v>203369.36450116005</v>
      </c>
      <c r="CX62" s="20">
        <f>+MOP_Mes_Corriente!CX63*MOP_Mes_Constante!$CP$1</f>
        <v>203369.36450116005</v>
      </c>
      <c r="CY62" s="20">
        <f>+MOP_Mes_Corriente!CY63*MOP_Mes_Constante!$CP$1</f>
        <v>203369.36450116005</v>
      </c>
      <c r="CZ62" s="20">
        <f>+MOP_Mes_Corriente!CZ63*MOP_Mes_Constante!$CP$1</f>
        <v>203369.36450116005</v>
      </c>
      <c r="DA62" s="20">
        <f>+MOP_Mes_Corriente!DA63*MOP_Mes_Constante!$CP$1</f>
        <v>203369.36450116005</v>
      </c>
      <c r="DB62" s="20">
        <f t="shared" si="83"/>
        <v>203369.36450116005</v>
      </c>
      <c r="DC62" s="20">
        <f>+MOP_Mes_Corriente!DC63*MOP_Mes_Constante!$DC$1</f>
        <v>511767.50087439589</v>
      </c>
      <c r="DD62" s="20">
        <f>+MOP_Mes_Corriente!DD63*MOP_Mes_Constante!$DC$1</f>
        <v>511767.50087439589</v>
      </c>
      <c r="DE62" s="20">
        <f>+MOP_Mes_Corriente!DE63*MOP_Mes_Constante!$DC$1</f>
        <v>511767.50087439589</v>
      </c>
      <c r="DF62" s="20">
        <f>+MOP_Mes_Corriente!DF63*MOP_Mes_Constante!$DC$1</f>
        <v>511767.50087439589</v>
      </c>
      <c r="DG62" s="20">
        <f>+MOP_Mes_Corriente!DG63*MOP_Mes_Constante!$DC$1</f>
        <v>511767.50087439589</v>
      </c>
      <c r="DH62" s="20">
        <f>+MOP_Mes_Corriente!DH63*MOP_Mes_Constante!$DC$1</f>
        <v>511767.50087439589</v>
      </c>
      <c r="DI62" s="20">
        <f>+MOP_Mes_Corriente!DI63*MOP_Mes_Constante!$DC$1</f>
        <v>511767.50087439589</v>
      </c>
      <c r="DJ62" s="20">
        <f>+MOP_Mes_Corriente!DJ63*MOP_Mes_Constante!$DC$1</f>
        <v>511767.50087439589</v>
      </c>
      <c r="DK62" s="20">
        <f>+MOP_Mes_Corriente!DK63*MOP_Mes_Constante!$DC$1</f>
        <v>511767.50087439589</v>
      </c>
      <c r="DL62" s="20">
        <f>+MOP_Mes_Corriente!DL63*MOP_Mes_Constante!$DC$1</f>
        <v>1100374.4205328675</v>
      </c>
      <c r="DM62" s="20">
        <f>+MOP_Mes_Corriente!DM63*MOP_Mes_Constante!$DC$1</f>
        <v>1100374.4205328675</v>
      </c>
      <c r="DN62" s="20">
        <f>+MOP_Mes_Corriente!DN63*MOP_Mes_Constante!$DC$1</f>
        <v>1100374.4205328675</v>
      </c>
      <c r="DO62" s="20">
        <f t="shared" si="84"/>
        <v>1100374.4205328675</v>
      </c>
      <c r="DP62" s="20">
        <f>+MOP_Mes_Corriente!DP63*MOP_Mes_Constante!$DP$1</f>
        <v>673260.68230403808</v>
      </c>
      <c r="DQ62" s="20">
        <f>+MOP_Mes_Corriente!DQ63*MOP_Mes_Constante!$DP$1</f>
        <v>673260.68230403808</v>
      </c>
      <c r="DR62" s="20">
        <f>+MOP_Mes_Corriente!DR63*MOP_Mes_Constante!$DP$1</f>
        <v>673260.68230403808</v>
      </c>
      <c r="DS62" s="20">
        <f>+MOP_Mes_Corriente!DS63*MOP_Mes_Constante!$DP$1</f>
        <v>673260.68230403808</v>
      </c>
      <c r="DT62" s="20">
        <f>+MOP_Mes_Corriente!DT63*MOP_Mes_Constante!$DP$1</f>
        <v>673260.68230403808</v>
      </c>
      <c r="DU62" s="20">
        <f>+MOP_Mes_Corriente!DU63*MOP_Mes_Constante!$DP$1</f>
        <v>673260.68230403808</v>
      </c>
      <c r="DV62" s="20">
        <f>+MOP_Mes_Corriente!DV63*MOP_Mes_Constante!$DP$1</f>
        <v>673260.68230403808</v>
      </c>
      <c r="DW62" s="20">
        <f>+MOP_Mes_Corriente!DW63*MOP_Mes_Constante!$DP$1</f>
        <v>673260.68230403808</v>
      </c>
      <c r="DX62" s="20">
        <f>+MOP_Mes_Corriente!DX63*MOP_Mes_Constante!$DP$1</f>
        <v>673260.68230403808</v>
      </c>
      <c r="DY62" s="20">
        <f>+MOP_Mes_Corriente!DY63*MOP_Mes_Constante!$DP$1</f>
        <v>673260.68230403808</v>
      </c>
      <c r="DZ62" s="20">
        <f>+MOP_Mes_Corriente!DZ63*MOP_Mes_Constante!$DP$1</f>
        <v>673260.68230403808</v>
      </c>
      <c r="EA62" s="20">
        <f>+MOP_Mes_Corriente!EA63*MOP_Mes_Constante!$DP$1</f>
        <v>463299.5985748219</v>
      </c>
      <c r="EB62" s="20">
        <f t="shared" si="85"/>
        <v>463299.5985748219</v>
      </c>
      <c r="EC62" s="20">
        <f>+MOP_Mes_Corriente!EC63*MOP_Mes_Constante!$EC$1</f>
        <v>658026.16019693215</v>
      </c>
      <c r="ED62" s="20">
        <f>+MOP_Mes_Corriente!ED63*MOP_Mes_Constante!$EC$1</f>
        <v>658026.16019693215</v>
      </c>
      <c r="EE62" s="20">
        <f>+MOP_Mes_Corriente!EE63*MOP_Mes_Constante!$EC$1</f>
        <v>658026.16019693215</v>
      </c>
      <c r="EF62" s="20">
        <f>+MOP_Mes_Corriente!EF63*MOP_Mes_Constante!$EC$1</f>
        <v>658026.16019693215</v>
      </c>
      <c r="EG62" s="20">
        <f>+MOP_Mes_Corriente!EG63*MOP_Mes_Constante!$EC$1</f>
        <v>658026.16019693215</v>
      </c>
      <c r="EH62" s="20">
        <f>+MOP_Mes_Corriente!EH63*MOP_Mes_Constante!$EC$1</f>
        <v>658026.16019693215</v>
      </c>
      <c r="EI62" s="20">
        <f>+MOP_Mes_Corriente!EI63*MOP_Mes_Constante!$EC$1</f>
        <v>658026.16019693215</v>
      </c>
      <c r="EJ62" s="20">
        <f>+MOP_Mes_Corriente!EJ63*MOP_Mes_Constante!$EC$1</f>
        <v>658026.16019693215</v>
      </c>
      <c r="EK62" s="20">
        <f>+MOP_Mes_Corriente!EK63*MOP_Mes_Constante!$EC$1</f>
        <v>658026.16019693215</v>
      </c>
      <c r="EL62" s="20">
        <f>+MOP_Mes_Corriente!EL63*MOP_Mes_Constante!$EC$1</f>
        <v>658026.16019693215</v>
      </c>
      <c r="EM62" s="20">
        <f>+MOP_Mes_Corriente!EM63*MOP_Mes_Constante!$EC$1</f>
        <v>658026.16019693215</v>
      </c>
      <c r="EN62" s="20">
        <f>+MOP_Mes_Corriente!EN63*MOP_Mes_Constante!$EC$1</f>
        <v>658026.16019693215</v>
      </c>
      <c r="EO62" s="20">
        <f t="shared" si="86"/>
        <v>658026.16019693215</v>
      </c>
      <c r="EP62" s="20">
        <f>+MOP_Mes_Corriente!EP63*MOP_Mes_Constante!$EP$1</f>
        <v>1284794</v>
      </c>
      <c r="EQ62" s="20">
        <f>+MOP_Mes_Corriente!EQ63*MOP_Mes_Constante!$EP$1</f>
        <v>1284794</v>
      </c>
      <c r="ER62" s="20">
        <f>+MOP_Mes_Corriente!ER63*MOP_Mes_Constante!$EP$1</f>
        <v>1284794</v>
      </c>
      <c r="ES62" s="20">
        <f>+MOP_Mes_Corriente!ES63*MOP_Mes_Constante!$EP$1</f>
        <v>1284794</v>
      </c>
      <c r="ET62" s="20">
        <f>+MOP_Mes_Corriente!ET63*MOP_Mes_Constante!$EP$1</f>
        <v>1284794</v>
      </c>
      <c r="EU62" s="20">
        <f>+MOP_Mes_Corriente!EU63*MOP_Mes_Constante!$EP$1</f>
        <v>1284794</v>
      </c>
      <c r="EV62" s="20">
        <f>+MOP_Mes_Corriente!EV63*MOP_Mes_Constante!$EP$1</f>
        <v>1284794</v>
      </c>
      <c r="EW62" s="20">
        <f>+MOP_Mes_Corriente!EW63*MOP_Mes_Constante!$EP$1</f>
        <v>1284794</v>
      </c>
      <c r="EX62" s="20">
        <f>+MOP_Mes_Corriente!EX63*MOP_Mes_Constante!$EP$1</f>
        <v>1284794</v>
      </c>
      <c r="EY62" s="20">
        <f>+MOP_Mes_Corriente!EY63*MOP_Mes_Constante!$EP$1</f>
        <v>1284794</v>
      </c>
      <c r="EZ62" s="20">
        <f>+MOP_Mes_Corriente!EZ63*MOP_Mes_Constante!$EP$1</f>
        <v>1284794</v>
      </c>
      <c r="FA62" s="20">
        <f>+MOP_Mes_Corriente!FA63*MOP_Mes_Constante!$EP$1</f>
        <v>1212027</v>
      </c>
      <c r="FB62" s="20">
        <f t="shared" si="87"/>
        <v>1212027</v>
      </c>
      <c r="FC62" s="20">
        <f>+MOP_Mes_Corriente!FC63*MOP_Mes_Constante!$FC$1</f>
        <v>667445</v>
      </c>
      <c r="FD62" s="20">
        <f>+MOP_Mes_Corriente!FD63*MOP_Mes_Constante!$FC$1</f>
        <v>667445</v>
      </c>
      <c r="FE62" s="20">
        <f>+MOP_Mes_Corriente!FE63*MOP_Mes_Constante!$FC$1</f>
        <v>667445</v>
      </c>
      <c r="FF62" s="20">
        <f>+MOP_Mes_Corriente!FF63*MOP_Mes_Constante!$FC$1</f>
        <v>667445</v>
      </c>
      <c r="FG62" s="20">
        <f>+MOP_Mes_Corriente!FG63*MOP_Mes_Constante!$FC$1</f>
        <v>488932</v>
      </c>
      <c r="FH62" s="20">
        <f>+MOP_Mes_Corriente!FH63*MOP_Mes_Constante!$FC$1</f>
        <v>488932</v>
      </c>
      <c r="FI62" s="20">
        <f>+MOP_Mes_Corriente!FI63*MOP_Mes_Constante!$FC$1</f>
        <v>488932</v>
      </c>
      <c r="FJ62" s="10"/>
      <c r="FK62" s="10"/>
      <c r="FL62" s="10"/>
      <c r="FM62" s="10"/>
      <c r="FN62" s="10"/>
      <c r="FO62" s="20">
        <f t="shared" si="88"/>
        <v>488932</v>
      </c>
    </row>
    <row r="63" spans="1:171" ht="27.75" customHeight="1">
      <c r="A63" s="10"/>
      <c r="B63" s="19" t="s">
        <v>46</v>
      </c>
      <c r="C63" s="20">
        <f>+MOP_Mes_Corriente!C64*MOP_Mes_Constante!$C$1</f>
        <v>269581.99584754562</v>
      </c>
      <c r="D63" s="20">
        <f>+MOP_Mes_Corriente!D64*MOP_Mes_Constante!$C$1</f>
        <v>269581.99584754562</v>
      </c>
      <c r="E63" s="20">
        <f>+MOP_Mes_Corriente!E64*MOP_Mes_Constante!$C$1</f>
        <v>269581.99584754562</v>
      </c>
      <c r="F63" s="20">
        <f>+MOP_Mes_Corriente!F64*MOP_Mes_Constante!$C$1</f>
        <v>269581.99584754562</v>
      </c>
      <c r="G63" s="20">
        <f>+MOP_Mes_Corriente!G64*MOP_Mes_Constante!$C$1</f>
        <v>269581.99584754562</v>
      </c>
      <c r="H63" s="20">
        <f>+MOP_Mes_Corriente!H64*MOP_Mes_Constante!$C$1</f>
        <v>269581.99584754562</v>
      </c>
      <c r="I63" s="20">
        <f>+MOP_Mes_Corriente!I64*MOP_Mes_Constante!$C$1</f>
        <v>269581.99584754562</v>
      </c>
      <c r="J63" s="20">
        <f>+MOP_Mes_Corriente!J64*MOP_Mes_Constante!$C$1</f>
        <v>269581.99584754562</v>
      </c>
      <c r="K63" s="20">
        <f>+MOP_Mes_Corriente!K64*MOP_Mes_Constante!$C$1</f>
        <v>269581.99584754562</v>
      </c>
      <c r="L63" s="20">
        <f>+MOP_Mes_Corriente!L64*MOP_Mes_Constante!$C$1</f>
        <v>269581.99584754562</v>
      </c>
      <c r="M63" s="20">
        <f>+MOP_Mes_Corriente!M64*MOP_Mes_Constante!$C$1</f>
        <v>269581.99584754562</v>
      </c>
      <c r="N63" s="20">
        <f>+MOP_Mes_Corriente!N64*MOP_Mes_Constante!$C$1</f>
        <v>269581.99584754562</v>
      </c>
      <c r="O63" s="20">
        <f t="shared" si="76"/>
        <v>269581.99584754562</v>
      </c>
      <c r="P63" s="20">
        <f>+MOP_Mes_Corriente!P64*MOP_Mes_Constante!$P$1</f>
        <v>2468069.9335132823</v>
      </c>
      <c r="Q63" s="20">
        <f>+MOP_Mes_Corriente!Q64*MOP_Mes_Constante!$P$1</f>
        <v>2468069.9335132823</v>
      </c>
      <c r="R63" s="20">
        <f>+MOP_Mes_Corriente!R64*MOP_Mes_Constante!$P$1</f>
        <v>2468069.9335132823</v>
      </c>
      <c r="S63" s="20">
        <f>+MOP_Mes_Corriente!S64*MOP_Mes_Constante!$P$1</f>
        <v>2468069.9335132823</v>
      </c>
      <c r="T63" s="20">
        <f>+MOP_Mes_Corriente!T64*MOP_Mes_Constante!$P$1</f>
        <v>2468069.9335132823</v>
      </c>
      <c r="U63" s="20">
        <f>+MOP_Mes_Corriente!U64*MOP_Mes_Constante!$P$1</f>
        <v>2468069.9335132823</v>
      </c>
      <c r="V63" s="20">
        <f>+MOP_Mes_Corriente!V64*MOP_Mes_Constante!$P$1</f>
        <v>2468069.9335132823</v>
      </c>
      <c r="W63" s="20">
        <f>+MOP_Mes_Corriente!W64*MOP_Mes_Constante!$P$1</f>
        <v>2468069.9335132823</v>
      </c>
      <c r="X63" s="20">
        <f>+MOP_Mes_Corriente!X64*MOP_Mes_Constante!$P$1</f>
        <v>2468069.9335132823</v>
      </c>
      <c r="Y63" s="20">
        <f>+MOP_Mes_Corriente!Y64*MOP_Mes_Constante!$P$1</f>
        <v>2468069.9335132823</v>
      </c>
      <c r="Z63" s="20">
        <f>+MOP_Mes_Corriente!Z64*MOP_Mes_Constante!$P$1</f>
        <v>2468069.9335132823</v>
      </c>
      <c r="AA63" s="20">
        <f>+MOP_Mes_Corriente!AA64*MOP_Mes_Constante!$P$1</f>
        <v>2949254.7609035363</v>
      </c>
      <c r="AB63" s="20">
        <f t="shared" si="77"/>
        <v>2949254.7609035363</v>
      </c>
      <c r="AC63" s="20">
        <f>+MOP_Mes_Corriente!AC64*MOP_Mes_Constante!$AC$1</f>
        <v>9265778.5057407655</v>
      </c>
      <c r="AD63" s="20">
        <f>+MOP_Mes_Corriente!AD64*MOP_Mes_Constante!$AC$1</f>
        <v>9265778.5057407655</v>
      </c>
      <c r="AE63" s="20">
        <f>+MOP_Mes_Corriente!AE64*MOP_Mes_Constante!$AC$1</f>
        <v>9265778.5057407655</v>
      </c>
      <c r="AF63" s="20">
        <f>+MOP_Mes_Corriente!AF64*MOP_Mes_Constante!$AC$1</f>
        <v>9232527.4336699396</v>
      </c>
      <c r="AG63" s="20">
        <f>+MOP_Mes_Corriente!AG64*MOP_Mes_Constante!$AC$1</f>
        <v>9232527.4336699396</v>
      </c>
      <c r="AH63" s="20">
        <f>+MOP_Mes_Corriente!AH64*MOP_Mes_Constante!$AC$1</f>
        <v>9232527.4336699396</v>
      </c>
      <c r="AI63" s="20">
        <f>+MOP_Mes_Corriente!AI64*MOP_Mes_Constante!$AC$1</f>
        <v>9232527.4336699396</v>
      </c>
      <c r="AJ63" s="20">
        <f>+MOP_Mes_Corriente!AJ64*MOP_Mes_Constante!$AC$1</f>
        <v>9232527.4336699396</v>
      </c>
      <c r="AK63" s="20">
        <f>+MOP_Mes_Corriente!AK64*MOP_Mes_Constante!$AC$1</f>
        <v>9232527.4336699396</v>
      </c>
      <c r="AL63" s="20">
        <f>+MOP_Mes_Corriente!AL64*MOP_Mes_Constante!$AC$1</f>
        <v>9232527.4336699396</v>
      </c>
      <c r="AM63" s="20">
        <f>+MOP_Mes_Corriente!AM64*MOP_Mes_Constante!$AC$1</f>
        <v>9232527.4336699396</v>
      </c>
      <c r="AN63" s="20">
        <f>+MOP_Mes_Corriente!AN64*MOP_Mes_Constante!$AC$1</f>
        <v>6846951.9391340436</v>
      </c>
      <c r="AO63" s="20">
        <f t="shared" si="78"/>
        <v>6846951.9391340436</v>
      </c>
      <c r="AP63" s="20">
        <f>+MOP_Mes_Corriente!AP64*MOP_Mes_Constante!$AP$1</f>
        <v>5752655.0139320977</v>
      </c>
      <c r="AQ63" s="20">
        <f>+MOP_Mes_Corriente!AQ64*MOP_Mes_Constante!$AP$1</f>
        <v>5752655.0139320977</v>
      </c>
      <c r="AR63" s="20">
        <f>+MOP_Mes_Corriente!AR64*MOP_Mes_Constante!$AP$1</f>
        <v>5752655.0139320977</v>
      </c>
      <c r="AS63" s="20">
        <f>+MOP_Mes_Corriente!AS64*MOP_Mes_Constante!$AP$1</f>
        <v>5752655.0139320977</v>
      </c>
      <c r="AT63" s="20">
        <f>+MOP_Mes_Corriente!AT64*MOP_Mes_Constante!$AP$1</f>
        <v>5752655.0139320977</v>
      </c>
      <c r="AU63" s="20">
        <f>+MOP_Mes_Corriente!AU64*MOP_Mes_Constante!$AP$1</f>
        <v>5752655.0139320977</v>
      </c>
      <c r="AV63" s="20">
        <f>+MOP_Mes_Corriente!AV64*MOP_Mes_Constante!$AP$1</f>
        <v>5752655.0139320977</v>
      </c>
      <c r="AW63" s="20">
        <f>+MOP_Mes_Corriente!AW64*MOP_Mes_Constante!$AP$1</f>
        <v>5752655.0139320977</v>
      </c>
      <c r="AX63" s="20">
        <f>+MOP_Mes_Corriente!AX64*MOP_Mes_Constante!$AP$1</f>
        <v>5752655.0139320977</v>
      </c>
      <c r="AY63" s="20">
        <f>+MOP_Mes_Corriente!AY64*MOP_Mes_Constante!$AP$1</f>
        <v>5496064.7095901528</v>
      </c>
      <c r="AZ63" s="20">
        <f>+MOP_Mes_Corriente!AZ64*MOP_Mes_Constante!$AP$1</f>
        <v>5496064.7095901528</v>
      </c>
      <c r="BA63" s="20">
        <f>+MOP_Mes_Corriente!BA64*MOP_Mes_Constante!$AP$1</f>
        <v>5496064.7095901528</v>
      </c>
      <c r="BB63" s="20">
        <f t="shared" si="79"/>
        <v>5496064.7095901528</v>
      </c>
      <c r="BC63" s="20">
        <f>+MOP_Mes_Corriente!BC64*MOP_Mes_Constante!$BC$1</f>
        <v>2863110.5356718982</v>
      </c>
      <c r="BD63" s="20">
        <f>+MOP_Mes_Corriente!BD64*MOP_Mes_Constante!$BC$1</f>
        <v>2863110.5356718982</v>
      </c>
      <c r="BE63" s="20">
        <f>+MOP_Mes_Corriente!BE64*MOP_Mes_Constante!$BC$1</f>
        <v>2863110.5356718982</v>
      </c>
      <c r="BF63" s="20">
        <f>+MOP_Mes_Corriente!BF64*MOP_Mes_Constante!$BC$1</f>
        <v>2863110.5356718982</v>
      </c>
      <c r="BG63" s="20">
        <f>+MOP_Mes_Corriente!BG64*MOP_Mes_Constante!$BC$1</f>
        <v>2863110.5356718982</v>
      </c>
      <c r="BH63" s="20">
        <f>+MOP_Mes_Corriente!BH64*MOP_Mes_Constante!$BC$1</f>
        <v>2863110.5356718982</v>
      </c>
      <c r="BI63" s="20">
        <f>+MOP_Mes_Corriente!BI64*MOP_Mes_Constante!$BC$1</f>
        <v>2298105.3619939345</v>
      </c>
      <c r="BJ63" s="20">
        <f>+MOP_Mes_Corriente!BJ64*MOP_Mes_Constante!$BC$1</f>
        <v>2298105.3619939345</v>
      </c>
      <c r="BK63" s="20">
        <f>+MOP_Mes_Corriente!BK64*MOP_Mes_Constante!$BC$1</f>
        <v>2298105.3619939345</v>
      </c>
      <c r="BL63" s="20">
        <f>+MOP_Mes_Corriente!BL64*MOP_Mes_Constante!$BC$1</f>
        <v>2298105.3619939345</v>
      </c>
      <c r="BM63" s="20">
        <f>+MOP_Mes_Corriente!BM64*MOP_Mes_Constante!$BC$1</f>
        <v>2345006.6182249775</v>
      </c>
      <c r="BN63" s="20">
        <f>+MOP_Mes_Corriente!BN64*MOP_Mes_Constante!$BC$1</f>
        <v>509244.10286166437</v>
      </c>
      <c r="BO63" s="20">
        <f t="shared" si="80"/>
        <v>509244.10286166437</v>
      </c>
      <c r="BP63" s="20">
        <f>+MOP_Mes_Corriente!BP64*MOP_Mes_Constante!$BP$1</f>
        <v>3413879.7626120364</v>
      </c>
      <c r="BQ63" s="20">
        <f>+MOP_Mes_Corriente!BQ64*MOP_Mes_Constante!$BP$1</f>
        <v>3413879.7626120364</v>
      </c>
      <c r="BR63" s="20">
        <f>+MOP_Mes_Corriente!BR64*MOP_Mes_Constante!$BP$1</f>
        <v>3343930.9790012809</v>
      </c>
      <c r="BS63" s="20">
        <f>+MOP_Mes_Corriente!BS64*MOP_Mes_Constante!$BP$1</f>
        <v>3343930.9790012809</v>
      </c>
      <c r="BT63" s="20">
        <f>+MOP_Mes_Corriente!BT64*MOP_Mes_Constante!$BP$1</f>
        <v>3343930.9790012809</v>
      </c>
      <c r="BU63" s="20">
        <f>+MOP_Mes_Corriente!BU64*MOP_Mes_Constante!$BP$1</f>
        <v>3343930.9790012809</v>
      </c>
      <c r="BV63" s="20">
        <f>+MOP_Mes_Corriente!BV64*MOP_Mes_Constante!$BP$1</f>
        <v>3328469.4998719594</v>
      </c>
      <c r="BW63" s="20">
        <f>+MOP_Mes_Corriente!BW64*MOP_Mes_Constante!$BP$1</f>
        <v>3328469.4998719594</v>
      </c>
      <c r="BX63" s="20">
        <f>+MOP_Mes_Corriente!BX64*MOP_Mes_Constante!$BP$1</f>
        <v>3328469.4998719594</v>
      </c>
      <c r="BY63" s="20">
        <f>+MOP_Mes_Corriente!BY64*MOP_Mes_Constante!$BP$1</f>
        <v>3328469.4998719594</v>
      </c>
      <c r="BZ63" s="20">
        <f>+MOP_Mes_Corriente!BZ64*MOP_Mes_Constante!$BP$1</f>
        <v>3328469.4998719594</v>
      </c>
      <c r="CA63" s="20">
        <f>+MOP_Mes_Corriente!CA64*MOP_Mes_Constante!$BP$1</f>
        <v>1216262.4545454546</v>
      </c>
      <c r="CB63" s="20">
        <f t="shared" si="81"/>
        <v>1216262.4545454546</v>
      </c>
      <c r="CC63" s="20">
        <f>+MOP_Mes_Corriente!CC64*MOP_Mes_Constante!$CC$1</f>
        <v>3380171.30846699</v>
      </c>
      <c r="CD63" s="20">
        <f>+MOP_Mes_Corriente!CD64*MOP_Mes_Constante!$CC$1</f>
        <v>3380171.30846699</v>
      </c>
      <c r="CE63" s="20">
        <f>+MOP_Mes_Corriente!CE64*MOP_Mes_Constante!$CC$1</f>
        <v>3380171.30846699</v>
      </c>
      <c r="CF63" s="20">
        <f>+MOP_Mes_Corriente!CF64*MOP_Mes_Constante!$CC$1</f>
        <v>2135302.834017158</v>
      </c>
      <c r="CG63" s="20">
        <f>+MOP_Mes_Corriente!CG64*MOP_Mes_Constante!$CC$1</f>
        <v>2093889.1779186872</v>
      </c>
      <c r="CH63" s="20">
        <f>+MOP_Mes_Corriente!CH64*MOP_Mes_Constante!$CC$1</f>
        <v>2093889.1779186872</v>
      </c>
      <c r="CI63" s="20">
        <f>+MOP_Mes_Corriente!CI64*MOP_Mes_Constante!$CC$1</f>
        <v>2093889.1779186872</v>
      </c>
      <c r="CJ63" s="20">
        <f>+MOP_Mes_Corriente!CJ64*MOP_Mes_Constante!$CC$1</f>
        <v>2093889.1779186872</v>
      </c>
      <c r="CK63" s="20">
        <f>+MOP_Mes_Corriente!CK64*MOP_Mes_Constante!$CC$1</f>
        <v>2093889.1779186872</v>
      </c>
      <c r="CL63" s="20">
        <f>+MOP_Mes_Corriente!CL64*MOP_Mes_Constante!$CC$1</f>
        <v>2090221.3674002241</v>
      </c>
      <c r="CM63" s="20">
        <f>+MOP_Mes_Corriente!CM64*MOP_Mes_Constante!$CC$1</f>
        <v>3604254.1544199931</v>
      </c>
      <c r="CN63" s="20">
        <f>+MOP_Mes_Corriente!CN64*MOP_Mes_Constante!$CC$1</f>
        <v>2648694.4229765018</v>
      </c>
      <c r="CO63" s="20">
        <f t="shared" si="82"/>
        <v>2648694.4229765018</v>
      </c>
      <c r="CP63" s="20">
        <f>+MOP_Mes_Corriente!CP64*MOP_Mes_Constante!$CP$1</f>
        <v>3678444.5053364262</v>
      </c>
      <c r="CQ63" s="20">
        <f>+MOP_Mes_Corriente!CQ64*MOP_Mes_Constante!$CP$1</f>
        <v>3678444.5053364262</v>
      </c>
      <c r="CR63" s="20">
        <f>+MOP_Mes_Corriente!CR64*MOP_Mes_Constante!$CP$1</f>
        <v>3678444.5053364262</v>
      </c>
      <c r="CS63" s="20">
        <f>+MOP_Mes_Corriente!CS64*MOP_Mes_Constante!$CP$1</f>
        <v>3678444.5053364262</v>
      </c>
      <c r="CT63" s="20">
        <f>+MOP_Mes_Corriente!CT64*MOP_Mes_Constante!$CP$1</f>
        <v>3678444.5053364262</v>
      </c>
      <c r="CU63" s="20">
        <f>+MOP_Mes_Corriente!CU64*MOP_Mes_Constante!$CP$1</f>
        <v>3678444.5053364262</v>
      </c>
      <c r="CV63" s="20">
        <f>+MOP_Mes_Corriente!CV64*MOP_Mes_Constante!$CP$1</f>
        <v>3678444.5053364262</v>
      </c>
      <c r="CW63" s="20">
        <f>+MOP_Mes_Corriente!CW64*MOP_Mes_Constante!$CP$1</f>
        <v>3678444.5053364262</v>
      </c>
      <c r="CX63" s="20">
        <f>+MOP_Mes_Corriente!CX64*MOP_Mes_Constante!$CP$1</f>
        <v>3678444.5053364262</v>
      </c>
      <c r="CY63" s="20">
        <f>+MOP_Mes_Corriente!CY64*MOP_Mes_Constante!$CP$1</f>
        <v>3678444.5053364262</v>
      </c>
      <c r="CZ63" s="20">
        <f>+MOP_Mes_Corriente!CZ64*MOP_Mes_Constante!$CP$1</f>
        <v>3678444.5053364262</v>
      </c>
      <c r="DA63" s="20">
        <f>+MOP_Mes_Corriente!DA64*MOP_Mes_Constante!$CP$1</f>
        <v>616469.76334106713</v>
      </c>
      <c r="DB63" s="20">
        <f t="shared" si="83"/>
        <v>616469.76334106713</v>
      </c>
      <c r="DC63" s="20">
        <f>+MOP_Mes_Corriente!DC64*MOP_Mes_Constante!$DC$1</f>
        <v>1486206.8739841587</v>
      </c>
      <c r="DD63" s="20">
        <f>+MOP_Mes_Corriente!DD64*MOP_Mes_Constante!$DC$1</f>
        <v>1486206.8739841587</v>
      </c>
      <c r="DE63" s="20">
        <f>+MOP_Mes_Corriente!DE64*MOP_Mes_Constante!$DC$1</f>
        <v>1486206.8739841587</v>
      </c>
      <c r="DF63" s="20">
        <f>+MOP_Mes_Corriente!DF64*MOP_Mes_Constante!$DC$1</f>
        <v>1486206.8739841587</v>
      </c>
      <c r="DG63" s="20">
        <f>+MOP_Mes_Corriente!DG64*MOP_Mes_Constante!$DC$1</f>
        <v>1486206.8739841587</v>
      </c>
      <c r="DH63" s="20">
        <f>+MOP_Mes_Corriente!DH64*MOP_Mes_Constante!$DC$1</f>
        <v>1486206.8739841587</v>
      </c>
      <c r="DI63" s="20">
        <f>+MOP_Mes_Corriente!DI64*MOP_Mes_Constante!$DC$1</f>
        <v>1486206.8739841587</v>
      </c>
      <c r="DJ63" s="20">
        <f>+MOP_Mes_Corriente!DJ64*MOP_Mes_Constante!$DC$1</f>
        <v>1486206.8739841587</v>
      </c>
      <c r="DK63" s="20">
        <f>+MOP_Mes_Corriente!DK64*MOP_Mes_Constante!$DC$1</f>
        <v>1486206.8739841587</v>
      </c>
      <c r="DL63" s="20">
        <f>+MOP_Mes_Corriente!DL64*MOP_Mes_Constante!$DC$1</f>
        <v>1486206.8739841587</v>
      </c>
      <c r="DM63" s="20">
        <f>+MOP_Mes_Corriente!DM64*MOP_Mes_Constante!$DC$1</f>
        <v>1486206.8739841587</v>
      </c>
      <c r="DN63" s="20">
        <f>+MOP_Mes_Corriente!DN64*MOP_Mes_Constante!$DC$1</f>
        <v>1077086.0016459217</v>
      </c>
      <c r="DO63" s="20">
        <f t="shared" si="84"/>
        <v>1077086.0016459217</v>
      </c>
      <c r="DP63" s="20">
        <f>+MOP_Mes_Corriente!DP64*MOP_Mes_Constante!$DP$1</f>
        <v>1962487.5908551072</v>
      </c>
      <c r="DQ63" s="20">
        <f>+MOP_Mes_Corriente!DQ64*MOP_Mes_Constante!$DP$1</f>
        <v>1962487.5908551072</v>
      </c>
      <c r="DR63" s="20">
        <f>+MOP_Mes_Corriente!DR64*MOP_Mes_Constante!$DP$1</f>
        <v>1962487.5908551072</v>
      </c>
      <c r="DS63" s="20">
        <f>+MOP_Mes_Corriente!DS64*MOP_Mes_Constante!$DP$1</f>
        <v>1962487.5908551072</v>
      </c>
      <c r="DT63" s="20">
        <f>+MOP_Mes_Corriente!DT64*MOP_Mes_Constante!$DP$1</f>
        <v>1962487.5908551072</v>
      </c>
      <c r="DU63" s="20">
        <f>+MOP_Mes_Corriente!DU64*MOP_Mes_Constante!$DP$1</f>
        <v>1962487.5908551072</v>
      </c>
      <c r="DV63" s="20">
        <f>+MOP_Mes_Corriente!DV64*MOP_Mes_Constante!$DP$1</f>
        <v>1962487.5908551072</v>
      </c>
      <c r="DW63" s="20">
        <f>+MOP_Mes_Corriente!DW64*MOP_Mes_Constante!$DP$1</f>
        <v>1962487.5908551072</v>
      </c>
      <c r="DX63" s="20">
        <f>+MOP_Mes_Corriente!DX64*MOP_Mes_Constante!$DP$1</f>
        <v>1962487.5908551072</v>
      </c>
      <c r="DY63" s="20">
        <f>+MOP_Mes_Corriente!DY64*MOP_Mes_Constante!$DP$1</f>
        <v>1962487.5908551072</v>
      </c>
      <c r="DZ63" s="20">
        <f>+MOP_Mes_Corriente!DZ64*MOP_Mes_Constante!$DP$1</f>
        <v>1962487.5908551072</v>
      </c>
      <c r="EA63" s="20">
        <f>+MOP_Mes_Corriente!EA64*MOP_Mes_Constante!$DP$1</f>
        <v>743134.52850356302</v>
      </c>
      <c r="EB63" s="20">
        <f t="shared" si="85"/>
        <v>743134.52850356302</v>
      </c>
      <c r="EC63" s="20">
        <f>+MOP_Mes_Corriente!EC64*MOP_Mes_Constante!$EC$1</f>
        <v>5330100.4476424903</v>
      </c>
      <c r="ED63" s="20">
        <f>+MOP_Mes_Corriente!ED64*MOP_Mes_Constante!$EC$1</f>
        <v>5330100.4476424903</v>
      </c>
      <c r="EE63" s="20">
        <f>+MOP_Mes_Corriente!EE64*MOP_Mes_Constante!$EC$1</f>
        <v>5330100.4476424903</v>
      </c>
      <c r="EF63" s="20">
        <f>+MOP_Mes_Corriente!EF64*MOP_Mes_Constante!$EC$1</f>
        <v>5330100.4476424903</v>
      </c>
      <c r="EG63" s="20">
        <f>+MOP_Mes_Corriente!EG64*MOP_Mes_Constante!$EC$1</f>
        <v>5330100.4476424903</v>
      </c>
      <c r="EH63" s="20">
        <f>+MOP_Mes_Corriente!EH64*MOP_Mes_Constante!$EC$1</f>
        <v>5330100.4476424903</v>
      </c>
      <c r="EI63" s="20">
        <f>+MOP_Mes_Corriente!EI64*MOP_Mes_Constante!$EC$1</f>
        <v>5330100.4476424903</v>
      </c>
      <c r="EJ63" s="20">
        <f>+MOP_Mes_Corriente!EJ64*MOP_Mes_Constante!$EC$1</f>
        <v>5330100.4476424903</v>
      </c>
      <c r="EK63" s="20">
        <f>+MOP_Mes_Corriente!EK64*MOP_Mes_Constante!$EC$1</f>
        <v>5178965.3785267929</v>
      </c>
      <c r="EL63" s="20">
        <f>+MOP_Mes_Corriente!EL64*MOP_Mes_Constante!$EC$1</f>
        <v>5178965.3785267929</v>
      </c>
      <c r="EM63" s="20">
        <f>+MOP_Mes_Corriente!EM64*MOP_Mes_Constante!$EC$1</f>
        <v>1790937.1209998101</v>
      </c>
      <c r="EN63" s="20">
        <f>+MOP_Mes_Corriente!EN64*MOP_Mes_Constante!$EC$1</f>
        <v>1790937.1209998101</v>
      </c>
      <c r="EO63" s="20">
        <f t="shared" si="86"/>
        <v>1790937.1209998101</v>
      </c>
      <c r="EP63" s="20">
        <f>+MOP_Mes_Corriente!EP64*MOP_Mes_Constante!$EP$1</f>
        <v>2503895</v>
      </c>
      <c r="EQ63" s="20">
        <f>+MOP_Mes_Corriente!EQ64*MOP_Mes_Constante!$EP$1</f>
        <v>2503895</v>
      </c>
      <c r="ER63" s="20">
        <f>+MOP_Mes_Corriente!ER64*MOP_Mes_Constante!$EP$1</f>
        <v>2503895</v>
      </c>
      <c r="ES63" s="20">
        <f>+MOP_Mes_Corriente!ES64*MOP_Mes_Constante!$EP$1</f>
        <v>2503895</v>
      </c>
      <c r="ET63" s="20">
        <f>+MOP_Mes_Corriente!ET64*MOP_Mes_Constante!$EP$1</f>
        <v>2503895</v>
      </c>
      <c r="EU63" s="20">
        <f>+MOP_Mes_Corriente!EU64*MOP_Mes_Constante!$EP$1</f>
        <v>2503895</v>
      </c>
      <c r="EV63" s="20">
        <f>+MOP_Mes_Corriente!EV64*MOP_Mes_Constante!$EP$1</f>
        <v>2503895</v>
      </c>
      <c r="EW63" s="20">
        <f>+MOP_Mes_Corriente!EW64*MOP_Mes_Constante!$EP$1</f>
        <v>2503895</v>
      </c>
      <c r="EX63" s="20">
        <f>+MOP_Mes_Corriente!EX64*MOP_Mes_Constante!$EP$1</f>
        <v>2503895</v>
      </c>
      <c r="EY63" s="20">
        <f>+MOP_Mes_Corriente!EY64*MOP_Mes_Constante!$EP$1</f>
        <v>2503895</v>
      </c>
      <c r="EZ63" s="20">
        <f>+MOP_Mes_Corriente!EZ64*MOP_Mes_Constante!$EP$1</f>
        <v>2503895</v>
      </c>
      <c r="FA63" s="20">
        <f>+MOP_Mes_Corriente!FA64*MOP_Mes_Constante!$EP$1</f>
        <v>391705</v>
      </c>
      <c r="FB63" s="20">
        <f t="shared" si="87"/>
        <v>391705</v>
      </c>
      <c r="FC63" s="20">
        <f>+MOP_Mes_Corriente!FC64*MOP_Mes_Constante!$FC$1</f>
        <v>2135157</v>
      </c>
      <c r="FD63" s="20">
        <f>+MOP_Mes_Corriente!FD64*MOP_Mes_Constante!$FC$1</f>
        <v>2135157</v>
      </c>
      <c r="FE63" s="20">
        <f>+MOP_Mes_Corriente!FE64*MOP_Mes_Constante!$FC$1</f>
        <v>2135157</v>
      </c>
      <c r="FF63" s="20">
        <f>+MOP_Mes_Corriente!FF64*MOP_Mes_Constante!$FC$1</f>
        <v>2135157</v>
      </c>
      <c r="FG63" s="20">
        <f>+MOP_Mes_Corriente!FG64*MOP_Mes_Constante!$FC$1</f>
        <v>2071102</v>
      </c>
      <c r="FH63" s="20">
        <f>+MOP_Mes_Corriente!FH64*MOP_Mes_Constante!$FC$1</f>
        <v>2071102</v>
      </c>
      <c r="FI63" s="20">
        <f>+MOP_Mes_Corriente!FI64*MOP_Mes_Constante!$FC$1</f>
        <v>2071102</v>
      </c>
      <c r="FJ63" s="10"/>
      <c r="FK63" s="10"/>
      <c r="FL63" s="10"/>
      <c r="FM63" s="10"/>
      <c r="FN63" s="10"/>
      <c r="FO63" s="20">
        <f t="shared" si="88"/>
        <v>2071102</v>
      </c>
    </row>
    <row r="64" spans="1:171" ht="27.75" customHeight="1">
      <c r="A64" s="10"/>
      <c r="B64" s="19" t="s">
        <v>47</v>
      </c>
      <c r="C64" s="20">
        <f>+MOP_Mes_Corriente!C65*MOP_Mes_Constante!$C$1</f>
        <v>374413.58742399531</v>
      </c>
      <c r="D64" s="20">
        <f>+MOP_Mes_Corriente!D65*MOP_Mes_Constante!$C$1</f>
        <v>374413.58742399531</v>
      </c>
      <c r="E64" s="20">
        <f>+MOP_Mes_Corriente!E65*MOP_Mes_Constante!$C$1</f>
        <v>374413.58742399531</v>
      </c>
      <c r="F64" s="20">
        <f>+MOP_Mes_Corriente!F65*MOP_Mes_Constante!$C$1</f>
        <v>374413.58742399531</v>
      </c>
      <c r="G64" s="20">
        <f>+MOP_Mes_Corriente!G65*MOP_Mes_Constante!$C$1</f>
        <v>374413.58742399531</v>
      </c>
      <c r="H64" s="20">
        <f>+MOP_Mes_Corriente!H65*MOP_Mes_Constante!$C$1</f>
        <v>374413.58742399531</v>
      </c>
      <c r="I64" s="20">
        <f>+MOP_Mes_Corriente!I65*MOP_Mes_Constante!$C$1</f>
        <v>374413.58742399531</v>
      </c>
      <c r="J64" s="20">
        <f>+MOP_Mes_Corriente!J65*MOP_Mes_Constante!$C$1</f>
        <v>374413.58742399531</v>
      </c>
      <c r="K64" s="20">
        <f>+MOP_Mes_Corriente!K65*MOP_Mes_Constante!$C$1</f>
        <v>374413.58742399531</v>
      </c>
      <c r="L64" s="20">
        <f>+MOP_Mes_Corriente!L65*MOP_Mes_Constante!$C$1</f>
        <v>374413.58742399531</v>
      </c>
      <c r="M64" s="20">
        <f>+MOP_Mes_Corriente!M65*MOP_Mes_Constante!$C$1</f>
        <v>374413.58742399531</v>
      </c>
      <c r="N64" s="20">
        <f>+MOP_Mes_Corriente!N65*MOP_Mes_Constante!$C$1</f>
        <v>374413.58742399531</v>
      </c>
      <c r="O64" s="20">
        <f t="shared" si="76"/>
        <v>374413.58742399531</v>
      </c>
      <c r="P64" s="20">
        <f>+MOP_Mes_Corriente!P65*MOP_Mes_Constante!$P$1</f>
        <v>726221.21579769824</v>
      </c>
      <c r="Q64" s="20">
        <f>+MOP_Mes_Corriente!Q65*MOP_Mes_Constante!$P$1</f>
        <v>726221.21579769824</v>
      </c>
      <c r="R64" s="20">
        <f>+MOP_Mes_Corriente!R65*MOP_Mes_Constante!$P$1</f>
        <v>726221.21579769824</v>
      </c>
      <c r="S64" s="20">
        <f>+MOP_Mes_Corriente!S65*MOP_Mes_Constante!$P$1</f>
        <v>726221.21579769824</v>
      </c>
      <c r="T64" s="20">
        <f>+MOP_Mes_Corriente!T65*MOP_Mes_Constante!$P$1</f>
        <v>726221.21579769824</v>
      </c>
      <c r="U64" s="20">
        <f>+MOP_Mes_Corriente!U65*MOP_Mes_Constante!$P$1</f>
        <v>726221.21579769824</v>
      </c>
      <c r="V64" s="20">
        <f>+MOP_Mes_Corriente!V65*MOP_Mes_Constante!$P$1</f>
        <v>726221.21579769824</v>
      </c>
      <c r="W64" s="20">
        <f>+MOP_Mes_Corriente!W65*MOP_Mes_Constante!$P$1</f>
        <v>726221.21579769824</v>
      </c>
      <c r="X64" s="20">
        <f>+MOP_Mes_Corriente!X65*MOP_Mes_Constante!$P$1</f>
        <v>726221.21579769824</v>
      </c>
      <c r="Y64" s="20">
        <f>+MOP_Mes_Corriente!Y65*MOP_Mes_Constante!$P$1</f>
        <v>726221.21579769824</v>
      </c>
      <c r="Z64" s="20">
        <f>+MOP_Mes_Corriente!Z65*MOP_Mes_Constante!$P$1</f>
        <v>1301780.3577212668</v>
      </c>
      <c r="AA64" s="20">
        <f>+MOP_Mes_Corriente!AA65*MOP_Mes_Constante!$P$1</f>
        <v>1301780.3577212668</v>
      </c>
      <c r="AB64" s="20">
        <f t="shared" si="77"/>
        <v>1301780.3577212668</v>
      </c>
      <c r="AC64" s="20">
        <f>+MOP_Mes_Corriente!AC65*MOP_Mes_Constante!$AC$1</f>
        <v>261738.8366302393</v>
      </c>
      <c r="AD64" s="20">
        <f>+MOP_Mes_Corriente!AD65*MOP_Mes_Constante!$AC$1</f>
        <v>261738.8366302393</v>
      </c>
      <c r="AE64" s="20">
        <f>+MOP_Mes_Corriente!AE65*MOP_Mes_Constante!$AC$1</f>
        <v>261738.8366302393</v>
      </c>
      <c r="AF64" s="20">
        <f>+MOP_Mes_Corriente!AF65*MOP_Mes_Constante!$AC$1</f>
        <v>261738.8366302393</v>
      </c>
      <c r="AG64" s="20">
        <f>+MOP_Mes_Corriente!AG65*MOP_Mes_Constante!$AC$1</f>
        <v>261738.8366302393</v>
      </c>
      <c r="AH64" s="20">
        <f>+MOP_Mes_Corriente!AH65*MOP_Mes_Constante!$AC$1</f>
        <v>261738.8366302393</v>
      </c>
      <c r="AI64" s="20">
        <f>+MOP_Mes_Corriente!AI65*MOP_Mes_Constante!$AC$1</f>
        <v>261738.8366302393</v>
      </c>
      <c r="AJ64" s="20">
        <f>+MOP_Mes_Corriente!AJ65*MOP_Mes_Constante!$AC$1</f>
        <v>261738.8366302393</v>
      </c>
      <c r="AK64" s="20">
        <f>+MOP_Mes_Corriente!AK65*MOP_Mes_Constante!$AC$1</f>
        <v>261738.8366302393</v>
      </c>
      <c r="AL64" s="20">
        <f>+MOP_Mes_Corriente!AL65*MOP_Mes_Constante!$AC$1</f>
        <v>960011.3501175819</v>
      </c>
      <c r="AM64" s="20">
        <f>+MOP_Mes_Corriente!AM65*MOP_Mes_Constante!$AC$1</f>
        <v>960011.3501175819</v>
      </c>
      <c r="AN64" s="20">
        <f>+MOP_Mes_Corriente!AN65*MOP_Mes_Constante!$AC$1</f>
        <v>960011.3501175819</v>
      </c>
      <c r="AO64" s="20">
        <f t="shared" si="78"/>
        <v>960011.3501175819</v>
      </c>
      <c r="AP64" s="20">
        <f>+MOP_Mes_Corriente!AP65*MOP_Mes_Constante!$AP$1</f>
        <v>147982.05139997293</v>
      </c>
      <c r="AQ64" s="20">
        <f>+MOP_Mes_Corriente!AQ65*MOP_Mes_Constante!$AP$1</f>
        <v>147982.05139997293</v>
      </c>
      <c r="AR64" s="20">
        <f>+MOP_Mes_Corriente!AR65*MOP_Mes_Constante!$AP$1</f>
        <v>147982.05139997293</v>
      </c>
      <c r="AS64" s="20">
        <f>+MOP_Mes_Corriente!AS65*MOP_Mes_Constante!$AP$1</f>
        <v>147982.05139997293</v>
      </c>
      <c r="AT64" s="20">
        <f>+MOP_Mes_Corriente!AT65*MOP_Mes_Constante!$AP$1</f>
        <v>147982.05139997293</v>
      </c>
      <c r="AU64" s="20">
        <f>+MOP_Mes_Corriente!AU65*MOP_Mes_Constante!$AP$1</f>
        <v>147982.05139997293</v>
      </c>
      <c r="AV64" s="20">
        <f>+MOP_Mes_Corriente!AV65*MOP_Mes_Constante!$AP$1</f>
        <v>147982.05139997293</v>
      </c>
      <c r="AW64" s="20">
        <f>+MOP_Mes_Corriente!AW65*MOP_Mes_Constante!$AP$1</f>
        <v>147982.05139997293</v>
      </c>
      <c r="AX64" s="20">
        <f>+MOP_Mes_Corriente!AX65*MOP_Mes_Constante!$AP$1</f>
        <v>147982.05139997293</v>
      </c>
      <c r="AY64" s="20">
        <f>+MOP_Mes_Corriente!AY65*MOP_Mes_Constante!$AP$1</f>
        <v>1599264.6159880967</v>
      </c>
      <c r="AZ64" s="20">
        <f>+MOP_Mes_Corriente!AZ65*MOP_Mes_Constante!$AP$1</f>
        <v>1599264.6159880967</v>
      </c>
      <c r="BA64" s="20">
        <f>+MOP_Mes_Corriente!BA65*MOP_Mes_Constante!$AP$1</f>
        <v>2604226.0660083862</v>
      </c>
      <c r="BB64" s="20">
        <f t="shared" si="79"/>
        <v>2604226.0660083862</v>
      </c>
      <c r="BC64" s="20">
        <f>+MOP_Mes_Corriente!BC65*MOP_Mes_Constante!$BC$1</f>
        <v>137601.60886192802</v>
      </c>
      <c r="BD64" s="20">
        <f>+MOP_Mes_Corriente!BD65*MOP_Mes_Constante!$BC$1</f>
        <v>137601.60886192802</v>
      </c>
      <c r="BE64" s="20">
        <f>+MOP_Mes_Corriente!BE65*MOP_Mes_Constante!$BC$1</f>
        <v>137601.60886192802</v>
      </c>
      <c r="BF64" s="20">
        <f>+MOP_Mes_Corriente!BF65*MOP_Mes_Constante!$BC$1</f>
        <v>137601.60886192802</v>
      </c>
      <c r="BG64" s="20">
        <f>+MOP_Mes_Corriente!BG65*MOP_Mes_Constante!$BC$1</f>
        <v>137601.60886192802</v>
      </c>
      <c r="BH64" s="20">
        <f>+MOP_Mes_Corriente!BH65*MOP_Mes_Constante!$BC$1</f>
        <v>137601.60886192802</v>
      </c>
      <c r="BI64" s="20">
        <f>+MOP_Mes_Corriente!BI65*MOP_Mes_Constante!$BC$1</f>
        <v>122582.14110510355</v>
      </c>
      <c r="BJ64" s="20">
        <f>+MOP_Mes_Corriente!BJ65*MOP_Mes_Constante!$BC$1</f>
        <v>122582.14110510355</v>
      </c>
      <c r="BK64" s="20">
        <f>+MOP_Mes_Corriente!BK65*MOP_Mes_Constante!$BC$1</f>
        <v>122582.14110510355</v>
      </c>
      <c r="BL64" s="20">
        <f>+MOP_Mes_Corriente!BL65*MOP_Mes_Constante!$BC$1</f>
        <v>122582.14110510355</v>
      </c>
      <c r="BM64" s="20">
        <f>+MOP_Mes_Corriente!BM65*MOP_Mes_Constante!$BC$1</f>
        <v>122582.14110510355</v>
      </c>
      <c r="BN64" s="20">
        <f>+MOP_Mes_Corriente!BN65*MOP_Mes_Constante!$BC$1</f>
        <v>2433907.3435315844</v>
      </c>
      <c r="BO64" s="20">
        <f t="shared" si="80"/>
        <v>2433907.3435315844</v>
      </c>
      <c r="BP64" s="20">
        <f>+MOP_Mes_Corriente!BP65*MOP_Mes_Constante!$BP$1</f>
        <v>136614.17131882205</v>
      </c>
      <c r="BQ64" s="20">
        <f>+MOP_Mes_Corriente!BQ65*MOP_Mes_Constante!$BP$1</f>
        <v>136614.17131882205</v>
      </c>
      <c r="BR64" s="20">
        <f>+MOP_Mes_Corriente!BR65*MOP_Mes_Constante!$BP$1</f>
        <v>136614.17131882205</v>
      </c>
      <c r="BS64" s="20">
        <f>+MOP_Mes_Corriente!BS65*MOP_Mes_Constante!$BP$1</f>
        <v>136614.17131882205</v>
      </c>
      <c r="BT64" s="20">
        <f>+MOP_Mes_Corriente!BT65*MOP_Mes_Constante!$BP$1</f>
        <v>136614.17131882205</v>
      </c>
      <c r="BU64" s="20">
        <f>+MOP_Mes_Corriente!BU65*MOP_Mes_Constante!$BP$1</f>
        <v>136614.17131882205</v>
      </c>
      <c r="BV64" s="20">
        <f>+MOP_Mes_Corriente!BV65*MOP_Mes_Constante!$BP$1</f>
        <v>136614.17131882205</v>
      </c>
      <c r="BW64" s="20">
        <f>+MOP_Mes_Corriente!BW65*MOP_Mes_Constante!$BP$1</f>
        <v>136614.17131882205</v>
      </c>
      <c r="BX64" s="20">
        <f>+MOP_Mes_Corriente!BX65*MOP_Mes_Constante!$BP$1</f>
        <v>136614.17131882205</v>
      </c>
      <c r="BY64" s="20">
        <f>+MOP_Mes_Corriente!BY65*MOP_Mes_Constante!$BP$1</f>
        <v>136614.17131882205</v>
      </c>
      <c r="BZ64" s="20">
        <f>+MOP_Mes_Corriente!BZ65*MOP_Mes_Constante!$BP$1</f>
        <v>136614.17131882205</v>
      </c>
      <c r="CA64" s="20">
        <f>+MOP_Mes_Corriente!CA65*MOP_Mes_Constante!$BP$1</f>
        <v>136614.17131882205</v>
      </c>
      <c r="CB64" s="20">
        <f t="shared" si="81"/>
        <v>136614.17131882205</v>
      </c>
      <c r="CC64" s="20">
        <f>+MOP_Mes_Corriente!CC65*MOP_Mes_Constante!$CC$1</f>
        <v>98056.876538605007</v>
      </c>
      <c r="CD64" s="20">
        <f>+MOP_Mes_Corriente!CD65*MOP_Mes_Constante!$CC$1</f>
        <v>98056.876538605007</v>
      </c>
      <c r="CE64" s="20">
        <f>+MOP_Mes_Corriente!CE65*MOP_Mes_Constante!$CC$1</f>
        <v>98056.876538605007</v>
      </c>
      <c r="CF64" s="20">
        <f>+MOP_Mes_Corriente!CF65*MOP_Mes_Constante!$CC$1</f>
        <v>80137.584483401719</v>
      </c>
      <c r="CG64" s="20">
        <f>+MOP_Mes_Corriente!CG65*MOP_Mes_Constante!$CC$1</f>
        <v>56677.181648638572</v>
      </c>
      <c r="CH64" s="20">
        <f>+MOP_Mes_Corriente!CH65*MOP_Mes_Constante!$CC$1</f>
        <v>56677.181648638572</v>
      </c>
      <c r="CI64" s="20">
        <f>+MOP_Mes_Corriente!CI65*MOP_Mes_Constante!$CC$1</f>
        <v>56677.181648638572</v>
      </c>
      <c r="CJ64" s="20">
        <f>+MOP_Mes_Corriente!CJ65*MOP_Mes_Constante!$CC$1</f>
        <v>56677.181648638572</v>
      </c>
      <c r="CK64" s="20">
        <f>+MOP_Mes_Corriente!CK65*MOP_Mes_Constante!$CC$1</f>
        <v>56677.181648638572</v>
      </c>
      <c r="CL64" s="20">
        <f>+MOP_Mes_Corriente!CL65*MOP_Mes_Constante!$CC$1</f>
        <v>520505.78291682212</v>
      </c>
      <c r="CM64" s="20">
        <f>+MOP_Mes_Corriente!CM65*MOP_Mes_Constante!$CC$1</f>
        <v>520505.78291682212</v>
      </c>
      <c r="CN64" s="20">
        <f>+MOP_Mes_Corriente!CN65*MOP_Mes_Constante!$CC$1</f>
        <v>520505.78291682212</v>
      </c>
      <c r="CO64" s="20">
        <f t="shared" si="82"/>
        <v>520505.78291682212</v>
      </c>
      <c r="CP64" s="20">
        <f>+MOP_Mes_Corriente!CP65*MOP_Mes_Constante!$CP$1</f>
        <v>131066.36937354985</v>
      </c>
      <c r="CQ64" s="20">
        <f>+MOP_Mes_Corriente!CQ65*MOP_Mes_Constante!$CP$1</f>
        <v>131066.36937354985</v>
      </c>
      <c r="CR64" s="20">
        <f>+MOP_Mes_Corriente!CR65*MOP_Mes_Constante!$CP$1</f>
        <v>131066.36937354985</v>
      </c>
      <c r="CS64" s="20">
        <f>+MOP_Mes_Corriente!CS65*MOP_Mes_Constante!$CP$1</f>
        <v>131066.36937354985</v>
      </c>
      <c r="CT64" s="20">
        <f>+MOP_Mes_Corriente!CT65*MOP_Mes_Constante!$CP$1</f>
        <v>131066.36937354985</v>
      </c>
      <c r="CU64" s="20">
        <f>+MOP_Mes_Corriente!CU65*MOP_Mes_Constante!$CP$1</f>
        <v>131066.36937354985</v>
      </c>
      <c r="CV64" s="20">
        <f>+MOP_Mes_Corriente!CV65*MOP_Mes_Constante!$CP$1</f>
        <v>131066.36937354985</v>
      </c>
      <c r="CW64" s="20">
        <f>+MOP_Mes_Corriente!CW65*MOP_Mes_Constante!$CP$1</f>
        <v>131066.36937354985</v>
      </c>
      <c r="CX64" s="20">
        <f>+MOP_Mes_Corriente!CX65*MOP_Mes_Constante!$CP$1</f>
        <v>131066.36937354985</v>
      </c>
      <c r="CY64" s="20">
        <f>+MOP_Mes_Corriente!CY65*MOP_Mes_Constante!$CP$1</f>
        <v>131066.36937354985</v>
      </c>
      <c r="CZ64" s="20">
        <f>+MOP_Mes_Corriente!CZ65*MOP_Mes_Constante!$CP$1</f>
        <v>131066.36937354985</v>
      </c>
      <c r="DA64" s="20">
        <f>+MOP_Mes_Corriente!DA65*MOP_Mes_Constante!$CP$1</f>
        <v>131066.36937354985</v>
      </c>
      <c r="DB64" s="20">
        <f t="shared" si="83"/>
        <v>131066.36937354985</v>
      </c>
      <c r="DC64" s="20">
        <f>+MOP_Mes_Corriente!DC65*MOP_Mes_Constante!$DC$1</f>
        <v>86514.45303981076</v>
      </c>
      <c r="DD64" s="20">
        <f>+MOP_Mes_Corriente!DD65*MOP_Mes_Constante!$DC$1</f>
        <v>86514.45303981076</v>
      </c>
      <c r="DE64" s="20">
        <f>+MOP_Mes_Corriente!DE65*MOP_Mes_Constante!$DC$1</f>
        <v>86514.45303981076</v>
      </c>
      <c r="DF64" s="20">
        <f>+MOP_Mes_Corriente!DF65*MOP_Mes_Constante!$DC$1</f>
        <v>86514.45303981076</v>
      </c>
      <c r="DG64" s="20">
        <f>+MOP_Mes_Corriente!DG65*MOP_Mes_Constante!$DC$1</f>
        <v>182094.75486061114</v>
      </c>
      <c r="DH64" s="20">
        <f>+MOP_Mes_Corriente!DH65*MOP_Mes_Constante!$DC$1</f>
        <v>182094.75486061114</v>
      </c>
      <c r="DI64" s="20">
        <f>+MOP_Mes_Corriente!DI65*MOP_Mes_Constante!$DC$1</f>
        <v>182094.75486061114</v>
      </c>
      <c r="DJ64" s="20">
        <f>+MOP_Mes_Corriente!DJ65*MOP_Mes_Constante!$DC$1</f>
        <v>182094.75486061114</v>
      </c>
      <c r="DK64" s="20">
        <f>+MOP_Mes_Corriente!DK65*MOP_Mes_Constante!$DC$1</f>
        <v>182094.75486061114</v>
      </c>
      <c r="DL64" s="20">
        <f>+MOP_Mes_Corriente!DL65*MOP_Mes_Constante!$DC$1</f>
        <v>182094.75486061114</v>
      </c>
      <c r="DM64" s="20">
        <f>+MOP_Mes_Corriente!DM65*MOP_Mes_Constante!$DC$1</f>
        <v>182094.75486061114</v>
      </c>
      <c r="DN64" s="20">
        <f>+MOP_Mes_Corriente!DN65*MOP_Mes_Constante!$DC$1</f>
        <v>182094.75486061114</v>
      </c>
      <c r="DO64" s="20">
        <f t="shared" si="84"/>
        <v>182094.75486061114</v>
      </c>
      <c r="DP64" s="20">
        <f>+MOP_Mes_Corriente!DP65*MOP_Mes_Constante!$DP$1</f>
        <v>259874.21793349172</v>
      </c>
      <c r="DQ64" s="20">
        <f>+MOP_Mes_Corriente!DQ65*MOP_Mes_Constante!$DP$1</f>
        <v>259874.21793349172</v>
      </c>
      <c r="DR64" s="20">
        <f>+MOP_Mes_Corriente!DR65*MOP_Mes_Constante!$DP$1</f>
        <v>259874.21793349172</v>
      </c>
      <c r="DS64" s="20">
        <f>+MOP_Mes_Corriente!DS65*MOP_Mes_Constante!$DP$1</f>
        <v>259874.21793349172</v>
      </c>
      <c r="DT64" s="20">
        <f>+MOP_Mes_Corriente!DT65*MOP_Mes_Constante!$DP$1</f>
        <v>259874.21793349172</v>
      </c>
      <c r="DU64" s="20">
        <f>+MOP_Mes_Corriente!DU65*MOP_Mes_Constante!$DP$1</f>
        <v>259874.21793349172</v>
      </c>
      <c r="DV64" s="20">
        <f>+MOP_Mes_Corriente!DV65*MOP_Mes_Constante!$DP$1</f>
        <v>259874.21793349172</v>
      </c>
      <c r="DW64" s="20">
        <f>+MOP_Mes_Corriente!DW65*MOP_Mes_Constante!$DP$1</f>
        <v>259874.21793349172</v>
      </c>
      <c r="DX64" s="20">
        <f>+MOP_Mes_Corriente!DX65*MOP_Mes_Constante!$DP$1</f>
        <v>259874.21793349172</v>
      </c>
      <c r="DY64" s="20">
        <f>+MOP_Mes_Corriente!DY65*MOP_Mes_Constante!$DP$1</f>
        <v>259874.21793349172</v>
      </c>
      <c r="DZ64" s="20">
        <f>+MOP_Mes_Corriente!DZ65*MOP_Mes_Constante!$DP$1</f>
        <v>259874.21793349172</v>
      </c>
      <c r="EA64" s="20">
        <f>+MOP_Mes_Corriente!EA65*MOP_Mes_Constante!$DP$1</f>
        <v>259874.21793349172</v>
      </c>
      <c r="EB64" s="20">
        <f t="shared" si="85"/>
        <v>259874.21793349172</v>
      </c>
      <c r="EC64" s="20">
        <f>+MOP_Mes_Corriente!EC65*MOP_Mes_Constante!$EC$1</f>
        <v>260205.7623556144</v>
      </c>
      <c r="ED64" s="20">
        <f>+MOP_Mes_Corriente!ED65*MOP_Mes_Constante!$EC$1</f>
        <v>260205.7623556144</v>
      </c>
      <c r="EE64" s="20">
        <f>+MOP_Mes_Corriente!EE65*MOP_Mes_Constante!$EC$1</f>
        <v>260205.7623556144</v>
      </c>
      <c r="EF64" s="20">
        <f>+MOP_Mes_Corriente!EF65*MOP_Mes_Constante!$EC$1</f>
        <v>2150674.7917061155</v>
      </c>
      <c r="EG64" s="20">
        <f>+MOP_Mes_Corriente!EG65*MOP_Mes_Constante!$EC$1</f>
        <v>2180001.822571482</v>
      </c>
      <c r="EH64" s="20">
        <f>+MOP_Mes_Corriente!EH65*MOP_Mes_Constante!$EC$1</f>
        <v>2180001.822571482</v>
      </c>
      <c r="EI64" s="20">
        <f>+MOP_Mes_Corriente!EI65*MOP_Mes_Constante!$EC$1</f>
        <v>2180001.822571482</v>
      </c>
      <c r="EJ64" s="20">
        <f>+MOP_Mes_Corriente!EJ65*MOP_Mes_Constante!$EC$1</f>
        <v>2180001.822571482</v>
      </c>
      <c r="EK64" s="20">
        <f>+MOP_Mes_Corriente!EK65*MOP_Mes_Constante!$EC$1</f>
        <v>2180001.822571482</v>
      </c>
      <c r="EL64" s="20">
        <f>+MOP_Mes_Corriente!EL65*MOP_Mes_Constante!$EC$1</f>
        <v>2180001.822571482</v>
      </c>
      <c r="EM64" s="20">
        <f>+MOP_Mes_Corriente!EM65*MOP_Mes_Constante!$EC$1</f>
        <v>2180001.822571482</v>
      </c>
      <c r="EN64" s="20">
        <f>+MOP_Mes_Corriente!EN65*MOP_Mes_Constante!$EC$1</f>
        <v>2067274.3020261307</v>
      </c>
      <c r="EO64" s="20">
        <f t="shared" si="86"/>
        <v>2067274.3020261307</v>
      </c>
      <c r="EP64" s="20">
        <f>+MOP_Mes_Corriente!EP65*MOP_Mes_Constante!$EP$1</f>
        <v>878719</v>
      </c>
      <c r="EQ64" s="20">
        <f>+MOP_Mes_Corriente!EQ65*MOP_Mes_Constante!$EP$1</f>
        <v>878719</v>
      </c>
      <c r="ER64" s="20">
        <f>+MOP_Mes_Corriente!ER65*MOP_Mes_Constante!$EP$1</f>
        <v>878719</v>
      </c>
      <c r="ES64" s="20">
        <f>+MOP_Mes_Corriente!ES65*MOP_Mes_Constante!$EP$1</f>
        <v>878719</v>
      </c>
      <c r="ET64" s="20">
        <f>+MOP_Mes_Corriente!ET65*MOP_Mes_Constante!$EP$1</f>
        <v>878719</v>
      </c>
      <c r="EU64" s="20">
        <f>+MOP_Mes_Corriente!EU65*MOP_Mes_Constante!$EP$1</f>
        <v>878719</v>
      </c>
      <c r="EV64" s="20">
        <f>+MOP_Mes_Corriente!EV65*MOP_Mes_Constante!$EP$1</f>
        <v>878719</v>
      </c>
      <c r="EW64" s="20">
        <f>+MOP_Mes_Corriente!EW65*MOP_Mes_Constante!$EP$1</f>
        <v>878719</v>
      </c>
      <c r="EX64" s="20">
        <f>+MOP_Mes_Corriente!EX65*MOP_Mes_Constante!$EP$1</f>
        <v>878719</v>
      </c>
      <c r="EY64" s="20">
        <f>+MOP_Mes_Corriente!EY65*MOP_Mes_Constante!$EP$1</f>
        <v>878719</v>
      </c>
      <c r="EZ64" s="20">
        <f>+MOP_Mes_Corriente!EZ65*MOP_Mes_Constante!$EP$1</f>
        <v>878719</v>
      </c>
      <c r="FA64" s="20">
        <f>+MOP_Mes_Corriente!FA65*MOP_Mes_Constante!$EP$1</f>
        <v>812930</v>
      </c>
      <c r="FB64" s="20">
        <f t="shared" si="87"/>
        <v>812930</v>
      </c>
      <c r="FC64" s="20">
        <f>+MOP_Mes_Corriente!FC65*MOP_Mes_Constante!$FC$1</f>
        <v>294239</v>
      </c>
      <c r="FD64" s="20">
        <f>+MOP_Mes_Corriente!FD65*MOP_Mes_Constante!$FC$1</f>
        <v>294239</v>
      </c>
      <c r="FE64" s="20">
        <f>+MOP_Mes_Corriente!FE65*MOP_Mes_Constante!$FC$1</f>
        <v>294239</v>
      </c>
      <c r="FF64" s="20">
        <f>+MOP_Mes_Corriente!FF65*MOP_Mes_Constante!$FC$1</f>
        <v>294239</v>
      </c>
      <c r="FG64" s="20">
        <f>+MOP_Mes_Corriente!FG65*MOP_Mes_Constante!$FC$1</f>
        <v>292976</v>
      </c>
      <c r="FH64" s="20">
        <f>+MOP_Mes_Corriente!FH65*MOP_Mes_Constante!$FC$1</f>
        <v>292976</v>
      </c>
      <c r="FI64" s="20">
        <f>+MOP_Mes_Corriente!FI65*MOP_Mes_Constante!$FC$1</f>
        <v>292976</v>
      </c>
      <c r="FJ64" s="10"/>
      <c r="FK64" s="10"/>
      <c r="FL64" s="10"/>
      <c r="FM64" s="10"/>
      <c r="FN64" s="10"/>
      <c r="FO64" s="20">
        <f t="shared" si="88"/>
        <v>292976</v>
      </c>
    </row>
    <row r="65" spans="1:171" ht="27.75" customHeight="1">
      <c r="A65" s="10"/>
      <c r="B65" s="19" t="s">
        <v>48</v>
      </c>
      <c r="C65" s="20">
        <f>+MOP_Mes_Corriente!C66*MOP_Mes_Constante!$C$1</f>
        <v>169783.202135548</v>
      </c>
      <c r="D65" s="20">
        <f>+MOP_Mes_Corriente!D66*MOP_Mes_Constante!$C$1</f>
        <v>169783.202135548</v>
      </c>
      <c r="E65" s="20">
        <f>+MOP_Mes_Corriente!E66*MOP_Mes_Constante!$C$1</f>
        <v>169783.202135548</v>
      </c>
      <c r="F65" s="20">
        <f>+MOP_Mes_Corriente!F66*MOP_Mes_Constante!$C$1</f>
        <v>169783.202135548</v>
      </c>
      <c r="G65" s="20">
        <f>+MOP_Mes_Corriente!G66*MOP_Mes_Constante!$C$1</f>
        <v>230090.89811656537</v>
      </c>
      <c r="H65" s="20">
        <f>+MOP_Mes_Corriente!H66*MOP_Mes_Constante!$C$1</f>
        <v>230090.89811656537</v>
      </c>
      <c r="I65" s="20">
        <f>+MOP_Mes_Corriente!I66*MOP_Mes_Constante!$C$1</f>
        <v>230090.89811656537</v>
      </c>
      <c r="J65" s="20">
        <f>+MOP_Mes_Corriente!J66*MOP_Mes_Constante!$C$1</f>
        <v>230090.89811656537</v>
      </c>
      <c r="K65" s="20">
        <f>+MOP_Mes_Corriente!K66*MOP_Mes_Constante!$C$1</f>
        <v>230090.89811656537</v>
      </c>
      <c r="L65" s="20">
        <f>+MOP_Mes_Corriente!L66*MOP_Mes_Constante!$C$1</f>
        <v>230090.89811656537</v>
      </c>
      <c r="M65" s="20">
        <f>+MOP_Mes_Corriente!M66*MOP_Mes_Constante!$C$1</f>
        <v>230090.89811656537</v>
      </c>
      <c r="N65" s="20">
        <f>+MOP_Mes_Corriente!N66*MOP_Mes_Constante!$C$1</f>
        <v>230090.89811656537</v>
      </c>
      <c r="O65" s="20">
        <f t="shared" si="76"/>
        <v>230090.89811656537</v>
      </c>
      <c r="P65" s="20">
        <f>+MOP_Mes_Corriente!P66*MOP_Mes_Constante!$P$1</f>
        <v>148465.69796846138</v>
      </c>
      <c r="Q65" s="20">
        <f>+MOP_Mes_Corriente!Q66*MOP_Mes_Constante!$P$1</f>
        <v>148465.69796846138</v>
      </c>
      <c r="R65" s="20">
        <f>+MOP_Mes_Corriente!R66*MOP_Mes_Constante!$P$1</f>
        <v>148465.69796846138</v>
      </c>
      <c r="S65" s="20">
        <f>+MOP_Mes_Corriente!S66*MOP_Mes_Constante!$P$1</f>
        <v>148465.69796846138</v>
      </c>
      <c r="T65" s="20">
        <f>+MOP_Mes_Corriente!T66*MOP_Mes_Constante!$P$1</f>
        <v>148465.69796846138</v>
      </c>
      <c r="U65" s="20">
        <f>+MOP_Mes_Corriente!U66*MOP_Mes_Constante!$P$1</f>
        <v>148465.69796846138</v>
      </c>
      <c r="V65" s="20">
        <f>+MOP_Mes_Corriente!V66*MOP_Mes_Constante!$P$1</f>
        <v>148465.69796846138</v>
      </c>
      <c r="W65" s="20">
        <f>+MOP_Mes_Corriente!W66*MOP_Mes_Constante!$P$1</f>
        <v>148465.69796846138</v>
      </c>
      <c r="X65" s="20">
        <f>+MOP_Mes_Corriente!X66*MOP_Mes_Constante!$P$1</f>
        <v>458907.52209120599</v>
      </c>
      <c r="Y65" s="20">
        <f>+MOP_Mes_Corriente!Y66*MOP_Mes_Constante!$P$1</f>
        <v>458907.52209120599</v>
      </c>
      <c r="Z65" s="20">
        <f>+MOP_Mes_Corriente!Z66*MOP_Mes_Constante!$P$1</f>
        <v>458907.52209120599</v>
      </c>
      <c r="AA65" s="20">
        <f>+MOP_Mes_Corriente!AA66*MOP_Mes_Constante!$P$1</f>
        <v>458907.52209120599</v>
      </c>
      <c r="AB65" s="20">
        <f t="shared" si="77"/>
        <v>458907.52209120599</v>
      </c>
      <c r="AC65" s="20">
        <f>+MOP_Mes_Corriente!AC66*MOP_Mes_Constante!$AC$1</f>
        <v>145112.21275418453</v>
      </c>
      <c r="AD65" s="20">
        <f>+MOP_Mes_Corriente!AD66*MOP_Mes_Constante!$AC$1</f>
        <v>145112.21275418453</v>
      </c>
      <c r="AE65" s="20">
        <f>+MOP_Mes_Corriente!AE66*MOP_Mes_Constante!$AC$1</f>
        <v>145112.21275418453</v>
      </c>
      <c r="AF65" s="20">
        <f>+MOP_Mes_Corriente!AF66*MOP_Mes_Constante!$AC$1</f>
        <v>145112.21275418453</v>
      </c>
      <c r="AG65" s="20">
        <f>+MOP_Mes_Corriente!AG66*MOP_Mes_Constante!$AC$1</f>
        <v>145112.21275418453</v>
      </c>
      <c r="AH65" s="20">
        <f>+MOP_Mes_Corriente!AH66*MOP_Mes_Constante!$AC$1</f>
        <v>198011.64559413472</v>
      </c>
      <c r="AI65" s="20">
        <f>+MOP_Mes_Corriente!AI66*MOP_Mes_Constante!$AC$1</f>
        <v>198011.64559413472</v>
      </c>
      <c r="AJ65" s="20">
        <f>+MOP_Mes_Corriente!AJ66*MOP_Mes_Constante!$AC$1</f>
        <v>198011.64559413472</v>
      </c>
      <c r="AK65" s="20">
        <f>+MOP_Mes_Corriente!AK66*MOP_Mes_Constante!$AC$1</f>
        <v>198011.64559413472</v>
      </c>
      <c r="AL65" s="20">
        <f>+MOP_Mes_Corriente!AL66*MOP_Mes_Constante!$AC$1</f>
        <v>198011.64559413472</v>
      </c>
      <c r="AM65" s="20">
        <f>+MOP_Mes_Corriente!AM66*MOP_Mes_Constante!$AC$1</f>
        <v>198011.64559413472</v>
      </c>
      <c r="AN65" s="20">
        <f>+MOP_Mes_Corriente!AN66*MOP_Mes_Constante!$AC$1</f>
        <v>198011.64559413472</v>
      </c>
      <c r="AO65" s="20">
        <f t="shared" si="78"/>
        <v>198011.64559413472</v>
      </c>
      <c r="AP65" s="20">
        <f>+MOP_Mes_Corriente!AP66*MOP_Mes_Constante!$AP$1</f>
        <v>182802.48775869064</v>
      </c>
      <c r="AQ65" s="20">
        <f>+MOP_Mes_Corriente!AQ66*MOP_Mes_Constante!$AP$1</f>
        <v>182802.48775869064</v>
      </c>
      <c r="AR65" s="20">
        <f>+MOP_Mes_Corriente!AR66*MOP_Mes_Constante!$AP$1</f>
        <v>194647.73190856213</v>
      </c>
      <c r="AS65" s="20">
        <f>+MOP_Mes_Corriente!AS66*MOP_Mes_Constante!$AP$1</f>
        <v>194647.73190856213</v>
      </c>
      <c r="AT65" s="20">
        <f>+MOP_Mes_Corriente!AT66*MOP_Mes_Constante!$AP$1</f>
        <v>194647.73190856213</v>
      </c>
      <c r="AU65" s="20">
        <f>+MOP_Mes_Corriente!AU66*MOP_Mes_Constante!$AP$1</f>
        <v>228798.68659542809</v>
      </c>
      <c r="AV65" s="20">
        <f>+MOP_Mes_Corriente!AV66*MOP_Mes_Constante!$AP$1</f>
        <v>228798.68659542809</v>
      </c>
      <c r="AW65" s="20">
        <f>+MOP_Mes_Corriente!AW66*MOP_Mes_Constante!$AP$1</f>
        <v>228798.68659542809</v>
      </c>
      <c r="AX65" s="20">
        <f>+MOP_Mes_Corriente!AX66*MOP_Mes_Constante!$AP$1</f>
        <v>228798.68659542809</v>
      </c>
      <c r="AY65" s="20">
        <f>+MOP_Mes_Corriente!AY66*MOP_Mes_Constante!$AP$1</f>
        <v>228798.68659542809</v>
      </c>
      <c r="AZ65" s="20">
        <f>+MOP_Mes_Corriente!AZ66*MOP_Mes_Constante!$AP$1</f>
        <v>228798.68659542809</v>
      </c>
      <c r="BA65" s="20">
        <f>+MOP_Mes_Corriente!BA66*MOP_Mes_Constante!$AP$1</f>
        <v>141443.89043689976</v>
      </c>
      <c r="BB65" s="20">
        <f t="shared" si="79"/>
        <v>141443.89043689976</v>
      </c>
      <c r="BC65" s="20">
        <f>+MOP_Mes_Corriente!BC66*MOP_Mes_Constante!$BC$1</f>
        <v>145634.3729394699</v>
      </c>
      <c r="BD65" s="20">
        <f>+MOP_Mes_Corriente!BD66*MOP_Mes_Constante!$BC$1</f>
        <v>145634.3729394699</v>
      </c>
      <c r="BE65" s="20">
        <f>+MOP_Mes_Corriente!BE66*MOP_Mes_Constante!$BC$1</f>
        <v>145634.3729394699</v>
      </c>
      <c r="BF65" s="20">
        <f>+MOP_Mes_Corriente!BF66*MOP_Mes_Constante!$BC$1</f>
        <v>145634.3729394699</v>
      </c>
      <c r="BG65" s="20">
        <f>+MOP_Mes_Corriente!BG66*MOP_Mes_Constante!$BC$1</f>
        <v>230800.40327047347</v>
      </c>
      <c r="BH65" s="20">
        <f>+MOP_Mes_Corriente!BH66*MOP_Mes_Constante!$BC$1</f>
        <v>230800.40327047347</v>
      </c>
      <c r="BI65" s="20">
        <f>+MOP_Mes_Corriente!BI66*MOP_Mes_Constante!$BC$1</f>
        <v>210271.10774099967</v>
      </c>
      <c r="BJ65" s="20">
        <f>+MOP_Mes_Corriente!BJ66*MOP_Mes_Constante!$BC$1</f>
        <v>237771.25754978246</v>
      </c>
      <c r="BK65" s="20">
        <f>+MOP_Mes_Corriente!BK66*MOP_Mes_Constante!$BC$1</f>
        <v>237771.25754978246</v>
      </c>
      <c r="BL65" s="20">
        <f>+MOP_Mes_Corriente!BL66*MOP_Mes_Constante!$BC$1</f>
        <v>418416.95503099047</v>
      </c>
      <c r="BM65" s="20">
        <f>+MOP_Mes_Corriente!BM66*MOP_Mes_Constante!$BC$1</f>
        <v>418416.95503099047</v>
      </c>
      <c r="BN65" s="20">
        <f>+MOP_Mes_Corriente!BN66*MOP_Mes_Constante!$BC$1</f>
        <v>438946.25056046428</v>
      </c>
      <c r="BO65" s="20">
        <f t="shared" si="80"/>
        <v>438946.25056046428</v>
      </c>
      <c r="BP65" s="20">
        <f>+MOP_Mes_Corriente!BP66*MOP_Mes_Constante!$BP$1</f>
        <v>156527.19103713191</v>
      </c>
      <c r="BQ65" s="20">
        <f>+MOP_Mes_Corriente!BQ66*MOP_Mes_Constante!$BP$1</f>
        <v>156527.19103713191</v>
      </c>
      <c r="BR65" s="20">
        <f>+MOP_Mes_Corriente!BR66*MOP_Mes_Constante!$BP$1</f>
        <v>156527.19103713191</v>
      </c>
      <c r="BS65" s="20">
        <f>+MOP_Mes_Corriente!BS66*MOP_Mes_Constante!$BP$1</f>
        <v>156527.19103713191</v>
      </c>
      <c r="BT65" s="20">
        <f>+MOP_Mes_Corriente!BT66*MOP_Mes_Constante!$BP$1</f>
        <v>156527.19103713191</v>
      </c>
      <c r="BU65" s="20">
        <f>+MOP_Mes_Corriente!BU66*MOP_Mes_Constante!$BP$1</f>
        <v>156527.19103713191</v>
      </c>
      <c r="BV65" s="20">
        <f>+MOP_Mes_Corriente!BV66*MOP_Mes_Constante!$BP$1</f>
        <v>156527.19103713191</v>
      </c>
      <c r="BW65" s="20">
        <f>+MOP_Mes_Corriente!BW66*MOP_Mes_Constante!$BP$1</f>
        <v>156527.19103713191</v>
      </c>
      <c r="BX65" s="20">
        <f>+MOP_Mes_Corriente!BX66*MOP_Mes_Constante!$BP$1</f>
        <v>156527.19103713191</v>
      </c>
      <c r="BY65" s="20">
        <f>+MOP_Mes_Corriente!BY66*MOP_Mes_Constante!$BP$1</f>
        <v>156527.19103713191</v>
      </c>
      <c r="BZ65" s="20">
        <f>+MOP_Mes_Corriente!BZ66*MOP_Mes_Constante!$BP$1</f>
        <v>156527.19103713191</v>
      </c>
      <c r="CA65" s="20">
        <f>+MOP_Mes_Corriente!CA66*MOP_Mes_Constante!$BP$1</f>
        <v>156527.19103713191</v>
      </c>
      <c r="CB65" s="20">
        <f t="shared" si="81"/>
        <v>156527.19103713191</v>
      </c>
      <c r="CC65" s="20">
        <f>+MOP_Mes_Corriente!CC66*MOP_Mes_Constante!$CC$1</f>
        <v>252375.24953375608</v>
      </c>
      <c r="CD65" s="20">
        <f>+MOP_Mes_Corriente!CD66*MOP_Mes_Constante!$CC$1</f>
        <v>252375.24953375608</v>
      </c>
      <c r="CE65" s="20">
        <f>+MOP_Mes_Corriente!CE66*MOP_Mes_Constante!$CC$1</f>
        <v>252375.24953375608</v>
      </c>
      <c r="CF65" s="20">
        <f>+MOP_Mes_Corriente!CF66*MOP_Mes_Constante!$CC$1</f>
        <v>217036.57441253265</v>
      </c>
      <c r="CG65" s="20">
        <f>+MOP_Mes_Corriente!CG66*MOP_Mes_Constante!$CC$1</f>
        <v>145872.89966430436</v>
      </c>
      <c r="CH65" s="20">
        <f>+MOP_Mes_Corriente!CH66*MOP_Mes_Constante!$CC$1</f>
        <v>145872.89966430436</v>
      </c>
      <c r="CI65" s="20">
        <f>+MOP_Mes_Corriente!CI66*MOP_Mes_Constante!$CC$1</f>
        <v>145872.89966430436</v>
      </c>
      <c r="CJ65" s="20">
        <f>+MOP_Mes_Corriente!CJ66*MOP_Mes_Constante!$CC$1</f>
        <v>145872.89966430436</v>
      </c>
      <c r="CK65" s="20">
        <f>+MOP_Mes_Corriente!CK66*MOP_Mes_Constante!$CC$1</f>
        <v>145872.89966430436</v>
      </c>
      <c r="CL65" s="20">
        <f>+MOP_Mes_Corriente!CL66*MOP_Mes_Constante!$CC$1</f>
        <v>145872.89966430436</v>
      </c>
      <c r="CM65" s="20">
        <f>+MOP_Mes_Corriente!CM66*MOP_Mes_Constante!$CC$1</f>
        <v>145872.89966430436</v>
      </c>
      <c r="CN65" s="20">
        <f>+MOP_Mes_Corriente!CN66*MOP_Mes_Constante!$CC$1</f>
        <v>145872.89966430436</v>
      </c>
      <c r="CO65" s="20">
        <f t="shared" si="82"/>
        <v>145872.89966430436</v>
      </c>
      <c r="CP65" s="20">
        <f>+MOP_Mes_Corriente!CP66*MOP_Mes_Constante!$CP$1</f>
        <v>136095.87842227376</v>
      </c>
      <c r="CQ65" s="20">
        <f>+MOP_Mes_Corriente!CQ66*MOP_Mes_Constante!$CP$1</f>
        <v>136095.87842227376</v>
      </c>
      <c r="CR65" s="20">
        <f>+MOP_Mes_Corriente!CR66*MOP_Mes_Constante!$CP$1</f>
        <v>136095.87842227376</v>
      </c>
      <c r="CS65" s="20">
        <f>+MOP_Mes_Corriente!CS66*MOP_Mes_Constante!$CP$1</f>
        <v>136095.87842227376</v>
      </c>
      <c r="CT65" s="20">
        <f>+MOP_Mes_Corriente!CT66*MOP_Mes_Constante!$CP$1</f>
        <v>136095.87842227376</v>
      </c>
      <c r="CU65" s="20">
        <f>+MOP_Mes_Corriente!CU66*MOP_Mes_Constante!$CP$1</f>
        <v>136095.87842227376</v>
      </c>
      <c r="CV65" s="20">
        <f>+MOP_Mes_Corriente!CV66*MOP_Mes_Constante!$CP$1</f>
        <v>136095.87842227376</v>
      </c>
      <c r="CW65" s="20">
        <f>+MOP_Mes_Corriente!CW66*MOP_Mes_Constante!$CP$1</f>
        <v>136095.87842227376</v>
      </c>
      <c r="CX65" s="20">
        <f>+MOP_Mes_Corriente!CX66*MOP_Mes_Constante!$CP$1</f>
        <v>136095.87842227376</v>
      </c>
      <c r="CY65" s="20">
        <f>+MOP_Mes_Corriente!CY66*MOP_Mes_Constante!$CP$1</f>
        <v>136095.87842227376</v>
      </c>
      <c r="CZ65" s="20">
        <f>+MOP_Mes_Corriente!CZ66*MOP_Mes_Constante!$CP$1</f>
        <v>136095.87842227376</v>
      </c>
      <c r="DA65" s="20">
        <f>+MOP_Mes_Corriente!DA66*MOP_Mes_Constante!$CP$1</f>
        <v>136095.87842227376</v>
      </c>
      <c r="DB65" s="20">
        <f t="shared" si="83"/>
        <v>136095.87842227376</v>
      </c>
      <c r="DC65" s="20">
        <f>+MOP_Mes_Corriente!DC66*MOP_Mes_Constante!$DC$1</f>
        <v>190494.09628639038</v>
      </c>
      <c r="DD65" s="20">
        <f>+MOP_Mes_Corriente!DD66*MOP_Mes_Constante!$DC$1</f>
        <v>190494.09628639038</v>
      </c>
      <c r="DE65" s="20">
        <f>+MOP_Mes_Corriente!DE66*MOP_Mes_Constante!$DC$1</f>
        <v>190494.09628639038</v>
      </c>
      <c r="DF65" s="20">
        <f>+MOP_Mes_Corriente!DF66*MOP_Mes_Constante!$DC$1</f>
        <v>190494.09628639038</v>
      </c>
      <c r="DG65" s="20">
        <f>+MOP_Mes_Corriente!DG66*MOP_Mes_Constante!$DC$1</f>
        <v>190494.09628639038</v>
      </c>
      <c r="DH65" s="20">
        <f>+MOP_Mes_Corriente!DH66*MOP_Mes_Constante!$DC$1</f>
        <v>190494.09628639038</v>
      </c>
      <c r="DI65" s="20">
        <f>+MOP_Mes_Corriente!DI66*MOP_Mes_Constante!$DC$1</f>
        <v>190494.09628639038</v>
      </c>
      <c r="DJ65" s="20">
        <f>+MOP_Mes_Corriente!DJ66*MOP_Mes_Constante!$DC$1</f>
        <v>190494.09628639038</v>
      </c>
      <c r="DK65" s="20">
        <f>+MOP_Mes_Corriente!DK66*MOP_Mes_Constante!$DC$1</f>
        <v>190494.09628639038</v>
      </c>
      <c r="DL65" s="20">
        <f>+MOP_Mes_Corriente!DL66*MOP_Mes_Constante!$DC$1</f>
        <v>444918.94866783277</v>
      </c>
      <c r="DM65" s="20">
        <f>+MOP_Mes_Corriente!DM66*MOP_Mes_Constante!$DC$1</f>
        <v>444918.94866783277</v>
      </c>
      <c r="DN65" s="20">
        <f>+MOP_Mes_Corriente!DN66*MOP_Mes_Constante!$DC$1</f>
        <v>444918.94866783277</v>
      </c>
      <c r="DO65" s="20">
        <f t="shared" si="84"/>
        <v>444918.94866783277</v>
      </c>
      <c r="DP65" s="20">
        <f>+MOP_Mes_Corriente!DP66*MOP_Mes_Constante!$DP$1</f>
        <v>602267.63479809987</v>
      </c>
      <c r="DQ65" s="20">
        <f>+MOP_Mes_Corriente!DQ66*MOP_Mes_Constante!$DP$1</f>
        <v>602267.63479809987</v>
      </c>
      <c r="DR65" s="20">
        <f>+MOP_Mes_Corriente!DR66*MOP_Mes_Constante!$DP$1</f>
        <v>602267.63479809987</v>
      </c>
      <c r="DS65" s="20">
        <f>+MOP_Mes_Corriente!DS66*MOP_Mes_Constante!$DP$1</f>
        <v>602267.63479809987</v>
      </c>
      <c r="DT65" s="20">
        <f>+MOP_Mes_Corriente!DT66*MOP_Mes_Constante!$DP$1</f>
        <v>602267.63479809987</v>
      </c>
      <c r="DU65" s="20">
        <f>+MOP_Mes_Corriente!DU66*MOP_Mes_Constante!$DP$1</f>
        <v>602267.63479809987</v>
      </c>
      <c r="DV65" s="20">
        <f>+MOP_Mes_Corriente!DV66*MOP_Mes_Constante!$DP$1</f>
        <v>602267.63479809987</v>
      </c>
      <c r="DW65" s="20">
        <f>+MOP_Mes_Corriente!DW66*MOP_Mes_Constante!$DP$1</f>
        <v>602267.63479809987</v>
      </c>
      <c r="DX65" s="20">
        <f>+MOP_Mes_Corriente!DX66*MOP_Mes_Constante!$DP$1</f>
        <v>602267.63479809987</v>
      </c>
      <c r="DY65" s="20">
        <f>+MOP_Mes_Corriente!DY66*MOP_Mes_Constante!$DP$1</f>
        <v>602267.63479809987</v>
      </c>
      <c r="DZ65" s="20">
        <f>+MOP_Mes_Corriente!DZ66*MOP_Mes_Constante!$DP$1</f>
        <v>602267.63479809987</v>
      </c>
      <c r="EA65" s="20">
        <f>+MOP_Mes_Corriente!EA66*MOP_Mes_Constante!$DP$1</f>
        <v>602267.63479809987</v>
      </c>
      <c r="EB65" s="20">
        <f t="shared" si="85"/>
        <v>602267.63479809987</v>
      </c>
      <c r="EC65" s="20">
        <f>+MOP_Mes_Corriente!EC66*MOP_Mes_Constante!$EC$1</f>
        <v>636977.93807990896</v>
      </c>
      <c r="ED65" s="20">
        <f>+MOP_Mes_Corriente!ED66*MOP_Mes_Constante!$EC$1</f>
        <v>636977.93807990896</v>
      </c>
      <c r="EE65" s="20">
        <f>+MOP_Mes_Corriente!EE66*MOP_Mes_Constante!$EC$1</f>
        <v>636977.93807990896</v>
      </c>
      <c r="EF65" s="20">
        <f>+MOP_Mes_Corriente!EF66*MOP_Mes_Constante!$EC$1</f>
        <v>636977.93807990896</v>
      </c>
      <c r="EG65" s="20">
        <f>+MOP_Mes_Corriente!EG66*MOP_Mes_Constante!$EC$1</f>
        <v>636977.93807990896</v>
      </c>
      <c r="EH65" s="20">
        <f>+MOP_Mes_Corriente!EH66*MOP_Mes_Constante!$EC$1</f>
        <v>636977.93807990896</v>
      </c>
      <c r="EI65" s="20">
        <f>+MOP_Mes_Corriente!EI66*MOP_Mes_Constante!$EC$1</f>
        <v>636977.93807990896</v>
      </c>
      <c r="EJ65" s="20">
        <f>+MOP_Mes_Corriente!EJ66*MOP_Mes_Constante!$EC$1</f>
        <v>654046.5803825031</v>
      </c>
      <c r="EK65" s="20">
        <f>+MOP_Mes_Corriente!EK66*MOP_Mes_Constante!$EC$1</f>
        <v>654046.5803825031</v>
      </c>
      <c r="EL65" s="20">
        <f>+MOP_Mes_Corriente!EL66*MOP_Mes_Constante!$EC$1</f>
        <v>654046.5803825031</v>
      </c>
      <c r="EM65" s="20">
        <f>+MOP_Mes_Corriente!EM66*MOP_Mes_Constante!$EC$1</f>
        <v>654046.5803825031</v>
      </c>
      <c r="EN65" s="20">
        <f>+MOP_Mes_Corriente!EN66*MOP_Mes_Constante!$EC$1</f>
        <v>654046.5803825031</v>
      </c>
      <c r="EO65" s="20">
        <f t="shared" si="86"/>
        <v>654046.5803825031</v>
      </c>
      <c r="EP65" s="20">
        <f>+MOP_Mes_Corriente!EP66*MOP_Mes_Constante!$EP$1</f>
        <v>527858</v>
      </c>
      <c r="EQ65" s="20">
        <f>+MOP_Mes_Corriente!EQ66*MOP_Mes_Constante!$EP$1</f>
        <v>527858</v>
      </c>
      <c r="ER65" s="20">
        <f>+MOP_Mes_Corriente!ER66*MOP_Mes_Constante!$EP$1</f>
        <v>527858</v>
      </c>
      <c r="ES65" s="20">
        <f>+MOP_Mes_Corriente!ES66*MOP_Mes_Constante!$EP$1</f>
        <v>527858</v>
      </c>
      <c r="ET65" s="20">
        <f>+MOP_Mes_Corriente!ET66*MOP_Mes_Constante!$EP$1</f>
        <v>527858</v>
      </c>
      <c r="EU65" s="20">
        <f>+MOP_Mes_Corriente!EU66*MOP_Mes_Constante!$EP$1</f>
        <v>527858</v>
      </c>
      <c r="EV65" s="20">
        <f>+MOP_Mes_Corriente!EV66*MOP_Mes_Constante!$EP$1</f>
        <v>527858</v>
      </c>
      <c r="EW65" s="20">
        <f>+MOP_Mes_Corriente!EW66*MOP_Mes_Constante!$EP$1</f>
        <v>527858</v>
      </c>
      <c r="EX65" s="20">
        <f>+MOP_Mes_Corriente!EX66*MOP_Mes_Constante!$EP$1</f>
        <v>527858</v>
      </c>
      <c r="EY65" s="20">
        <f>+MOP_Mes_Corriente!EY66*MOP_Mes_Constante!$EP$1</f>
        <v>527858</v>
      </c>
      <c r="EZ65" s="20">
        <f>+MOP_Mes_Corriente!EZ66*MOP_Mes_Constante!$EP$1</f>
        <v>527858</v>
      </c>
      <c r="FA65" s="20">
        <f>+MOP_Mes_Corriente!FA66*MOP_Mes_Constante!$EP$1</f>
        <v>527858</v>
      </c>
      <c r="FB65" s="20">
        <f t="shared" si="87"/>
        <v>527858</v>
      </c>
      <c r="FC65" s="20">
        <f>+MOP_Mes_Corriente!FC66*MOP_Mes_Constante!$FC$1</f>
        <v>392933</v>
      </c>
      <c r="FD65" s="20">
        <f>+MOP_Mes_Corriente!FD66*MOP_Mes_Constante!$FC$1</f>
        <v>392933</v>
      </c>
      <c r="FE65" s="20">
        <f>+MOP_Mes_Corriente!FE66*MOP_Mes_Constante!$FC$1</f>
        <v>392933</v>
      </c>
      <c r="FF65" s="20">
        <f>+MOP_Mes_Corriente!FF66*MOP_Mes_Constante!$FC$1</f>
        <v>392933</v>
      </c>
      <c r="FG65" s="20">
        <f>+MOP_Mes_Corriente!FG66*MOP_Mes_Constante!$FC$1</f>
        <v>381145</v>
      </c>
      <c r="FH65" s="20">
        <f>+MOP_Mes_Corriente!FH66*MOP_Mes_Constante!$FC$1</f>
        <v>381145</v>
      </c>
      <c r="FI65" s="20">
        <f>+MOP_Mes_Corriente!FI66*MOP_Mes_Constante!$FC$1</f>
        <v>381145</v>
      </c>
      <c r="FJ65" s="10"/>
      <c r="FK65" s="10"/>
      <c r="FL65" s="10"/>
      <c r="FM65" s="10"/>
      <c r="FN65" s="10"/>
      <c r="FO65" s="20">
        <f t="shared" si="88"/>
        <v>381145</v>
      </c>
    </row>
    <row r="66" spans="1:171" ht="21.75" customHeight="1">
      <c r="A66" s="10"/>
      <c r="B66" s="15" t="s">
        <v>49</v>
      </c>
      <c r="C66" s="38">
        <f t="shared" ref="C66:AH66" si="89">SUM(C60:C65)</f>
        <v>6282458.1017351337</v>
      </c>
      <c r="D66" s="38">
        <f t="shared" si="89"/>
        <v>6282458.1017351337</v>
      </c>
      <c r="E66" s="38">
        <f t="shared" si="89"/>
        <v>6282458.1017351337</v>
      </c>
      <c r="F66" s="38">
        <f t="shared" si="89"/>
        <v>6282458.1017351337</v>
      </c>
      <c r="G66" s="38">
        <f t="shared" si="89"/>
        <v>6365450.6560877953</v>
      </c>
      <c r="H66" s="38">
        <f t="shared" si="89"/>
        <v>23622091.397004303</v>
      </c>
      <c r="I66" s="38">
        <f t="shared" si="89"/>
        <v>28742388.000889815</v>
      </c>
      <c r="J66" s="38">
        <f t="shared" si="89"/>
        <v>28742388.000889815</v>
      </c>
      <c r="K66" s="38">
        <f t="shared" si="89"/>
        <v>28742388.000889815</v>
      </c>
      <c r="L66" s="38">
        <f t="shared" si="89"/>
        <v>31172908.540708888</v>
      </c>
      <c r="M66" s="38">
        <f t="shared" si="89"/>
        <v>31758119.554204363</v>
      </c>
      <c r="N66" s="38">
        <f t="shared" si="89"/>
        <v>22250315.326412581</v>
      </c>
      <c r="O66" s="38">
        <f t="shared" si="89"/>
        <v>22250315.326412581</v>
      </c>
      <c r="P66" s="38">
        <f t="shared" si="89"/>
        <v>6747957.5152720539</v>
      </c>
      <c r="Q66" s="38">
        <f t="shared" si="89"/>
        <v>6747957.5152720539</v>
      </c>
      <c r="R66" s="38">
        <f t="shared" si="89"/>
        <v>16611659.74172467</v>
      </c>
      <c r="S66" s="38">
        <f t="shared" si="89"/>
        <v>16611659.74172467</v>
      </c>
      <c r="T66" s="38">
        <f t="shared" si="89"/>
        <v>17442091.62125301</v>
      </c>
      <c r="U66" s="38">
        <f t="shared" si="89"/>
        <v>17442091.62125301</v>
      </c>
      <c r="V66" s="38">
        <f t="shared" si="89"/>
        <v>17597312.533314385</v>
      </c>
      <c r="W66" s="38">
        <f t="shared" si="89"/>
        <v>17597312.533314385</v>
      </c>
      <c r="X66" s="38">
        <f t="shared" si="89"/>
        <v>17907754.35743713</v>
      </c>
      <c r="Y66" s="38">
        <f t="shared" si="89"/>
        <v>17907754.35743713</v>
      </c>
      <c r="Z66" s="38">
        <f t="shared" si="89"/>
        <v>23139940.861201867</v>
      </c>
      <c r="AA66" s="38">
        <f t="shared" si="89"/>
        <v>23621125.688592121</v>
      </c>
      <c r="AB66" s="38">
        <f t="shared" si="89"/>
        <v>23621125.688592121</v>
      </c>
      <c r="AC66" s="38">
        <f t="shared" si="89"/>
        <v>12969697.039977865</v>
      </c>
      <c r="AD66" s="38">
        <f t="shared" si="89"/>
        <v>12969697.039977865</v>
      </c>
      <c r="AE66" s="38">
        <f t="shared" si="89"/>
        <v>12969697.039977865</v>
      </c>
      <c r="AF66" s="38">
        <f t="shared" si="89"/>
        <v>12726359.648914095</v>
      </c>
      <c r="AG66" s="38">
        <f t="shared" si="89"/>
        <v>12726359.648914095</v>
      </c>
      <c r="AH66" s="38">
        <f t="shared" si="89"/>
        <v>13593910.347489279</v>
      </c>
      <c r="AI66" s="38">
        <f t="shared" ref="AI66:BN66" si="90">SUM(AI60:AI65)</f>
        <v>13593910.347489279</v>
      </c>
      <c r="AJ66" s="38">
        <f t="shared" si="90"/>
        <v>13593910.347489279</v>
      </c>
      <c r="AK66" s="38">
        <f t="shared" si="90"/>
        <v>13593910.347489279</v>
      </c>
      <c r="AL66" s="38">
        <f t="shared" si="90"/>
        <v>14292182.860976622</v>
      </c>
      <c r="AM66" s="38">
        <f t="shared" si="90"/>
        <v>14432744.211094204</v>
      </c>
      <c r="AN66" s="38">
        <f t="shared" si="90"/>
        <v>12519101.182459541</v>
      </c>
      <c r="AO66" s="38">
        <f t="shared" si="90"/>
        <v>12519101.182459541</v>
      </c>
      <c r="AP66" s="38">
        <f t="shared" si="90"/>
        <v>9044064.8521574456</v>
      </c>
      <c r="AQ66" s="38">
        <f t="shared" si="90"/>
        <v>9044064.8521574456</v>
      </c>
      <c r="AR66" s="38">
        <f t="shared" si="90"/>
        <v>9466761.9832273759</v>
      </c>
      <c r="AS66" s="38">
        <f t="shared" si="90"/>
        <v>9466761.9832273759</v>
      </c>
      <c r="AT66" s="38">
        <f t="shared" si="90"/>
        <v>9762338.880292166</v>
      </c>
      <c r="AU66" s="38">
        <f t="shared" si="90"/>
        <v>34133848.173948325</v>
      </c>
      <c r="AV66" s="38">
        <f t="shared" si="90"/>
        <v>34452923.434329763</v>
      </c>
      <c r="AW66" s="38">
        <f t="shared" si="90"/>
        <v>35164524.814013258</v>
      </c>
      <c r="AX66" s="38">
        <f t="shared" si="90"/>
        <v>35177234.620587036</v>
      </c>
      <c r="AY66" s="38">
        <f t="shared" si="90"/>
        <v>36371926.880833216</v>
      </c>
      <c r="AZ66" s="38">
        <f t="shared" si="90"/>
        <v>36395573.032598399</v>
      </c>
      <c r="BA66" s="38">
        <f t="shared" si="90"/>
        <v>30226593.525497086</v>
      </c>
      <c r="BB66" s="38">
        <f t="shared" si="90"/>
        <v>30226593.525497086</v>
      </c>
      <c r="BC66" s="38">
        <f t="shared" si="90"/>
        <v>6542607.8145852583</v>
      </c>
      <c r="BD66" s="38">
        <f t="shared" si="90"/>
        <v>6542607.8145852583</v>
      </c>
      <c r="BE66" s="38">
        <f t="shared" si="90"/>
        <v>15108609.104839776</v>
      </c>
      <c r="BF66" s="38">
        <f t="shared" si="90"/>
        <v>15108609.104839776</v>
      </c>
      <c r="BG66" s="38">
        <f t="shared" si="90"/>
        <v>15647919.51945141</v>
      </c>
      <c r="BH66" s="38">
        <f t="shared" si="90"/>
        <v>15647919.51945141</v>
      </c>
      <c r="BI66" s="38">
        <f t="shared" si="90"/>
        <v>14591371.140973236</v>
      </c>
      <c r="BJ66" s="38">
        <f t="shared" si="90"/>
        <v>14683182.392456818</v>
      </c>
      <c r="BK66" s="38">
        <f t="shared" si="90"/>
        <v>14683182.392456818</v>
      </c>
      <c r="BL66" s="38">
        <f t="shared" si="90"/>
        <v>14885440.908083878</v>
      </c>
      <c r="BM66" s="38">
        <f t="shared" si="90"/>
        <v>15554359.070552556</v>
      </c>
      <c r="BN66" s="38">
        <f t="shared" si="90"/>
        <v>20757842.436238959</v>
      </c>
      <c r="BO66" s="38">
        <f t="shared" ref="BO66:CT66" si="91">SUM(BO60:BO65)</f>
        <v>20757842.436238959</v>
      </c>
      <c r="BP66" s="38">
        <f t="shared" si="91"/>
        <v>6395495.6281690141</v>
      </c>
      <c r="BQ66" s="38">
        <f t="shared" si="91"/>
        <v>6395495.6281690141</v>
      </c>
      <c r="BR66" s="38">
        <f t="shared" si="91"/>
        <v>6325546.8445582585</v>
      </c>
      <c r="BS66" s="38">
        <f t="shared" si="91"/>
        <v>6421796.3708066586</v>
      </c>
      <c r="BT66" s="38">
        <f t="shared" si="91"/>
        <v>6421796.3708066586</v>
      </c>
      <c r="BU66" s="38">
        <f t="shared" si="91"/>
        <v>13181646.818950066</v>
      </c>
      <c r="BV66" s="38">
        <f t="shared" si="91"/>
        <v>13229561.735723434</v>
      </c>
      <c r="BW66" s="38">
        <f t="shared" si="91"/>
        <v>13364940.61152369</v>
      </c>
      <c r="BX66" s="38">
        <f t="shared" si="91"/>
        <v>13364940.61152369</v>
      </c>
      <c r="BY66" s="38">
        <f t="shared" si="91"/>
        <v>13364940.61152369</v>
      </c>
      <c r="BZ66" s="38">
        <f t="shared" si="91"/>
        <v>13364940.61152369</v>
      </c>
      <c r="CA66" s="38">
        <f t="shared" si="91"/>
        <v>12104810.476824585</v>
      </c>
      <c r="CB66" s="38">
        <f t="shared" si="91"/>
        <v>12104810.476824585</v>
      </c>
      <c r="CC66" s="38">
        <f t="shared" si="91"/>
        <v>6582790.7019768748</v>
      </c>
      <c r="CD66" s="38">
        <f t="shared" si="91"/>
        <v>6582790.7019768748</v>
      </c>
      <c r="CE66" s="38">
        <f t="shared" si="91"/>
        <v>6582790.7019768748</v>
      </c>
      <c r="CF66" s="38">
        <f t="shared" si="91"/>
        <v>4486707.629988811</v>
      </c>
      <c r="CG66" s="38">
        <f t="shared" si="91"/>
        <v>3765199.0384185002</v>
      </c>
      <c r="CH66" s="38">
        <f t="shared" si="91"/>
        <v>3765199.0384185002</v>
      </c>
      <c r="CI66" s="38">
        <f t="shared" si="91"/>
        <v>4490610.4520701235</v>
      </c>
      <c r="CJ66" s="38">
        <f t="shared" si="91"/>
        <v>4490610.4520701235</v>
      </c>
      <c r="CK66" s="38">
        <f t="shared" si="91"/>
        <v>4490610.4520701235</v>
      </c>
      <c r="CL66" s="38">
        <f t="shared" si="91"/>
        <v>14001967.179410668</v>
      </c>
      <c r="CM66" s="38">
        <f t="shared" si="91"/>
        <v>15515999.966430437</v>
      </c>
      <c r="CN66" s="38">
        <f t="shared" si="91"/>
        <v>13816541.69787393</v>
      </c>
      <c r="CO66" s="38">
        <f t="shared" si="91"/>
        <v>13816541.69787393</v>
      </c>
      <c r="CP66" s="38">
        <f t="shared" si="91"/>
        <v>6759774.238051042</v>
      </c>
      <c r="CQ66" s="38">
        <f t="shared" si="91"/>
        <v>6759774.238051042</v>
      </c>
      <c r="CR66" s="38">
        <f t="shared" si="91"/>
        <v>9253713.5916473307</v>
      </c>
      <c r="CS66" s="38">
        <f t="shared" si="91"/>
        <v>10281670.204176333</v>
      </c>
      <c r="CT66" s="38">
        <f t="shared" si="91"/>
        <v>10281670.204176333</v>
      </c>
      <c r="CU66" s="38">
        <f t="shared" ref="CU66:DZ66" si="92">SUM(CU60:CU65)</f>
        <v>10309555.58700696</v>
      </c>
      <c r="CV66" s="38">
        <f t="shared" si="92"/>
        <v>10309555.58700696</v>
      </c>
      <c r="CW66" s="38">
        <f t="shared" si="92"/>
        <v>10437790.322505798</v>
      </c>
      <c r="CX66" s="38">
        <f t="shared" si="92"/>
        <v>10437790.322505798</v>
      </c>
      <c r="CY66" s="38">
        <f t="shared" si="92"/>
        <v>10437790.322505798</v>
      </c>
      <c r="CZ66" s="38">
        <f t="shared" si="92"/>
        <v>10555669.440835265</v>
      </c>
      <c r="DA66" s="38">
        <f t="shared" si="92"/>
        <v>8093644.9078886285</v>
      </c>
      <c r="DB66" s="38">
        <f t="shared" si="92"/>
        <v>8093644.9078886285</v>
      </c>
      <c r="DC66" s="38">
        <f t="shared" si="92"/>
        <v>2756705.8919864227</v>
      </c>
      <c r="DD66" s="38">
        <f t="shared" si="92"/>
        <v>2756705.8919864227</v>
      </c>
      <c r="DE66" s="38">
        <f t="shared" si="92"/>
        <v>2756705.8919864227</v>
      </c>
      <c r="DF66" s="38">
        <f t="shared" si="92"/>
        <v>2756705.8919864227</v>
      </c>
      <c r="DG66" s="38">
        <f t="shared" si="92"/>
        <v>4647247.8232692126</v>
      </c>
      <c r="DH66" s="38">
        <f t="shared" si="92"/>
        <v>4647247.8232692126</v>
      </c>
      <c r="DI66" s="38">
        <f t="shared" si="92"/>
        <v>4647247.8232692126</v>
      </c>
      <c r="DJ66" s="38">
        <f t="shared" si="92"/>
        <v>4647247.8232692126</v>
      </c>
      <c r="DK66" s="38">
        <f t="shared" si="92"/>
        <v>16878356.893529482</v>
      </c>
      <c r="DL66" s="38">
        <f t="shared" si="92"/>
        <v>17721388.665569391</v>
      </c>
      <c r="DM66" s="38">
        <f t="shared" si="92"/>
        <v>17923124.594177559</v>
      </c>
      <c r="DN66" s="38">
        <f t="shared" si="92"/>
        <v>13663625.573500678</v>
      </c>
      <c r="DO66" s="38">
        <f t="shared" si="92"/>
        <v>13663625.573500678</v>
      </c>
      <c r="DP66" s="38">
        <f t="shared" si="92"/>
        <v>28084130.276722092</v>
      </c>
      <c r="DQ66" s="38">
        <f t="shared" si="92"/>
        <v>28084130.276722092</v>
      </c>
      <c r="DR66" s="38">
        <f t="shared" si="92"/>
        <v>28084130.276722092</v>
      </c>
      <c r="DS66" s="38">
        <f t="shared" si="92"/>
        <v>49665992.928741097</v>
      </c>
      <c r="DT66" s="38">
        <f t="shared" si="92"/>
        <v>49918889.169833735</v>
      </c>
      <c r="DU66" s="38">
        <f t="shared" si="92"/>
        <v>49918889.169833735</v>
      </c>
      <c r="DV66" s="38">
        <f t="shared" si="92"/>
        <v>49918889.169833735</v>
      </c>
      <c r="DW66" s="38">
        <f t="shared" si="92"/>
        <v>49918889.169833735</v>
      </c>
      <c r="DX66" s="38">
        <f t="shared" si="92"/>
        <v>52532348.576009512</v>
      </c>
      <c r="DY66" s="38">
        <f t="shared" si="92"/>
        <v>52532348.576009512</v>
      </c>
      <c r="DZ66" s="38">
        <f t="shared" si="92"/>
        <v>52532348.576009512</v>
      </c>
      <c r="EA66" s="38">
        <f t="shared" ref="EA66:FF66" si="93">SUM(EA60:EA65)</f>
        <v>10590808.40023753</v>
      </c>
      <c r="EB66" s="38">
        <f t="shared" si="93"/>
        <v>10590808.40023753</v>
      </c>
      <c r="EC66" s="38">
        <f t="shared" si="93"/>
        <v>8946360.2454080638</v>
      </c>
      <c r="ED66" s="38">
        <f t="shared" si="93"/>
        <v>8946360.2454080638</v>
      </c>
      <c r="EE66" s="38">
        <f t="shared" si="93"/>
        <v>8946360.2454080638</v>
      </c>
      <c r="EF66" s="38">
        <f t="shared" si="93"/>
        <v>10836829.274758564</v>
      </c>
      <c r="EG66" s="38">
        <f t="shared" si="93"/>
        <v>10925225.187085776</v>
      </c>
      <c r="EH66" s="38">
        <f t="shared" si="93"/>
        <v>10925225.187085776</v>
      </c>
      <c r="EI66" s="38">
        <f t="shared" si="93"/>
        <v>10925225.187085776</v>
      </c>
      <c r="EJ66" s="38">
        <f t="shared" si="93"/>
        <v>10942293.829388371</v>
      </c>
      <c r="EK66" s="38">
        <f t="shared" si="93"/>
        <v>10791158.760272672</v>
      </c>
      <c r="EL66" s="38">
        <f t="shared" si="93"/>
        <v>10791158.760272672</v>
      </c>
      <c r="EM66" s="38">
        <f t="shared" si="93"/>
        <v>7403130.5027456898</v>
      </c>
      <c r="EN66" s="38">
        <f t="shared" si="93"/>
        <v>7290402.9822003394</v>
      </c>
      <c r="EO66" s="38">
        <f t="shared" si="93"/>
        <v>7290402.9822003394</v>
      </c>
      <c r="EP66" s="38">
        <f t="shared" si="93"/>
        <v>12581277</v>
      </c>
      <c r="EQ66" s="38">
        <f t="shared" si="93"/>
        <v>12581277</v>
      </c>
      <c r="ER66" s="38">
        <f t="shared" si="93"/>
        <v>12581277</v>
      </c>
      <c r="ES66" s="38">
        <f t="shared" si="93"/>
        <v>12715277</v>
      </c>
      <c r="ET66" s="38">
        <f t="shared" si="93"/>
        <v>12715277</v>
      </c>
      <c r="EU66" s="38">
        <f t="shared" si="93"/>
        <v>12715277</v>
      </c>
      <c r="EV66" s="38">
        <f t="shared" si="93"/>
        <v>12715277</v>
      </c>
      <c r="EW66" s="38">
        <f t="shared" si="93"/>
        <v>12715277</v>
      </c>
      <c r="EX66" s="38">
        <f t="shared" si="93"/>
        <v>10927277</v>
      </c>
      <c r="EY66" s="38">
        <f t="shared" si="93"/>
        <v>10927277</v>
      </c>
      <c r="EZ66" s="38">
        <f t="shared" si="93"/>
        <v>10927277</v>
      </c>
      <c r="FA66" s="38">
        <f t="shared" si="93"/>
        <v>6182607</v>
      </c>
      <c r="FB66" s="38">
        <f t="shared" si="93"/>
        <v>6182607</v>
      </c>
      <c r="FC66" s="38">
        <f t="shared" si="93"/>
        <v>5203817</v>
      </c>
      <c r="FD66" s="38">
        <f t="shared" si="93"/>
        <v>5203817</v>
      </c>
      <c r="FE66" s="38">
        <f t="shared" si="93"/>
        <v>5723817</v>
      </c>
      <c r="FF66" s="38">
        <f t="shared" si="93"/>
        <v>5723817</v>
      </c>
      <c r="FG66" s="38">
        <f t="shared" ref="FG66:GL66" si="94">SUM(FG60:FG65)</f>
        <v>5302701</v>
      </c>
      <c r="FH66" s="38">
        <f t="shared" si="94"/>
        <v>5302701</v>
      </c>
      <c r="FI66" s="38">
        <f t="shared" si="94"/>
        <v>5302701</v>
      </c>
      <c r="FJ66" s="38">
        <f t="shared" si="94"/>
        <v>0</v>
      </c>
      <c r="FK66" s="38">
        <f t="shared" si="94"/>
        <v>0</v>
      </c>
      <c r="FL66" s="38">
        <f t="shared" si="94"/>
        <v>0</v>
      </c>
      <c r="FM66" s="38">
        <f t="shared" si="94"/>
        <v>0</v>
      </c>
      <c r="FN66" s="38">
        <f t="shared" si="94"/>
        <v>0</v>
      </c>
      <c r="FO66" s="38">
        <f t="shared" si="94"/>
        <v>5302701</v>
      </c>
    </row>
    <row r="67" spans="1:171" ht="14.25" customHeight="1">
      <c r="A67" s="10"/>
      <c r="B67" s="18" t="s">
        <v>54</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row>
    <row r="68" spans="1:171"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row>
    <row r="69" spans="1:171" ht="15.75" customHeight="1">
      <c r="A69" s="10"/>
      <c r="B69" s="104" t="s">
        <v>60</v>
      </c>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05"/>
      <c r="BZ69" s="105"/>
      <c r="CA69" s="105"/>
      <c r="CB69" s="105"/>
      <c r="CC69" s="105"/>
      <c r="CD69" s="105"/>
      <c r="CE69" s="105"/>
      <c r="CF69" s="105"/>
      <c r="CG69" s="105"/>
      <c r="CH69" s="105"/>
      <c r="CI69" s="105"/>
      <c r="CJ69" s="105"/>
      <c r="CK69" s="105"/>
      <c r="CL69" s="105"/>
      <c r="CM69" s="105"/>
      <c r="CN69" s="105"/>
      <c r="CO69" s="105"/>
      <c r="CP69" s="105"/>
      <c r="CQ69" s="105"/>
      <c r="CR69" s="105"/>
      <c r="CS69" s="105"/>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5"/>
      <c r="DY69" s="105"/>
      <c r="DZ69" s="105"/>
      <c r="EA69" s="105"/>
      <c r="EB69" s="105"/>
      <c r="EC69" s="105"/>
      <c r="ED69" s="105"/>
      <c r="EE69" s="105"/>
      <c r="EF69" s="105"/>
      <c r="EG69" s="105"/>
      <c r="EH69" s="105"/>
      <c r="EI69" s="105"/>
      <c r="EJ69" s="105"/>
      <c r="EK69" s="105"/>
      <c r="EL69" s="105"/>
      <c r="EM69" s="105"/>
      <c r="EN69" s="105"/>
      <c r="EO69" s="105"/>
      <c r="EP69" s="105"/>
      <c r="EQ69" s="105"/>
      <c r="ER69" s="105"/>
      <c r="ES69" s="105"/>
      <c r="ET69" s="105"/>
      <c r="EU69" s="105"/>
      <c r="EV69" s="105"/>
      <c r="EW69" s="105"/>
      <c r="EX69" s="105"/>
      <c r="EY69" s="105"/>
      <c r="EZ69" s="105"/>
      <c r="FA69" s="105"/>
      <c r="FB69" s="105"/>
      <c r="FC69" s="105"/>
      <c r="FD69" s="105"/>
      <c r="FE69" s="105"/>
      <c r="FF69" s="105"/>
      <c r="FG69" s="105"/>
      <c r="FH69" s="105"/>
      <c r="FI69" s="105"/>
      <c r="FJ69" s="105"/>
      <c r="FK69" s="105"/>
      <c r="FL69" s="105"/>
      <c r="FM69" s="105"/>
      <c r="FN69" s="105"/>
      <c r="FO69" s="105"/>
    </row>
    <row r="70" spans="1:171" ht="21.75" customHeight="1">
      <c r="A70" s="10"/>
      <c r="B70" s="14"/>
      <c r="C70" s="102" t="s">
        <v>4</v>
      </c>
      <c r="D70" s="103"/>
      <c r="E70" s="103"/>
      <c r="F70" s="103"/>
      <c r="G70" s="103"/>
      <c r="H70" s="103"/>
      <c r="I70" s="103"/>
      <c r="J70" s="103"/>
      <c r="K70" s="103"/>
      <c r="L70" s="103"/>
      <c r="M70" s="103"/>
      <c r="N70" s="103"/>
      <c r="O70" s="103"/>
      <c r="P70" s="102" t="s">
        <v>5</v>
      </c>
      <c r="Q70" s="103"/>
      <c r="R70" s="103"/>
      <c r="S70" s="103"/>
      <c r="T70" s="103"/>
      <c r="U70" s="103"/>
      <c r="V70" s="103"/>
      <c r="W70" s="103"/>
      <c r="X70" s="103"/>
      <c r="Y70" s="103"/>
      <c r="Z70" s="103"/>
      <c r="AA70" s="103"/>
      <c r="AB70" s="103"/>
      <c r="AC70" s="102" t="s">
        <v>6</v>
      </c>
      <c r="AD70" s="103"/>
      <c r="AE70" s="103"/>
      <c r="AF70" s="103"/>
      <c r="AG70" s="103"/>
      <c r="AH70" s="103"/>
      <c r="AI70" s="103"/>
      <c r="AJ70" s="103"/>
      <c r="AK70" s="103"/>
      <c r="AL70" s="103"/>
      <c r="AM70" s="103"/>
      <c r="AN70" s="103"/>
      <c r="AO70" s="103"/>
      <c r="AP70" s="102" t="s">
        <v>7</v>
      </c>
      <c r="AQ70" s="103"/>
      <c r="AR70" s="103"/>
      <c r="AS70" s="103"/>
      <c r="AT70" s="103"/>
      <c r="AU70" s="103"/>
      <c r="AV70" s="103"/>
      <c r="AW70" s="103"/>
      <c r="AX70" s="103"/>
      <c r="AY70" s="103"/>
      <c r="AZ70" s="103"/>
      <c r="BA70" s="103"/>
      <c r="BB70" s="103"/>
      <c r="BC70" s="102" t="s">
        <v>8</v>
      </c>
      <c r="BD70" s="103"/>
      <c r="BE70" s="103"/>
      <c r="BF70" s="103"/>
      <c r="BG70" s="103"/>
      <c r="BH70" s="103"/>
      <c r="BI70" s="103"/>
      <c r="BJ70" s="103"/>
      <c r="BK70" s="103"/>
      <c r="BL70" s="103"/>
      <c r="BM70" s="103"/>
      <c r="BN70" s="103"/>
      <c r="BO70" s="103"/>
      <c r="BP70" s="102" t="s">
        <v>9</v>
      </c>
      <c r="BQ70" s="103"/>
      <c r="BR70" s="103"/>
      <c r="BS70" s="103"/>
      <c r="BT70" s="103"/>
      <c r="BU70" s="103"/>
      <c r="BV70" s="103"/>
      <c r="BW70" s="103"/>
      <c r="BX70" s="103"/>
      <c r="BY70" s="103"/>
      <c r="BZ70" s="103"/>
      <c r="CA70" s="103"/>
      <c r="CB70" s="103"/>
      <c r="CC70" s="102" t="s">
        <v>10</v>
      </c>
      <c r="CD70" s="103"/>
      <c r="CE70" s="103"/>
      <c r="CF70" s="103"/>
      <c r="CG70" s="103"/>
      <c r="CH70" s="103"/>
      <c r="CI70" s="103"/>
      <c r="CJ70" s="103"/>
      <c r="CK70" s="103"/>
      <c r="CL70" s="103"/>
      <c r="CM70" s="103"/>
      <c r="CN70" s="103"/>
      <c r="CO70" s="103"/>
      <c r="CP70" s="102" t="s">
        <v>57</v>
      </c>
      <c r="CQ70" s="103"/>
      <c r="CR70" s="103"/>
      <c r="CS70" s="103"/>
      <c r="CT70" s="103"/>
      <c r="CU70" s="103"/>
      <c r="CV70" s="103"/>
      <c r="CW70" s="103"/>
      <c r="CX70" s="103"/>
      <c r="CY70" s="103"/>
      <c r="CZ70" s="103"/>
      <c r="DA70" s="103"/>
      <c r="DB70" s="103"/>
      <c r="DC70" s="102" t="s">
        <v>58</v>
      </c>
      <c r="DD70" s="103"/>
      <c r="DE70" s="103"/>
      <c r="DF70" s="103"/>
      <c r="DG70" s="103"/>
      <c r="DH70" s="103"/>
      <c r="DI70" s="103"/>
      <c r="DJ70" s="103"/>
      <c r="DK70" s="103"/>
      <c r="DL70" s="103"/>
      <c r="DM70" s="103"/>
      <c r="DN70" s="103"/>
      <c r="DO70" s="103"/>
      <c r="DP70" s="102" t="s">
        <v>13</v>
      </c>
      <c r="DQ70" s="103"/>
      <c r="DR70" s="103"/>
      <c r="DS70" s="103"/>
      <c r="DT70" s="103"/>
      <c r="DU70" s="103"/>
      <c r="DV70" s="103"/>
      <c r="DW70" s="103"/>
      <c r="DX70" s="103"/>
      <c r="DY70" s="103"/>
      <c r="DZ70" s="103"/>
      <c r="EA70" s="103"/>
      <c r="EB70" s="103"/>
      <c r="EC70" s="102" t="s">
        <v>14</v>
      </c>
      <c r="ED70" s="103"/>
      <c r="EE70" s="103"/>
      <c r="EF70" s="103"/>
      <c r="EG70" s="103"/>
      <c r="EH70" s="103"/>
      <c r="EI70" s="103"/>
      <c r="EJ70" s="103"/>
      <c r="EK70" s="103"/>
      <c r="EL70" s="103"/>
      <c r="EM70" s="103"/>
      <c r="EN70" s="103"/>
      <c r="EO70" s="103"/>
      <c r="EP70" s="102" t="s">
        <v>15</v>
      </c>
      <c r="EQ70" s="103"/>
      <c r="ER70" s="103"/>
      <c r="ES70" s="103"/>
      <c r="ET70" s="103"/>
      <c r="EU70" s="103"/>
      <c r="EV70" s="103"/>
      <c r="EW70" s="103"/>
      <c r="EX70" s="103"/>
      <c r="EY70" s="103"/>
      <c r="EZ70" s="103"/>
      <c r="FA70" s="103"/>
      <c r="FB70" s="103"/>
      <c r="FC70" s="102" t="s">
        <v>16</v>
      </c>
      <c r="FD70" s="103"/>
      <c r="FE70" s="103"/>
      <c r="FF70" s="103"/>
      <c r="FG70" s="103"/>
      <c r="FH70" s="103"/>
      <c r="FI70" s="103"/>
      <c r="FJ70" s="103"/>
      <c r="FK70" s="103"/>
      <c r="FL70" s="103"/>
      <c r="FM70" s="103"/>
      <c r="FN70" s="103"/>
      <c r="FO70" s="103"/>
    </row>
    <row r="71" spans="1:171" ht="27.75" customHeight="1">
      <c r="A71" s="10"/>
      <c r="B71" s="15" t="s">
        <v>17</v>
      </c>
      <c r="C71" s="16" t="s">
        <v>18</v>
      </c>
      <c r="D71" s="16" t="s">
        <v>19</v>
      </c>
      <c r="E71" s="16" t="s">
        <v>20</v>
      </c>
      <c r="F71" s="16" t="s">
        <v>21</v>
      </c>
      <c r="G71" s="16" t="s">
        <v>22</v>
      </c>
      <c r="H71" s="16" t="s">
        <v>23</v>
      </c>
      <c r="I71" s="16" t="s">
        <v>24</v>
      </c>
      <c r="J71" s="16" t="s">
        <v>25</v>
      </c>
      <c r="K71" s="16" t="s">
        <v>26</v>
      </c>
      <c r="L71" s="16" t="s">
        <v>27</v>
      </c>
      <c r="M71" s="16" t="s">
        <v>28</v>
      </c>
      <c r="N71" s="16" t="s">
        <v>29</v>
      </c>
      <c r="O71" s="16" t="s">
        <v>30</v>
      </c>
      <c r="P71" s="16" t="s">
        <v>18</v>
      </c>
      <c r="Q71" s="16" t="s">
        <v>19</v>
      </c>
      <c r="R71" s="16" t="s">
        <v>20</v>
      </c>
      <c r="S71" s="16" t="s">
        <v>21</v>
      </c>
      <c r="T71" s="16" t="s">
        <v>22</v>
      </c>
      <c r="U71" s="16" t="s">
        <v>23</v>
      </c>
      <c r="V71" s="16" t="s">
        <v>24</v>
      </c>
      <c r="W71" s="16" t="s">
        <v>25</v>
      </c>
      <c r="X71" s="16" t="s">
        <v>26</v>
      </c>
      <c r="Y71" s="16" t="s">
        <v>27</v>
      </c>
      <c r="Z71" s="16" t="s">
        <v>28</v>
      </c>
      <c r="AA71" s="16" t="s">
        <v>29</v>
      </c>
      <c r="AB71" s="16" t="s">
        <v>31</v>
      </c>
      <c r="AC71" s="16" t="s">
        <v>18</v>
      </c>
      <c r="AD71" s="16" t="s">
        <v>19</v>
      </c>
      <c r="AE71" s="16" t="s">
        <v>20</v>
      </c>
      <c r="AF71" s="16" t="s">
        <v>21</v>
      </c>
      <c r="AG71" s="16" t="s">
        <v>22</v>
      </c>
      <c r="AH71" s="16" t="s">
        <v>23</v>
      </c>
      <c r="AI71" s="16" t="s">
        <v>24</v>
      </c>
      <c r="AJ71" s="16" t="s">
        <v>25</v>
      </c>
      <c r="AK71" s="16" t="s">
        <v>26</v>
      </c>
      <c r="AL71" s="16" t="s">
        <v>27</v>
      </c>
      <c r="AM71" s="16" t="s">
        <v>28</v>
      </c>
      <c r="AN71" s="16" t="s">
        <v>29</v>
      </c>
      <c r="AO71" s="16" t="s">
        <v>32</v>
      </c>
      <c r="AP71" s="16" t="s">
        <v>18</v>
      </c>
      <c r="AQ71" s="16" t="s">
        <v>19</v>
      </c>
      <c r="AR71" s="16" t="s">
        <v>20</v>
      </c>
      <c r="AS71" s="16" t="s">
        <v>21</v>
      </c>
      <c r="AT71" s="16" t="s">
        <v>22</v>
      </c>
      <c r="AU71" s="16" t="s">
        <v>23</v>
      </c>
      <c r="AV71" s="16" t="s">
        <v>24</v>
      </c>
      <c r="AW71" s="16" t="s">
        <v>25</v>
      </c>
      <c r="AX71" s="16" t="s">
        <v>26</v>
      </c>
      <c r="AY71" s="16" t="s">
        <v>27</v>
      </c>
      <c r="AZ71" s="16" t="s">
        <v>28</v>
      </c>
      <c r="BA71" s="16" t="s">
        <v>29</v>
      </c>
      <c r="BB71" s="16" t="s">
        <v>33</v>
      </c>
      <c r="BC71" s="16" t="s">
        <v>18</v>
      </c>
      <c r="BD71" s="16" t="s">
        <v>19</v>
      </c>
      <c r="BE71" s="16" t="s">
        <v>20</v>
      </c>
      <c r="BF71" s="16" t="s">
        <v>21</v>
      </c>
      <c r="BG71" s="16" t="s">
        <v>22</v>
      </c>
      <c r="BH71" s="16" t="s">
        <v>23</v>
      </c>
      <c r="BI71" s="16" t="s">
        <v>24</v>
      </c>
      <c r="BJ71" s="16" t="s">
        <v>25</v>
      </c>
      <c r="BK71" s="16" t="s">
        <v>26</v>
      </c>
      <c r="BL71" s="16" t="s">
        <v>27</v>
      </c>
      <c r="BM71" s="16" t="s">
        <v>28</v>
      </c>
      <c r="BN71" s="16" t="s">
        <v>29</v>
      </c>
      <c r="BO71" s="16" t="s">
        <v>34</v>
      </c>
      <c r="BP71" s="16" t="s">
        <v>18</v>
      </c>
      <c r="BQ71" s="16" t="s">
        <v>19</v>
      </c>
      <c r="BR71" s="16" t="s">
        <v>20</v>
      </c>
      <c r="BS71" s="16" t="s">
        <v>21</v>
      </c>
      <c r="BT71" s="16" t="s">
        <v>22</v>
      </c>
      <c r="BU71" s="16" t="s">
        <v>23</v>
      </c>
      <c r="BV71" s="16" t="s">
        <v>24</v>
      </c>
      <c r="BW71" s="16" t="s">
        <v>25</v>
      </c>
      <c r="BX71" s="16" t="s">
        <v>26</v>
      </c>
      <c r="BY71" s="16" t="s">
        <v>27</v>
      </c>
      <c r="BZ71" s="16" t="s">
        <v>28</v>
      </c>
      <c r="CA71" s="16" t="s">
        <v>29</v>
      </c>
      <c r="CB71" s="16" t="s">
        <v>35</v>
      </c>
      <c r="CC71" s="16" t="s">
        <v>18</v>
      </c>
      <c r="CD71" s="16" t="s">
        <v>19</v>
      </c>
      <c r="CE71" s="16" t="s">
        <v>20</v>
      </c>
      <c r="CF71" s="16" t="s">
        <v>21</v>
      </c>
      <c r="CG71" s="16" t="s">
        <v>22</v>
      </c>
      <c r="CH71" s="16" t="s">
        <v>23</v>
      </c>
      <c r="CI71" s="16" t="s">
        <v>24</v>
      </c>
      <c r="CJ71" s="16" t="s">
        <v>25</v>
      </c>
      <c r="CK71" s="16" t="s">
        <v>26</v>
      </c>
      <c r="CL71" s="16" t="s">
        <v>27</v>
      </c>
      <c r="CM71" s="16" t="s">
        <v>28</v>
      </c>
      <c r="CN71" s="16" t="s">
        <v>29</v>
      </c>
      <c r="CO71" s="16" t="s">
        <v>36</v>
      </c>
      <c r="CP71" s="16" t="s">
        <v>18</v>
      </c>
      <c r="CQ71" s="16" t="s">
        <v>19</v>
      </c>
      <c r="CR71" s="16" t="s">
        <v>20</v>
      </c>
      <c r="CS71" s="16" t="s">
        <v>21</v>
      </c>
      <c r="CT71" s="16" t="s">
        <v>22</v>
      </c>
      <c r="CU71" s="16" t="s">
        <v>23</v>
      </c>
      <c r="CV71" s="16" t="s">
        <v>24</v>
      </c>
      <c r="CW71" s="16" t="s">
        <v>25</v>
      </c>
      <c r="CX71" s="16" t="s">
        <v>26</v>
      </c>
      <c r="CY71" s="16" t="s">
        <v>27</v>
      </c>
      <c r="CZ71" s="16" t="s">
        <v>28</v>
      </c>
      <c r="DA71" s="16" t="s">
        <v>29</v>
      </c>
      <c r="DB71" s="16" t="s">
        <v>37</v>
      </c>
      <c r="DC71" s="16" t="s">
        <v>18</v>
      </c>
      <c r="DD71" s="16" t="s">
        <v>19</v>
      </c>
      <c r="DE71" s="16" t="s">
        <v>20</v>
      </c>
      <c r="DF71" s="16" t="s">
        <v>21</v>
      </c>
      <c r="DG71" s="16" t="s">
        <v>22</v>
      </c>
      <c r="DH71" s="16" t="s">
        <v>23</v>
      </c>
      <c r="DI71" s="16" t="s">
        <v>24</v>
      </c>
      <c r="DJ71" s="16" t="s">
        <v>25</v>
      </c>
      <c r="DK71" s="16" t="s">
        <v>26</v>
      </c>
      <c r="DL71" s="16" t="s">
        <v>27</v>
      </c>
      <c r="DM71" s="16" t="s">
        <v>28</v>
      </c>
      <c r="DN71" s="16" t="s">
        <v>29</v>
      </c>
      <c r="DO71" s="16" t="s">
        <v>38</v>
      </c>
      <c r="DP71" s="16" t="s">
        <v>18</v>
      </c>
      <c r="DQ71" s="16" t="s">
        <v>19</v>
      </c>
      <c r="DR71" s="16" t="s">
        <v>20</v>
      </c>
      <c r="DS71" s="16" t="s">
        <v>21</v>
      </c>
      <c r="DT71" s="16" t="s">
        <v>22</v>
      </c>
      <c r="DU71" s="16" t="s">
        <v>23</v>
      </c>
      <c r="DV71" s="16" t="s">
        <v>24</v>
      </c>
      <c r="DW71" s="16" t="s">
        <v>25</v>
      </c>
      <c r="DX71" s="16" t="s">
        <v>26</v>
      </c>
      <c r="DY71" s="16" t="s">
        <v>27</v>
      </c>
      <c r="DZ71" s="16" t="s">
        <v>28</v>
      </c>
      <c r="EA71" s="16" t="s">
        <v>29</v>
      </c>
      <c r="EB71" s="16" t="s">
        <v>39</v>
      </c>
      <c r="EC71" s="16" t="s">
        <v>18</v>
      </c>
      <c r="ED71" s="16" t="s">
        <v>19</v>
      </c>
      <c r="EE71" s="16" t="s">
        <v>20</v>
      </c>
      <c r="EF71" s="16" t="s">
        <v>21</v>
      </c>
      <c r="EG71" s="16" t="s">
        <v>22</v>
      </c>
      <c r="EH71" s="16" t="s">
        <v>23</v>
      </c>
      <c r="EI71" s="16" t="s">
        <v>24</v>
      </c>
      <c r="EJ71" s="16" t="s">
        <v>25</v>
      </c>
      <c r="EK71" s="16" t="s">
        <v>26</v>
      </c>
      <c r="EL71" s="16" t="s">
        <v>27</v>
      </c>
      <c r="EM71" s="16" t="s">
        <v>28</v>
      </c>
      <c r="EN71" s="16" t="s">
        <v>29</v>
      </c>
      <c r="EO71" s="16" t="s">
        <v>40</v>
      </c>
      <c r="EP71" s="16" t="s">
        <v>18</v>
      </c>
      <c r="EQ71" s="16" t="s">
        <v>19</v>
      </c>
      <c r="ER71" s="16" t="s">
        <v>20</v>
      </c>
      <c r="ES71" s="16" t="s">
        <v>21</v>
      </c>
      <c r="ET71" s="16" t="s">
        <v>22</v>
      </c>
      <c r="EU71" s="16" t="s">
        <v>23</v>
      </c>
      <c r="EV71" s="16" t="s">
        <v>24</v>
      </c>
      <c r="EW71" s="16" t="s">
        <v>25</v>
      </c>
      <c r="EX71" s="16" t="s">
        <v>26</v>
      </c>
      <c r="EY71" s="16" t="s">
        <v>27</v>
      </c>
      <c r="EZ71" s="16" t="s">
        <v>28</v>
      </c>
      <c r="FA71" s="16" t="s">
        <v>29</v>
      </c>
      <c r="FB71" s="16" t="s">
        <v>41</v>
      </c>
      <c r="FC71" s="16" t="s">
        <v>18</v>
      </c>
      <c r="FD71" s="16" t="s">
        <v>19</v>
      </c>
      <c r="FE71" s="16" t="s">
        <v>20</v>
      </c>
      <c r="FF71" s="16" t="s">
        <v>21</v>
      </c>
      <c r="FG71" s="16" t="s">
        <v>22</v>
      </c>
      <c r="FH71" s="16" t="s">
        <v>23</v>
      </c>
      <c r="FI71" s="16" t="s">
        <v>24</v>
      </c>
      <c r="FJ71" s="16" t="s">
        <v>25</v>
      </c>
      <c r="FK71" s="16" t="s">
        <v>26</v>
      </c>
      <c r="FL71" s="16" t="s">
        <v>27</v>
      </c>
      <c r="FM71" s="16" t="s">
        <v>28</v>
      </c>
      <c r="FN71" s="16" t="s">
        <v>29</v>
      </c>
      <c r="FO71" s="16" t="s">
        <v>42</v>
      </c>
    </row>
    <row r="72" spans="1:171" ht="27.75" customHeight="1">
      <c r="A72" s="10"/>
      <c r="B72" s="19" t="s">
        <v>43</v>
      </c>
      <c r="C72" s="20">
        <f>+MOP_Mes_Corriente!C73*MOP_Mes_Constante!$C$1</f>
        <v>0</v>
      </c>
      <c r="D72" s="20">
        <f>+MOP_Mes_Corriente!D73*MOP_Mes_Constante!$C$1</f>
        <v>5449.2270502743595</v>
      </c>
      <c r="E72" s="20">
        <f>+MOP_Mes_Corriente!E73*MOP_Mes_Constante!$C$1</f>
        <v>145452.07118493255</v>
      </c>
      <c r="F72" s="20">
        <f>+MOP_Mes_Corriente!F73*MOP_Mes_Constante!$C$1</f>
        <v>288215.9866528252</v>
      </c>
      <c r="G72" s="20">
        <f>+MOP_Mes_Corriente!G73*MOP_Mes_Constante!$C$1</f>
        <v>562861.5669583272</v>
      </c>
      <c r="H72" s="20">
        <f>+MOP_Mes_Corriente!H73*MOP_Mes_Constante!$C$1</f>
        <v>1245163.7742844434</v>
      </c>
      <c r="I72" s="20">
        <f>+MOP_Mes_Corriente!I73*MOP_Mes_Constante!$C$1</f>
        <v>1819440.6860447875</v>
      </c>
      <c r="J72" s="20">
        <f>+MOP_Mes_Corriente!J73*MOP_Mes_Constante!$C$1</f>
        <v>2540846.7281625392</v>
      </c>
      <c r="K72" s="20">
        <f>+MOP_Mes_Corriente!K73*MOP_Mes_Constante!$C$1</f>
        <v>3667206.6584606264</v>
      </c>
      <c r="L72" s="20">
        <f>+MOP_Mes_Corriente!L73*MOP_Mes_Constante!$C$1</f>
        <v>5067640.1865638448</v>
      </c>
      <c r="M72" s="20">
        <f>+MOP_Mes_Corriente!M73*MOP_Mes_Constante!$C$1</f>
        <v>5886809.8665282521</v>
      </c>
      <c r="N72" s="20">
        <f>+MOP_Mes_Corriente!N73*MOP_Mes_Constante!$C$1</f>
        <v>20680105.077561919</v>
      </c>
      <c r="O72" s="20">
        <f t="shared" ref="O72:O77" si="95">N72</f>
        <v>20680105.077561919</v>
      </c>
      <c r="P72" s="20">
        <f>+MOP_Mes_Corriente!P73*MOP_Mes_Constante!$P$1</f>
        <v>0</v>
      </c>
      <c r="Q72" s="20">
        <f>+MOP_Mes_Corriente!Q73*MOP_Mes_Constante!$P$1</f>
        <v>4454.840176161385</v>
      </c>
      <c r="R72" s="20">
        <f>+MOP_Mes_Corriente!R73*MOP_Mes_Constante!$P$1</f>
        <v>9839.45361557039</v>
      </c>
      <c r="S72" s="20">
        <f>+MOP_Mes_Corriente!S73*MOP_Mes_Constante!$P$1</f>
        <v>94951.736326182654</v>
      </c>
      <c r="T72" s="20">
        <f>+MOP_Mes_Corriente!T73*MOP_Mes_Constante!$P$1</f>
        <v>1104525.6226736747</v>
      </c>
      <c r="U72" s="20">
        <f>+MOP_Mes_Corriente!U73*MOP_Mes_Constante!$P$1</f>
        <v>2321157.996874555</v>
      </c>
      <c r="V72" s="20">
        <f>+MOP_Mes_Corriente!V73*MOP_Mes_Constante!$P$1</f>
        <v>2936613.5698252581</v>
      </c>
      <c r="W72" s="20">
        <f>+MOP_Mes_Corriente!W73*MOP_Mes_Constante!$P$1</f>
        <v>8441450.2622531578</v>
      </c>
      <c r="X72" s="20">
        <f>+MOP_Mes_Corriente!X73*MOP_Mes_Constante!$P$1</f>
        <v>10163922.753516121</v>
      </c>
      <c r="Y72" s="20">
        <f>+MOP_Mes_Corriente!Y73*MOP_Mes_Constante!$P$1</f>
        <v>10584816.674243497</v>
      </c>
      <c r="Z72" s="20">
        <f>+MOP_Mes_Corriente!Z73*MOP_Mes_Constante!$P$1</f>
        <v>11828991.447080547</v>
      </c>
      <c r="AA72" s="20">
        <f>+MOP_Mes_Corriente!AA73*MOP_Mes_Constante!$P$1</f>
        <v>18199262.334706627</v>
      </c>
      <c r="AB72" s="20">
        <f t="shared" ref="AB72:AB77" si="96">AA72</f>
        <v>18199262.334706627</v>
      </c>
      <c r="AC72" s="20">
        <f>+MOP_Mes_Corriente!AC73*MOP_Mes_Constante!$AC$1</f>
        <v>164.74394798727349</v>
      </c>
      <c r="AD72" s="20">
        <f>+MOP_Mes_Corriente!AD73*MOP_Mes_Constante!$AC$1</f>
        <v>164.74394798727349</v>
      </c>
      <c r="AE72" s="20">
        <f>+MOP_Mes_Corriente!AE73*MOP_Mes_Constante!$AC$1</f>
        <v>379985.69456356345</v>
      </c>
      <c r="AF72" s="20">
        <f>+MOP_Mes_Corriente!AF73*MOP_Mes_Constante!$AC$1</f>
        <v>471104.21192419424</v>
      </c>
      <c r="AG72" s="20">
        <f>+MOP_Mes_Corriente!AG73*MOP_Mes_Constante!$AC$1</f>
        <v>512249.39078710746</v>
      </c>
      <c r="AH72" s="20">
        <f>+MOP_Mes_Corriente!AH73*MOP_Mes_Constante!$AC$1</f>
        <v>530599.44833310274</v>
      </c>
      <c r="AI72" s="20">
        <f>+MOP_Mes_Corriente!AI73*MOP_Mes_Constante!$AC$1</f>
        <v>534876.7453313045</v>
      </c>
      <c r="AJ72" s="20">
        <f>+MOP_Mes_Corriente!AJ73*MOP_Mes_Constante!$AC$1</f>
        <v>907276.66122561903</v>
      </c>
      <c r="AK72" s="20">
        <f>+MOP_Mes_Corriente!AK73*MOP_Mes_Constante!$AC$1</f>
        <v>1127373.0643242495</v>
      </c>
      <c r="AL72" s="20">
        <f>+MOP_Mes_Corriente!AL73*MOP_Mes_Constante!$AC$1</f>
        <v>1531285.9280675058</v>
      </c>
      <c r="AM72" s="20">
        <f>+MOP_Mes_Corriente!AM73*MOP_Mes_Constante!$AC$1</f>
        <v>2108411.1832895284</v>
      </c>
      <c r="AN72" s="20">
        <f>+MOP_Mes_Corriente!AN73*MOP_Mes_Constante!$AC$1</f>
        <v>4018432.8678932078</v>
      </c>
      <c r="AO72" s="20">
        <f t="shared" ref="AO72:AO77" si="97">AN72</f>
        <v>4018432.8678932078</v>
      </c>
      <c r="AP72" s="20">
        <f>+MOP_Mes_Corriente!AP73*MOP_Mes_Constante!$AP$1</f>
        <v>456.66630596510208</v>
      </c>
      <c r="AQ72" s="20">
        <f>+MOP_Mes_Corriente!AQ73*MOP_Mes_Constante!$AP$1</f>
        <v>1248.8123900987421</v>
      </c>
      <c r="AR72" s="20">
        <f>+MOP_Mes_Corriente!AR73*MOP_Mes_Constante!$AP$1</f>
        <v>16370.52644393345</v>
      </c>
      <c r="AS72" s="20">
        <f>+MOP_Mes_Corriente!AS73*MOP_Mes_Constante!$AP$1</f>
        <v>181957.13783308535</v>
      </c>
      <c r="AT72" s="20">
        <f>+MOP_Mes_Corriente!AT73*MOP_Mes_Constante!$AP$1</f>
        <v>291044.22534830245</v>
      </c>
      <c r="AU72" s="20">
        <f>+MOP_Mes_Corriente!AU73*MOP_Mes_Constante!$AP$1</f>
        <v>421743.89557689702</v>
      </c>
      <c r="AV72" s="20">
        <f>+MOP_Mes_Corriente!AV73*MOP_Mes_Constante!$AP$1</f>
        <v>809196.43744082237</v>
      </c>
      <c r="AW72" s="20">
        <f>+MOP_Mes_Corriente!AW73*MOP_Mes_Constante!$AP$1</f>
        <v>1491865.2725551196</v>
      </c>
      <c r="AX72" s="20">
        <f>+MOP_Mes_Corriente!AX73*MOP_Mes_Constante!$AP$1</f>
        <v>1790068.3703503313</v>
      </c>
      <c r="AY72" s="20">
        <f>+MOP_Mes_Corriente!AY73*MOP_Mes_Constante!$AP$1</f>
        <v>1912041.1326930879</v>
      </c>
      <c r="AZ72" s="20">
        <f>+MOP_Mes_Corriente!AZ73*MOP_Mes_Constante!$AP$1</f>
        <v>2639064.2369809276</v>
      </c>
      <c r="BA72" s="20">
        <f>+MOP_Mes_Corriente!BA73*MOP_Mes_Constante!$AP$1</f>
        <v>20986929.183822535</v>
      </c>
      <c r="BB72" s="20">
        <f t="shared" ref="BB72:BB77" si="98">BA72</f>
        <v>20986929.183822535</v>
      </c>
      <c r="BC72" s="20">
        <f>+MOP_Mes_Corriente!BC73*MOP_Mes_Constante!$BC$1</f>
        <v>0</v>
      </c>
      <c r="BD72" s="20">
        <f>+MOP_Mes_Corriente!BD73*MOP_Mes_Constante!$BC$1</f>
        <v>0</v>
      </c>
      <c r="BE72" s="20">
        <f>+MOP_Mes_Corriente!BE73*MOP_Mes_Constante!$BC$1</f>
        <v>1043.1786891731508</v>
      </c>
      <c r="BF72" s="20">
        <f>+MOP_Mes_Corriente!BF73*MOP_Mes_Constante!$BC$1</f>
        <v>2727870.4874060405</v>
      </c>
      <c r="BG72" s="20">
        <f>+MOP_Mes_Corriente!BG73*MOP_Mes_Constante!$BC$1</f>
        <v>3330369.5780034293</v>
      </c>
      <c r="BH72" s="20">
        <f>+MOP_Mes_Corriente!BH73*MOP_Mes_Constante!$BC$1</f>
        <v>6167087.9810101558</v>
      </c>
      <c r="BI72" s="20">
        <f>+MOP_Mes_Corriente!BI73*MOP_Mes_Constante!$BC$1</f>
        <v>6190535.0069893198</v>
      </c>
      <c r="BJ72" s="20">
        <f>+MOP_Mes_Corriente!BJ73*MOP_Mes_Constante!$BC$1</f>
        <v>6287321.5292100767</v>
      </c>
      <c r="BK72" s="20">
        <f>+MOP_Mes_Corriente!BK73*MOP_Mes_Constante!$BC$1</f>
        <v>6464542.3154424382</v>
      </c>
      <c r="BL72" s="20">
        <f>+MOP_Mes_Corriente!BL73*MOP_Mes_Constante!$BC$1</f>
        <v>8616879.3050243985</v>
      </c>
      <c r="BM72" s="20">
        <f>+MOP_Mes_Corriente!BM73*MOP_Mes_Constante!$BC$1</f>
        <v>8824094.360279575</v>
      </c>
      <c r="BN72" s="20">
        <f>+MOP_Mes_Corriente!BN73*MOP_Mes_Constante!$BC$1</f>
        <v>11895778.677040752</v>
      </c>
      <c r="BO72" s="20">
        <f t="shared" ref="BO72:BO77" si="99">BN72</f>
        <v>11895778.677040752</v>
      </c>
      <c r="BP72" s="20">
        <f>+MOP_Mes_Corriente!BP73*MOP_Mes_Constante!$BP$1</f>
        <v>67.150832266325239</v>
      </c>
      <c r="BQ72" s="20">
        <f>+MOP_Mes_Corriente!BQ73*MOP_Mes_Constante!$BP$1</f>
        <v>1755.7144686299619</v>
      </c>
      <c r="BR72" s="20">
        <f>+MOP_Mes_Corriente!BR73*MOP_Mes_Constante!$BP$1</f>
        <v>4366.203072983355</v>
      </c>
      <c r="BS72" s="20">
        <f>+MOP_Mes_Corriente!BS73*MOP_Mes_Constante!$BP$1</f>
        <v>16786.309090909093</v>
      </c>
      <c r="BT72" s="20">
        <f>+MOP_Mes_Corriente!BT73*MOP_Mes_Constante!$BP$1</f>
        <v>22675.996670934703</v>
      </c>
      <c r="BU72" s="20">
        <f>+MOP_Mes_Corriente!BU73*MOP_Mes_Constante!$BP$1</f>
        <v>60903.006914212558</v>
      </c>
      <c r="BV72" s="20">
        <f>+MOP_Mes_Corriente!BV73*MOP_Mes_Constante!$BP$1</f>
        <v>236373.72752880925</v>
      </c>
      <c r="BW72" s="20">
        <f>+MOP_Mes_Corriente!BW73*MOP_Mes_Constante!$BP$1</f>
        <v>333357.71600512165</v>
      </c>
      <c r="BX72" s="20">
        <f>+MOP_Mes_Corriente!BX73*MOP_Mes_Constante!$BP$1</f>
        <v>596204.26017925749</v>
      </c>
      <c r="BY72" s="20">
        <f>+MOP_Mes_Corriente!BY73*MOP_Mes_Constante!$BP$1</f>
        <v>657191.20563380292</v>
      </c>
      <c r="BZ72" s="20">
        <f>+MOP_Mes_Corriente!BZ73*MOP_Mes_Constante!$BP$1</f>
        <v>1567703.3300896289</v>
      </c>
      <c r="CA72" s="20">
        <f>+MOP_Mes_Corriente!CA73*MOP_Mes_Constante!$BP$1</f>
        <v>9290762.5183098596</v>
      </c>
      <c r="CB72" s="20">
        <f t="shared" ref="CB72:CB77" si="100">CA72</f>
        <v>9290762.5183098596</v>
      </c>
      <c r="CC72" s="20">
        <f>+MOP_Mes_Corriente!CC73*MOP_Mes_Constante!$CC$1</f>
        <v>0</v>
      </c>
      <c r="CD72" s="20">
        <f>+MOP_Mes_Corriente!CD73*MOP_Mes_Constante!$CC$1</f>
        <v>794.69227900037311</v>
      </c>
      <c r="CE72" s="20">
        <f>+MOP_Mes_Corriente!CE73*MOP_Mes_Constante!$CC$1</f>
        <v>71336.197687430074</v>
      </c>
      <c r="CF72" s="20">
        <f>+MOP_Mes_Corriente!CF73*MOP_Mes_Constante!$CC$1</f>
        <v>78142.023871689671</v>
      </c>
      <c r="CG72" s="20">
        <f>+MOP_Mes_Corriente!CG73*MOP_Mes_Constante!$CC$1</f>
        <v>104528.52443118241</v>
      </c>
      <c r="CH72" s="20">
        <f>+MOP_Mes_Corriente!CH73*MOP_Mes_Constante!$CC$1</f>
        <v>202459.06527415145</v>
      </c>
      <c r="CI72" s="20">
        <f>+MOP_Mes_Corriente!CI73*MOP_Mes_Constante!$CC$1</f>
        <v>227904.16113390529</v>
      </c>
      <c r="CJ72" s="20">
        <f>+MOP_Mes_Corriente!CJ73*MOP_Mes_Constante!$CC$1</f>
        <v>240055.48153674006</v>
      </c>
      <c r="CK72" s="20">
        <f>+MOP_Mes_Corriente!CK73*MOP_Mes_Constante!$CC$1</f>
        <v>1059202.5475568818</v>
      </c>
      <c r="CL72" s="20">
        <f>+MOP_Mes_Corriente!CL73*MOP_Mes_Constante!$CC$1</f>
        <v>1064185.3360686311</v>
      </c>
      <c r="CM72" s="20">
        <f>+MOP_Mes_Corriente!CM73*MOP_Mes_Constante!$CC$1</f>
        <v>1490935.0898918316</v>
      </c>
      <c r="CN72" s="20">
        <f>+MOP_Mes_Corriente!CN73*MOP_Mes_Constante!$CC$1</f>
        <v>7937846.9966430441</v>
      </c>
      <c r="CO72" s="20">
        <f t="shared" ref="CO72:CO77" si="101">CN72</f>
        <v>7937846.9966430441</v>
      </c>
      <c r="CP72" s="20">
        <f>+MOP_Mes_Corriente!CP73*MOP_Mes_Constante!$CP$1</f>
        <v>0</v>
      </c>
      <c r="CQ72" s="20">
        <f>+MOP_Mes_Corriente!CQ73*MOP_Mes_Constante!$CP$1</f>
        <v>539883.82691415306</v>
      </c>
      <c r="CR72" s="20">
        <f>+MOP_Mes_Corriente!CR73*MOP_Mes_Constante!$CP$1</f>
        <v>1854075.0215777259</v>
      </c>
      <c r="CS72" s="20">
        <f>+MOP_Mes_Corriente!CS73*MOP_Mes_Constante!$CP$1</f>
        <v>1858147.5549883987</v>
      </c>
      <c r="CT72" s="20">
        <f>+MOP_Mes_Corriente!CT73*MOP_Mes_Constante!$CP$1</f>
        <v>1877318.7556844545</v>
      </c>
      <c r="CU72" s="20">
        <f>+MOP_Mes_Corriente!CU73*MOP_Mes_Constante!$CP$1</f>
        <v>1917036.4134570761</v>
      </c>
      <c r="CV72" s="20">
        <f>+MOP_Mes_Corriente!CV73*MOP_Mes_Constante!$CP$1</f>
        <v>2768060.2719257534</v>
      </c>
      <c r="CW72" s="20">
        <f>+MOP_Mes_Corriente!CW73*MOP_Mes_Constante!$CP$1</f>
        <v>2975850.7371229692</v>
      </c>
      <c r="CX72" s="20">
        <f>+MOP_Mes_Corriente!CX73*MOP_Mes_Constante!$CP$1</f>
        <v>3024942.9535962869</v>
      </c>
      <c r="CY72" s="20">
        <f>+MOP_Mes_Corriente!CY73*MOP_Mes_Constante!$CP$1</f>
        <v>3206750.5795823662</v>
      </c>
      <c r="CZ72" s="20">
        <f>+MOP_Mes_Corriente!CZ73*MOP_Mes_Constante!$CP$1</f>
        <v>3922529.0638051038</v>
      </c>
      <c r="DA72" s="20">
        <f>+MOP_Mes_Corriente!DA73*MOP_Mes_Constante!$CP$1</f>
        <v>6083490.3285382818</v>
      </c>
      <c r="DB72" s="20">
        <f t="shared" ref="DB72:DB77" si="102">DA72</f>
        <v>6083490.3285382818</v>
      </c>
      <c r="DC72" s="20">
        <f>+MOP_Mes_Corriente!DC73*MOP_Mes_Constante!$DC$1</f>
        <v>0</v>
      </c>
      <c r="DD72" s="20">
        <f>+MOP_Mes_Corriente!DD73*MOP_Mes_Constante!$DC$1</f>
        <v>0</v>
      </c>
      <c r="DE72" s="20">
        <f>+MOP_Mes_Corriente!DE73*MOP_Mes_Constante!$DC$1</f>
        <v>0</v>
      </c>
      <c r="DF72" s="20">
        <f>+MOP_Mes_Corriente!DF73*MOP_Mes_Constante!$DC$1</f>
        <v>0</v>
      </c>
      <c r="DG72" s="20">
        <f>+MOP_Mes_Corriente!DG73*MOP_Mes_Constante!$DC$1</f>
        <v>123592.71803312423</v>
      </c>
      <c r="DH72" s="20">
        <f>+MOP_Mes_Corriente!DH73*MOP_Mes_Constante!$DC$1</f>
        <v>124715.55251517339</v>
      </c>
      <c r="DI72" s="20">
        <f>+MOP_Mes_Corriente!DI73*MOP_Mes_Constante!$DC$1</f>
        <v>125547.28176113575</v>
      </c>
      <c r="DJ72" s="20">
        <f>+MOP_Mes_Corriente!DJ73*MOP_Mes_Constante!$DC$1</f>
        <v>131725.68130850742</v>
      </c>
      <c r="DK72" s="20">
        <f>+MOP_Mes_Corriente!DK73*MOP_Mes_Constante!$DC$1</f>
        <v>230804.8657545521</v>
      </c>
      <c r="DL72" s="20">
        <f>+MOP_Mes_Corriente!DL73*MOP_Mes_Constante!$DC$1</f>
        <v>245282.57442649946</v>
      </c>
      <c r="DM72" s="20">
        <f>+MOP_Mes_Corriente!DM73*MOP_Mes_Constante!$DC$1</f>
        <v>344671.97140211926</v>
      </c>
      <c r="DN72" s="20">
        <f>+MOP_Mes_Corriente!DN73*MOP_Mes_Constante!$DC$1</f>
        <v>9465297.9909474384</v>
      </c>
      <c r="DO72" s="20">
        <f t="shared" ref="DO72:DO77" si="103">DN72</f>
        <v>9465297.9909474384</v>
      </c>
      <c r="DP72" s="20">
        <f>+MOP_Mes_Corriente!DP73*MOP_Mes_Constante!$DP$1</f>
        <v>0</v>
      </c>
      <c r="DQ72" s="20">
        <f>+MOP_Mes_Corriente!DQ73*MOP_Mes_Constante!$DP$1</f>
        <v>0</v>
      </c>
      <c r="DR72" s="20">
        <f>+MOP_Mes_Corriente!DR73*MOP_Mes_Constante!$DP$1</f>
        <v>3187.8313539192404</v>
      </c>
      <c r="DS72" s="20">
        <f>+MOP_Mes_Corriente!DS73*MOP_Mes_Constante!$DP$1</f>
        <v>4392.4596199524949</v>
      </c>
      <c r="DT72" s="20">
        <f>+MOP_Mes_Corriente!DT73*MOP_Mes_Constante!$DP$1</f>
        <v>205598.90201900239</v>
      </c>
      <c r="DU72" s="20">
        <f>+MOP_Mes_Corriente!DU73*MOP_Mes_Constante!$DP$1</f>
        <v>240118.96318289789</v>
      </c>
      <c r="DV72" s="20">
        <f>+MOP_Mes_Corriente!DV73*MOP_Mes_Constante!$DP$1</f>
        <v>265396.69239904993</v>
      </c>
      <c r="DW72" s="20">
        <f>+MOP_Mes_Corriente!DW73*MOP_Mes_Constante!$DP$1</f>
        <v>298424.48515439435</v>
      </c>
      <c r="DX72" s="20">
        <f>+MOP_Mes_Corriente!DX73*MOP_Mes_Constante!$DP$1</f>
        <v>493816.48752969125</v>
      </c>
      <c r="DY72" s="20">
        <f>+MOP_Mes_Corriente!DY73*MOP_Mes_Constante!$DP$1</f>
        <v>779579.39964370558</v>
      </c>
      <c r="DZ72" s="20">
        <f>+MOP_Mes_Corriente!DZ73*MOP_Mes_Constante!$DP$1</f>
        <v>1042066.1686460809</v>
      </c>
      <c r="EA72" s="20">
        <f>+MOP_Mes_Corriente!EA73*MOP_Mes_Constante!$DP$1</f>
        <v>7715823.5486935871</v>
      </c>
      <c r="EB72" s="20">
        <f t="shared" ref="EB72:EB77" si="104">EA72</f>
        <v>7715823.5486935871</v>
      </c>
      <c r="EC72" s="20">
        <f>+MOP_Mes_Corriente!EC73*MOP_Mes_Constante!$EC$1</f>
        <v>0</v>
      </c>
      <c r="ED72" s="20">
        <f>+MOP_Mes_Corriente!ED73*MOP_Mes_Constante!$EC$1</f>
        <v>0</v>
      </c>
      <c r="EE72" s="20">
        <f>+MOP_Mes_Corriente!EE73*MOP_Mes_Constante!$EC$1</f>
        <v>0</v>
      </c>
      <c r="EF72" s="20">
        <f>+MOP_Mes_Corriente!EF73*MOP_Mes_Constante!$EC$1</f>
        <v>0</v>
      </c>
      <c r="EG72" s="20">
        <f>+MOP_Mes_Corriente!EG73*MOP_Mes_Constante!$EC$1</f>
        <v>1773.0698731300884</v>
      </c>
      <c r="EH72" s="20">
        <f>+MOP_Mes_Corriente!EH73*MOP_Mes_Constante!$EC$1</f>
        <v>3859.5820867259977</v>
      </c>
      <c r="EI72" s="20">
        <f>+MOP_Mes_Corriente!EI73*MOP_Mes_Constante!$EC$1</f>
        <v>3859.5820867259977</v>
      </c>
      <c r="EJ72" s="20">
        <f>+MOP_Mes_Corriente!EJ73*MOP_Mes_Constante!$EC$1</f>
        <v>55284.815186517684</v>
      </c>
      <c r="EK72" s="20">
        <f>+MOP_Mes_Corriente!EK73*MOP_Mes_Constante!$EC$1</f>
        <v>193593.57545919326</v>
      </c>
      <c r="EL72" s="20">
        <f>+MOP_Mes_Corriente!EL73*MOP_Mes_Constante!$EC$1</f>
        <v>193701.15962885812</v>
      </c>
      <c r="EM72" s="20">
        <f>+MOP_Mes_Corriente!EM73*MOP_Mes_Constante!$EC$1</f>
        <v>228654.63567506147</v>
      </c>
      <c r="EN72" s="20">
        <f>+MOP_Mes_Corriente!EN73*MOP_Mes_Constante!$EC$1</f>
        <v>1162245.2329104333</v>
      </c>
      <c r="EO72" s="20">
        <f t="shared" ref="EO72:EO77" si="105">EN72</f>
        <v>1162245.2329104333</v>
      </c>
      <c r="EP72" s="20">
        <f>+MOP_Mes_Corriente!EP73*MOP_Mes_Constante!$EP$1</f>
        <v>0</v>
      </c>
      <c r="EQ72" s="20">
        <f>+MOP_Mes_Corriente!EQ73*MOP_Mes_Constante!$EP$1</f>
        <v>0</v>
      </c>
      <c r="ER72" s="20">
        <f>+MOP_Mes_Corriente!ER73*MOP_Mes_Constante!$EP$1</f>
        <v>0</v>
      </c>
      <c r="ES72" s="20">
        <f>+MOP_Mes_Corriente!ES73*MOP_Mes_Constante!$EP$1</f>
        <v>3488</v>
      </c>
      <c r="ET72" s="20">
        <f>+MOP_Mes_Corriente!ET73*MOP_Mes_Constante!$EP$1</f>
        <v>3488</v>
      </c>
      <c r="EU72" s="20">
        <f>+MOP_Mes_Corriente!EU73*MOP_Mes_Constante!$EP$1</f>
        <v>6802</v>
      </c>
      <c r="EV72" s="20">
        <f>+MOP_Mes_Corriente!EV73*MOP_Mes_Constante!$EP$1</f>
        <v>6802</v>
      </c>
      <c r="EW72" s="20">
        <f>+MOP_Mes_Corriente!EW73*MOP_Mes_Constante!$EP$1</f>
        <v>205085</v>
      </c>
      <c r="EX72" s="20">
        <f>+MOP_Mes_Corriente!EX73*MOP_Mes_Constante!$EP$1</f>
        <v>215026</v>
      </c>
      <c r="EY72" s="20">
        <f>+MOP_Mes_Corriente!EY73*MOP_Mes_Constante!$EP$1</f>
        <v>319809</v>
      </c>
      <c r="EZ72" s="20">
        <f>+MOP_Mes_Corriente!EZ73*MOP_Mes_Constante!$EP$1</f>
        <v>541271</v>
      </c>
      <c r="FA72" s="20">
        <f>+MOP_Mes_Corriente!FA73*MOP_Mes_Constante!$EP$1</f>
        <v>2174604</v>
      </c>
      <c r="FB72" s="20">
        <f t="shared" ref="FB72:FB77" si="106">FA72</f>
        <v>2174604</v>
      </c>
      <c r="FC72" s="20">
        <f>+MOP_Mes_Corriente!FC73*MOP_Mes_Constante!$FC$1</f>
        <v>0</v>
      </c>
      <c r="FD72" s="20">
        <f>+MOP_Mes_Corriente!FD73*MOP_Mes_Constante!$FC$1</f>
        <v>0</v>
      </c>
      <c r="FE72" s="20">
        <f>+MOP_Mes_Corriente!FE73*MOP_Mes_Constante!$FC$1</f>
        <v>0</v>
      </c>
      <c r="FF72" s="20">
        <f>+MOP_Mes_Corriente!FF73*MOP_Mes_Constante!$FC$1</f>
        <v>1547</v>
      </c>
      <c r="FG72" s="20">
        <f>+MOP_Mes_Corriente!FG73*MOP_Mes_Constante!$FC$1</f>
        <v>1547</v>
      </c>
      <c r="FH72" s="20">
        <f>+MOP_Mes_Corriente!FH73*MOP_Mes_Constante!$FC$1</f>
        <v>4001</v>
      </c>
      <c r="FI72" s="20">
        <f>+MOP_Mes_Corriente!FI73*MOP_Mes_Constante!$FC$1</f>
        <v>4001</v>
      </c>
      <c r="FJ72" s="10"/>
      <c r="FK72" s="10"/>
      <c r="FL72" s="10"/>
      <c r="FM72" s="10"/>
      <c r="FN72" s="10"/>
      <c r="FO72" s="20">
        <f t="shared" ref="FO72:FO77" si="107">FI72</f>
        <v>4001</v>
      </c>
    </row>
    <row r="73" spans="1:171" ht="27.75" customHeight="1">
      <c r="A73" s="10"/>
      <c r="B73" s="19" t="s">
        <v>44</v>
      </c>
      <c r="C73" s="20">
        <f>+MOP_Mes_Corriente!C74*MOP_Mes_Constante!$C$1</f>
        <v>1675.4388254486137</v>
      </c>
      <c r="D73" s="20">
        <f>+MOP_Mes_Corriente!D74*MOP_Mes_Constante!$C$1</f>
        <v>1675.4388254486137</v>
      </c>
      <c r="E73" s="20">
        <f>+MOP_Mes_Corriente!E74*MOP_Mes_Constante!$C$1</f>
        <v>89042.930149784981</v>
      </c>
      <c r="F73" s="20">
        <f>+MOP_Mes_Corriente!F74*MOP_Mes_Constante!$C$1</f>
        <v>91039.197686489701</v>
      </c>
      <c r="G73" s="20">
        <f>+MOP_Mes_Corriente!G74*MOP_Mes_Constante!$C$1</f>
        <v>91980.619308912967</v>
      </c>
      <c r="H73" s="20">
        <f>+MOP_Mes_Corriente!H74*MOP_Mes_Constante!$C$1</f>
        <v>94445.167136289499</v>
      </c>
      <c r="I73" s="20">
        <f>+MOP_Mes_Corriente!I74*MOP_Mes_Constante!$C$1</f>
        <v>131304.821296159</v>
      </c>
      <c r="J73" s="20">
        <f>+MOP_Mes_Corriente!J74*MOP_Mes_Constante!$C$1</f>
        <v>201877.41569034557</v>
      </c>
      <c r="K73" s="20">
        <f>+MOP_Mes_Corriente!K74*MOP_Mes_Constante!$C$1</f>
        <v>207205.11671362899</v>
      </c>
      <c r="L73" s="20">
        <f>+MOP_Mes_Corriente!L74*MOP_Mes_Constante!$C$1</f>
        <v>368087.75263235957</v>
      </c>
      <c r="M73" s="20">
        <f>+MOP_Mes_Corriente!M74*MOP_Mes_Constante!$C$1</f>
        <v>440716.56740323303</v>
      </c>
      <c r="N73" s="20">
        <f>+MOP_Mes_Corriente!N74*MOP_Mes_Constante!$C$1</f>
        <v>617634.15749666328</v>
      </c>
      <c r="O73" s="20">
        <f t="shared" si="95"/>
        <v>617634.15749666328</v>
      </c>
      <c r="P73" s="20">
        <f>+MOP_Mes_Corriente!P74*MOP_Mes_Constante!$P$1</f>
        <v>0</v>
      </c>
      <c r="Q73" s="20">
        <f>+MOP_Mes_Corriente!Q74*MOP_Mes_Constante!$P$1</f>
        <v>931.32547236823382</v>
      </c>
      <c r="R73" s="20">
        <f>+MOP_Mes_Corriente!R74*MOP_Mes_Constante!$P$1</f>
        <v>4420.6915755078826</v>
      </c>
      <c r="S73" s="20">
        <f>+MOP_Mes_Corriente!S74*MOP_Mes_Constante!$P$1</f>
        <v>55702.576502344062</v>
      </c>
      <c r="T73" s="20">
        <f>+MOP_Mes_Corriente!T74*MOP_Mes_Constante!$P$1</f>
        <v>57650.598948714287</v>
      </c>
      <c r="U73" s="20">
        <f>+MOP_Mes_Corriente!U74*MOP_Mes_Constante!$P$1</f>
        <v>71474.573376900094</v>
      </c>
      <c r="V73" s="20">
        <f>+MOP_Mes_Corriente!V74*MOP_Mes_Constante!$P$1</f>
        <v>88390.548373348458</v>
      </c>
      <c r="W73" s="20">
        <f>+MOP_Mes_Corriente!W74*MOP_Mes_Constante!$P$1</f>
        <v>138975.49140502908</v>
      </c>
      <c r="X73" s="20">
        <f>+MOP_Mes_Corriente!X74*MOP_Mes_Constante!$P$1</f>
        <v>313811.67012359697</v>
      </c>
      <c r="Y73" s="20">
        <f>+MOP_Mes_Corriente!Y74*MOP_Mes_Constante!$P$1</f>
        <v>337461.12828526768</v>
      </c>
      <c r="Z73" s="20">
        <f>+MOP_Mes_Corriente!Z74*MOP_Mes_Constante!$P$1</f>
        <v>363657.76161386544</v>
      </c>
      <c r="AA73" s="20">
        <f>+MOP_Mes_Corriente!AA74*MOP_Mes_Constante!$P$1</f>
        <v>561912.11933513265</v>
      </c>
      <c r="AB73" s="20">
        <f t="shared" si="96"/>
        <v>561912.11933513265</v>
      </c>
      <c r="AC73" s="20">
        <f>+MOP_Mes_Corriente!AC74*MOP_Mes_Constante!$AC$1</f>
        <v>122.42440171531332</v>
      </c>
      <c r="AD73" s="20">
        <f>+MOP_Mes_Corriente!AD74*MOP_Mes_Constante!$AC$1</f>
        <v>9370.7566745054646</v>
      </c>
      <c r="AE73" s="20">
        <f>+MOP_Mes_Corriente!AE74*MOP_Mes_Constante!$AC$1</f>
        <v>64635.549868584865</v>
      </c>
      <c r="AF73" s="20">
        <f>+MOP_Mes_Corriente!AF74*MOP_Mes_Constante!$AC$1</f>
        <v>101910.00165998063</v>
      </c>
      <c r="AG73" s="20">
        <f>+MOP_Mes_Corriente!AG74*MOP_Mes_Constante!$AC$1</f>
        <v>335421.70092682249</v>
      </c>
      <c r="AH73" s="20">
        <f>+MOP_Mes_Corriente!AH74*MOP_Mes_Constante!$AC$1</f>
        <v>338949.33739106375</v>
      </c>
      <c r="AI73" s="20">
        <f>+MOP_Mes_Corriente!AI74*MOP_Mes_Constante!$AC$1</f>
        <v>342126.32618619449</v>
      </c>
      <c r="AJ73" s="20">
        <f>+MOP_Mes_Corriente!AJ74*MOP_Mes_Constante!$AC$1</f>
        <v>347585.54765527736</v>
      </c>
      <c r="AK73" s="20">
        <f>+MOP_Mes_Corriente!AK74*MOP_Mes_Constante!$AC$1</f>
        <v>349514.10983538523</v>
      </c>
      <c r="AL73" s="20">
        <f>+MOP_Mes_Corriente!AL74*MOP_Mes_Constante!$AC$1</f>
        <v>351332.3389127127</v>
      </c>
      <c r="AM73" s="20">
        <f>+MOP_Mes_Corriente!AM74*MOP_Mes_Constante!$AC$1</f>
        <v>354663.49176926271</v>
      </c>
      <c r="AN73" s="20">
        <f>+MOP_Mes_Corriente!AN74*MOP_Mes_Constante!$AC$1</f>
        <v>389623.97122700233</v>
      </c>
      <c r="AO73" s="20">
        <f t="shared" si="97"/>
        <v>389623.97122700233</v>
      </c>
      <c r="AP73" s="20">
        <f>+MOP_Mes_Corriente!AP74*MOP_Mes_Constante!$AP$1</f>
        <v>1304.9720005410522</v>
      </c>
      <c r="AQ73" s="20">
        <f>+MOP_Mes_Corriente!AQ74*MOP_Mes_Constante!$AP$1</f>
        <v>1304.9720005410522</v>
      </c>
      <c r="AR73" s="20">
        <f>+MOP_Mes_Corriente!AR74*MOP_Mes_Constante!$AP$1</f>
        <v>1304.9720005410522</v>
      </c>
      <c r="AS73" s="20">
        <f>+MOP_Mes_Corriente!AS74*MOP_Mes_Constante!$AP$1</f>
        <v>1304.9720005410522</v>
      </c>
      <c r="AT73" s="20">
        <f>+MOP_Mes_Corriente!AT74*MOP_Mes_Constante!$AP$1</f>
        <v>2849.3612877045853</v>
      </c>
      <c r="AU73" s="20">
        <f>+MOP_Mes_Corriente!AU74*MOP_Mes_Constante!$AP$1</f>
        <v>23131.847964290544</v>
      </c>
      <c r="AV73" s="20">
        <f>+MOP_Mes_Corriente!AV74*MOP_Mes_Constante!$AP$1</f>
        <v>35439.669958068444</v>
      </c>
      <c r="AW73" s="20">
        <f>+MOP_Mes_Corriente!AW74*MOP_Mes_Constante!$AP$1</f>
        <v>68174.811307994038</v>
      </c>
      <c r="AX73" s="20">
        <f>+MOP_Mes_Corriente!AX74*MOP_Mes_Constante!$AP$1</f>
        <v>192568.34843771133</v>
      </c>
      <c r="AY73" s="20">
        <f>+MOP_Mes_Corriente!AY74*MOP_Mes_Constante!$AP$1</f>
        <v>715836.9966184228</v>
      </c>
      <c r="AZ73" s="20">
        <f>+MOP_Mes_Corriente!AZ74*MOP_Mes_Constante!$AP$1</f>
        <v>723603.27958880016</v>
      </c>
      <c r="BA73" s="20">
        <f>+MOP_Mes_Corriente!BA74*MOP_Mes_Constante!$AP$1</f>
        <v>770560.10334099818</v>
      </c>
      <c r="BB73" s="20">
        <f t="shared" si="98"/>
        <v>770560.10334099818</v>
      </c>
      <c r="BC73" s="20">
        <f>+MOP_Mes_Corriente!BC74*MOP_Mes_Constante!$BC$1</f>
        <v>0</v>
      </c>
      <c r="BD73" s="20">
        <f>+MOP_Mes_Corriente!BD74*MOP_Mes_Constante!$BC$1</f>
        <v>0</v>
      </c>
      <c r="BE73" s="20">
        <f>+MOP_Mes_Corriente!BE74*MOP_Mes_Constante!$BC$1</f>
        <v>98086.173018594243</v>
      </c>
      <c r="BF73" s="20">
        <f>+MOP_Mes_Corriente!BF74*MOP_Mes_Constante!$BC$1</f>
        <v>101884.26559409207</v>
      </c>
      <c r="BG73" s="20">
        <f>+MOP_Mes_Corriente!BG74*MOP_Mes_Constante!$BC$1</f>
        <v>101921.72781221155</v>
      </c>
      <c r="BH73" s="20">
        <f>+MOP_Mes_Corriente!BH74*MOP_Mes_Constante!$BC$1</f>
        <v>102361.18844784389</v>
      </c>
      <c r="BI73" s="20">
        <f>+MOP_Mes_Corriente!BI74*MOP_Mes_Constante!$BC$1</f>
        <v>105167.97309771861</v>
      </c>
      <c r="BJ73" s="20">
        <f>+MOP_Mes_Corriente!BJ74*MOP_Mes_Constante!$BC$1</f>
        <v>108817.65765528158</v>
      </c>
      <c r="BK73" s="20">
        <f>+MOP_Mes_Corriente!BK74*MOP_Mes_Constante!$BC$1</f>
        <v>109584.19227218782</v>
      </c>
      <c r="BL73" s="20">
        <f>+MOP_Mes_Corriente!BL74*MOP_Mes_Constante!$BC$1</f>
        <v>109735.48199920879</v>
      </c>
      <c r="BM73" s="20">
        <f>+MOP_Mes_Corriente!BM74*MOP_Mes_Constante!$BC$1</f>
        <v>119080.86456547544</v>
      </c>
      <c r="BN73" s="20">
        <f>+MOP_Mes_Corriente!BN74*MOP_Mes_Constante!$BC$1</f>
        <v>4642542.8426744044</v>
      </c>
      <c r="BO73" s="20">
        <f t="shared" si="99"/>
        <v>4642542.8426744044</v>
      </c>
      <c r="BP73" s="20">
        <f>+MOP_Mes_Corriente!BP74*MOP_Mes_Constante!$BP$1</f>
        <v>0</v>
      </c>
      <c r="BQ73" s="20">
        <f>+MOP_Mes_Corriente!BQ74*MOP_Mes_Constante!$BP$1</f>
        <v>12028.392829705506</v>
      </c>
      <c r="BR73" s="20">
        <f>+MOP_Mes_Corriente!BR74*MOP_Mes_Constante!$BP$1</f>
        <v>12180.881177976955</v>
      </c>
      <c r="BS73" s="20">
        <f>+MOP_Mes_Corriente!BS74*MOP_Mes_Constante!$BP$1</f>
        <v>13000.680921895007</v>
      </c>
      <c r="BT73" s="20">
        <f>+MOP_Mes_Corriente!BT74*MOP_Mes_Constante!$BP$1</f>
        <v>25660.011779769527</v>
      </c>
      <c r="BU73" s="20">
        <f>+MOP_Mes_Corriente!BU74*MOP_Mes_Constante!$BP$1</f>
        <v>26678.466069142127</v>
      </c>
      <c r="BV73" s="20">
        <f>+MOP_Mes_Corriente!BV74*MOP_Mes_Constante!$BP$1</f>
        <v>32372.297055057621</v>
      </c>
      <c r="BW73" s="20">
        <f>+MOP_Mes_Corriente!BW74*MOP_Mes_Constante!$BP$1</f>
        <v>81479.141101152374</v>
      </c>
      <c r="BX73" s="20">
        <f>+MOP_Mes_Corriente!BX74*MOP_Mes_Constante!$BP$1</f>
        <v>104667.16286811781</v>
      </c>
      <c r="BY73" s="20">
        <f>+MOP_Mes_Corriente!BY74*MOP_Mes_Constante!$BP$1</f>
        <v>116531.87554417415</v>
      </c>
      <c r="BZ73" s="20">
        <f>+MOP_Mes_Corriente!BZ74*MOP_Mes_Constante!$BP$1</f>
        <v>126554.13725992318</v>
      </c>
      <c r="CA73" s="20">
        <f>+MOP_Mes_Corriente!CA74*MOP_Mes_Constante!$BP$1</f>
        <v>1028934.0161331628</v>
      </c>
      <c r="CB73" s="20">
        <f t="shared" si="100"/>
        <v>1028934.0161331628</v>
      </c>
      <c r="CC73" s="20">
        <f>+MOP_Mes_Corriente!CC74*MOP_Mes_Constante!$CC$1</f>
        <v>127.69414397612832</v>
      </c>
      <c r="CD73" s="20">
        <f>+MOP_Mes_Corriente!CD74*MOP_Mes_Constante!$CC$1</f>
        <v>796.05072734054465</v>
      </c>
      <c r="CE73" s="20">
        <f>+MOP_Mes_Corriente!CE74*MOP_Mes_Constante!$CC$1</f>
        <v>3836.2581126445361</v>
      </c>
      <c r="CF73" s="20">
        <f>+MOP_Mes_Corriente!CF74*MOP_Mes_Constante!$CC$1</f>
        <v>3836.2581126445361</v>
      </c>
      <c r="CG73" s="20">
        <f>+MOP_Mes_Corriente!CG74*MOP_Mes_Constante!$CC$1</f>
        <v>3943.5755315180904</v>
      </c>
      <c r="CH73" s="20">
        <f>+MOP_Mes_Corriente!CH74*MOP_Mes_Constante!$CC$1</f>
        <v>5566.9212980231259</v>
      </c>
      <c r="CI73" s="20">
        <f>+MOP_Mes_Corriente!CI74*MOP_Mes_Constante!$CC$1</f>
        <v>6371.1227154047001</v>
      </c>
      <c r="CJ73" s="20">
        <f>+MOP_Mes_Corriente!CJ74*MOP_Mes_Constante!$CC$1</f>
        <v>22053.050354345396</v>
      </c>
      <c r="CK73" s="20">
        <f>+MOP_Mes_Corriente!CK74*MOP_Mes_Constante!$CC$1</f>
        <v>22053.050354345396</v>
      </c>
      <c r="CL73" s="20">
        <f>+MOP_Mes_Corriente!CL74*MOP_Mes_Constante!$CC$1</f>
        <v>29246.034315553901</v>
      </c>
      <c r="CM73" s="20">
        <f>+MOP_Mes_Corriente!CM74*MOP_Mes_Constante!$CC$1</f>
        <v>29639.984334203658</v>
      </c>
      <c r="CN73" s="20">
        <f>+MOP_Mes_Corriente!CN74*MOP_Mes_Constante!$CC$1</f>
        <v>144616.33494964568</v>
      </c>
      <c r="CO73" s="20">
        <f t="shared" si="101"/>
        <v>144616.33494964568</v>
      </c>
      <c r="CP73" s="20">
        <f>+MOP_Mes_Corriente!CP74*MOP_Mes_Constante!$CP$1</f>
        <v>0</v>
      </c>
      <c r="CQ73" s="20">
        <f>+MOP_Mes_Corriente!CQ74*MOP_Mes_Constante!$CP$1</f>
        <v>0</v>
      </c>
      <c r="CR73" s="20">
        <f>+MOP_Mes_Corriente!CR74*MOP_Mes_Constante!$CP$1</f>
        <v>0</v>
      </c>
      <c r="CS73" s="20">
        <f>+MOP_Mes_Corriente!CS74*MOP_Mes_Constante!$CP$1</f>
        <v>874.58700696055666</v>
      </c>
      <c r="CT73" s="20">
        <f>+MOP_Mes_Corriente!CT74*MOP_Mes_Constante!$CP$1</f>
        <v>874.58700696055666</v>
      </c>
      <c r="CU73" s="20">
        <f>+MOP_Mes_Corriente!CU74*MOP_Mes_Constante!$CP$1</f>
        <v>1128.090487238979</v>
      </c>
      <c r="CV73" s="20">
        <f>+MOP_Mes_Corriente!CV74*MOP_Mes_Constante!$CP$1</f>
        <v>1128.090487238979</v>
      </c>
      <c r="CW73" s="20">
        <f>+MOP_Mes_Corriente!CW74*MOP_Mes_Constante!$CP$1</f>
        <v>1128.090487238979</v>
      </c>
      <c r="CX73" s="20">
        <f>+MOP_Mes_Corriente!CX74*MOP_Mes_Constante!$CP$1</f>
        <v>33694.415081206491</v>
      </c>
      <c r="CY73" s="20">
        <f>+MOP_Mes_Corriente!CY74*MOP_Mes_Constante!$CP$1</f>
        <v>48082.005104408345</v>
      </c>
      <c r="CZ73" s="20">
        <f>+MOP_Mes_Corriente!CZ74*MOP_Mes_Constante!$CP$1</f>
        <v>148757.10974477956</v>
      </c>
      <c r="DA73" s="20">
        <f>+MOP_Mes_Corriente!DA74*MOP_Mes_Constante!$CP$1</f>
        <v>891944.39025522023</v>
      </c>
      <c r="DB73" s="20">
        <f t="shared" si="102"/>
        <v>891944.39025522023</v>
      </c>
      <c r="DC73" s="20">
        <f>+MOP_Mes_Corriente!DC74*MOP_Mes_Constante!$DC$1</f>
        <v>0</v>
      </c>
      <c r="DD73" s="20">
        <f>+MOP_Mes_Corriente!DD74*MOP_Mes_Constante!$DC$1</f>
        <v>0</v>
      </c>
      <c r="DE73" s="20">
        <f>+MOP_Mes_Corriente!DE74*MOP_Mes_Constante!$DC$1</f>
        <v>446.21150087439582</v>
      </c>
      <c r="DF73" s="20">
        <f>+MOP_Mes_Corriente!DF74*MOP_Mes_Constante!$DC$1</f>
        <v>446.21150087439582</v>
      </c>
      <c r="DG73" s="20">
        <f>+MOP_Mes_Corriente!DG74*MOP_Mes_Constante!$DC$1</f>
        <v>1002.5709289167786</v>
      </c>
      <c r="DH73" s="20">
        <f>+MOP_Mes_Corriente!DH74*MOP_Mes_Constante!$DC$1</f>
        <v>22549.978191544091</v>
      </c>
      <c r="DI73" s="20">
        <f>+MOP_Mes_Corriente!DI74*MOP_Mes_Constante!$DC$1</f>
        <v>24722.589857010607</v>
      </c>
      <c r="DJ73" s="20">
        <f>+MOP_Mes_Corriente!DJ74*MOP_Mes_Constante!$DC$1</f>
        <v>24722.589857010607</v>
      </c>
      <c r="DK73" s="20">
        <f>+MOP_Mes_Corriente!DK74*MOP_Mes_Constante!$DC$1</f>
        <v>84819.523711552349</v>
      </c>
      <c r="DL73" s="20">
        <f>+MOP_Mes_Corriente!DL74*MOP_Mes_Constante!$DC$1</f>
        <v>121312.2063573707</v>
      </c>
      <c r="DM73" s="20">
        <f>+MOP_Mes_Corriente!DM74*MOP_Mes_Constante!$DC$1</f>
        <v>1019441.5451085285</v>
      </c>
      <c r="DN73" s="20">
        <f>+MOP_Mes_Corriente!DN74*MOP_Mes_Constante!$DC$1</f>
        <v>1292539.8430202659</v>
      </c>
      <c r="DO73" s="20">
        <f t="shared" si="103"/>
        <v>1292539.8430202659</v>
      </c>
      <c r="DP73" s="20">
        <f>+MOP_Mes_Corriente!DP74*MOP_Mes_Constante!$DP$1</f>
        <v>0</v>
      </c>
      <c r="DQ73" s="20">
        <f>+MOP_Mes_Corriente!DQ74*MOP_Mes_Constante!$DP$1</f>
        <v>0</v>
      </c>
      <c r="DR73" s="20">
        <f>+MOP_Mes_Corriente!DR74*MOP_Mes_Constante!$DP$1</f>
        <v>33001.840261282661</v>
      </c>
      <c r="DS73" s="20">
        <f>+MOP_Mes_Corriente!DS74*MOP_Mes_Constante!$DP$1</f>
        <v>36877.412707838484</v>
      </c>
      <c r="DT73" s="20">
        <f>+MOP_Mes_Corriente!DT74*MOP_Mes_Constante!$DP$1</f>
        <v>63260.28562945369</v>
      </c>
      <c r="DU73" s="20">
        <f>+MOP_Mes_Corriente!DU74*MOP_Mes_Constante!$DP$1</f>
        <v>63260.28562945369</v>
      </c>
      <c r="DV73" s="20">
        <f>+MOP_Mes_Corriente!DV74*MOP_Mes_Constante!$DP$1</f>
        <v>112067.1947743468</v>
      </c>
      <c r="DW73" s="20">
        <f>+MOP_Mes_Corriente!DW74*MOP_Mes_Constante!$DP$1</f>
        <v>112136.40142517816</v>
      </c>
      <c r="DX73" s="20">
        <f>+MOP_Mes_Corriente!DX74*MOP_Mes_Constante!$DP$1</f>
        <v>208337.97149643707</v>
      </c>
      <c r="DY73" s="20">
        <f>+MOP_Mes_Corriente!DY74*MOP_Mes_Constante!$DP$1</f>
        <v>211557.16211401427</v>
      </c>
      <c r="DZ73" s="20">
        <f>+MOP_Mes_Corriente!DZ74*MOP_Mes_Constante!$DP$1</f>
        <v>540409.86520190025</v>
      </c>
      <c r="EA73" s="20">
        <f>+MOP_Mes_Corriente!EA74*MOP_Mes_Constante!$DP$1</f>
        <v>680016.981591449</v>
      </c>
      <c r="EB73" s="20">
        <f t="shared" si="104"/>
        <v>680016.981591449</v>
      </c>
      <c r="EC73" s="20">
        <f>+MOP_Mes_Corriente!EC74*MOP_Mes_Constante!$EC$1</f>
        <v>0</v>
      </c>
      <c r="ED73" s="20">
        <f>+MOP_Mes_Corriente!ED74*MOP_Mes_Constante!$EC$1</f>
        <v>0</v>
      </c>
      <c r="EE73" s="20">
        <f>+MOP_Mes_Corriente!EE74*MOP_Mes_Constante!$EC$1</f>
        <v>582.40276462791121</v>
      </c>
      <c r="EF73" s="20">
        <f>+MOP_Mes_Corriente!EF74*MOP_Mes_Constante!$EC$1</f>
        <v>2614.0884302215482</v>
      </c>
      <c r="EG73" s="20">
        <f>+MOP_Mes_Corriente!EG74*MOP_Mes_Constante!$EC$1</f>
        <v>3537.8640409013433</v>
      </c>
      <c r="EH73" s="20">
        <f>+MOP_Mes_Corriente!EH74*MOP_Mes_Constante!$EC$1</f>
        <v>367333.73376254487</v>
      </c>
      <c r="EI73" s="20">
        <f>+MOP_Mes_Corriente!EI74*MOP_Mes_Constante!$EC$1</f>
        <v>371765.37398220022</v>
      </c>
      <c r="EJ73" s="20">
        <f>+MOP_Mes_Corriente!EJ74*MOP_Mes_Constante!$EC$1</f>
        <v>416785.21113425476</v>
      </c>
      <c r="EK73" s="20">
        <f>+MOP_Mes_Corriente!EK74*MOP_Mes_Constante!$EC$1</f>
        <v>482106.38799469784</v>
      </c>
      <c r="EL73" s="20">
        <f>+MOP_Mes_Corriente!EL74*MOP_Mes_Constante!$EC$1</f>
        <v>482106.38799469784</v>
      </c>
      <c r="EM73" s="20">
        <f>+MOP_Mes_Corriente!EM74*MOP_Mes_Constante!$EC$1</f>
        <v>482106.38799469784</v>
      </c>
      <c r="EN73" s="20">
        <f>+MOP_Mes_Corriente!EN74*MOP_Mes_Constante!$EC$1</f>
        <v>930929.9579625068</v>
      </c>
      <c r="EO73" s="20">
        <f t="shared" si="105"/>
        <v>930929.9579625068</v>
      </c>
      <c r="EP73" s="20">
        <f>+MOP_Mes_Corriente!EP74*MOP_Mes_Constante!$EP$1</f>
        <v>0</v>
      </c>
      <c r="EQ73" s="20">
        <f>+MOP_Mes_Corriente!EQ74*MOP_Mes_Constante!$EP$1</f>
        <v>0</v>
      </c>
      <c r="ER73" s="20">
        <f>+MOP_Mes_Corriente!ER74*MOP_Mes_Constante!$EP$1</f>
        <v>0</v>
      </c>
      <c r="ES73" s="20">
        <f>+MOP_Mes_Corriente!ES74*MOP_Mes_Constante!$EP$1</f>
        <v>2009</v>
      </c>
      <c r="ET73" s="20">
        <f>+MOP_Mes_Corriente!ET74*MOP_Mes_Constante!$EP$1</f>
        <v>37835</v>
      </c>
      <c r="EU73" s="20">
        <f>+MOP_Mes_Corriente!EU74*MOP_Mes_Constante!$EP$1</f>
        <v>73615</v>
      </c>
      <c r="EV73" s="20">
        <f>+MOP_Mes_Corriente!EV74*MOP_Mes_Constante!$EP$1</f>
        <v>253012</v>
      </c>
      <c r="EW73" s="20">
        <f>+MOP_Mes_Corriente!EW74*MOP_Mes_Constante!$EP$1</f>
        <v>572413</v>
      </c>
      <c r="EX73" s="20">
        <f>+MOP_Mes_Corriente!EX74*MOP_Mes_Constante!$EP$1</f>
        <v>586562</v>
      </c>
      <c r="EY73" s="20">
        <f>+MOP_Mes_Corriente!EY74*MOP_Mes_Constante!$EP$1</f>
        <v>603974</v>
      </c>
      <c r="EZ73" s="20">
        <f>+MOP_Mes_Corriente!EZ74*MOP_Mes_Constante!$EP$1</f>
        <v>818043</v>
      </c>
      <c r="FA73" s="20">
        <f>+MOP_Mes_Corriente!FA74*MOP_Mes_Constante!$EP$1</f>
        <v>963962</v>
      </c>
      <c r="FB73" s="20">
        <f t="shared" si="106"/>
        <v>963962</v>
      </c>
      <c r="FC73" s="20">
        <f>+MOP_Mes_Corriente!FC74*MOP_Mes_Constante!$FC$1</f>
        <v>0</v>
      </c>
      <c r="FD73" s="20">
        <f>+MOP_Mes_Corriente!FD74*MOP_Mes_Constante!$FC$1</f>
        <v>0</v>
      </c>
      <c r="FE73" s="20">
        <f>+MOP_Mes_Corriente!FE74*MOP_Mes_Constante!$FC$1</f>
        <v>0</v>
      </c>
      <c r="FF73" s="20">
        <f>+MOP_Mes_Corriente!FF74*MOP_Mes_Constante!$FC$1</f>
        <v>1508</v>
      </c>
      <c r="FG73" s="20">
        <f>+MOP_Mes_Corriente!FG74*MOP_Mes_Constante!$FC$1</f>
        <v>129364</v>
      </c>
      <c r="FH73" s="20">
        <f>+MOP_Mes_Corriente!FH74*MOP_Mes_Constante!$FC$1</f>
        <v>434033</v>
      </c>
      <c r="FI73" s="20">
        <f>+MOP_Mes_Corriente!FI74*MOP_Mes_Constante!$FC$1</f>
        <v>452929</v>
      </c>
      <c r="FJ73" s="10"/>
      <c r="FK73" s="10"/>
      <c r="FL73" s="10"/>
      <c r="FM73" s="10"/>
      <c r="FN73" s="10"/>
      <c r="FO73" s="20">
        <f t="shared" si="107"/>
        <v>452929</v>
      </c>
    </row>
    <row r="74" spans="1:171" ht="27.75" customHeight="1">
      <c r="A74" s="10"/>
      <c r="B74" s="19" t="s">
        <v>45</v>
      </c>
      <c r="C74" s="20">
        <f>+MOP_Mes_Corriente!C75*MOP_Mes_Constante!$C$1</f>
        <v>0</v>
      </c>
      <c r="D74" s="20">
        <f>+MOP_Mes_Corriente!D75*MOP_Mes_Constante!$C$1</f>
        <v>0</v>
      </c>
      <c r="E74" s="20">
        <f>+MOP_Mes_Corriente!E75*MOP_Mes_Constante!$C$1</f>
        <v>0</v>
      </c>
      <c r="F74" s="20">
        <f>+MOP_Mes_Corriente!F75*MOP_Mes_Constante!$C$1</f>
        <v>256.01483019427559</v>
      </c>
      <c r="G74" s="20">
        <f>+MOP_Mes_Corriente!G75*MOP_Mes_Constante!$C$1</f>
        <v>256.01483019427559</v>
      </c>
      <c r="H74" s="20">
        <f>+MOP_Mes_Corriente!H75*MOP_Mes_Constante!$C$1</f>
        <v>4619.609372682783</v>
      </c>
      <c r="I74" s="20">
        <f>+MOP_Mes_Corriente!I75*MOP_Mes_Constante!$C$1</f>
        <v>5008.4926590538344</v>
      </c>
      <c r="J74" s="20">
        <f>+MOP_Mes_Corriente!J75*MOP_Mes_Constante!$C$1</f>
        <v>6820.040634732316</v>
      </c>
      <c r="K74" s="20">
        <f>+MOP_Mes_Corriente!K75*MOP_Mes_Constante!$C$1</f>
        <v>7369.338276731426</v>
      </c>
      <c r="L74" s="20">
        <f>+MOP_Mes_Corriente!L75*MOP_Mes_Constante!$C$1</f>
        <v>31666.441939789416</v>
      </c>
      <c r="M74" s="20">
        <f>+MOP_Mes_Corriente!M75*MOP_Mes_Constante!$C$1</f>
        <v>32591.660091947211</v>
      </c>
      <c r="N74" s="20">
        <f>+MOP_Mes_Corriente!N75*MOP_Mes_Constante!$C$1</f>
        <v>64104.169064214751</v>
      </c>
      <c r="O74" s="20">
        <f t="shared" si="95"/>
        <v>64104.169064214751</v>
      </c>
      <c r="P74" s="20">
        <f>+MOP_Mes_Corriente!P75*MOP_Mes_Constante!$P$1</f>
        <v>0</v>
      </c>
      <c r="Q74" s="20">
        <f>+MOP_Mes_Corriente!Q75*MOP_Mes_Constante!$P$1</f>
        <v>0</v>
      </c>
      <c r="R74" s="20">
        <f>+MOP_Mes_Corriente!R75*MOP_Mes_Constante!$P$1</f>
        <v>0</v>
      </c>
      <c r="S74" s="20">
        <f>+MOP_Mes_Corriente!S75*MOP_Mes_Constante!$P$1</f>
        <v>0</v>
      </c>
      <c r="T74" s="20">
        <f>+MOP_Mes_Corriente!T75*MOP_Mes_Constante!$P$1</f>
        <v>77.610456030686152</v>
      </c>
      <c r="U74" s="20">
        <f>+MOP_Mes_Corriente!U75*MOP_Mes_Constante!$P$1</f>
        <v>339.93379741440532</v>
      </c>
      <c r="V74" s="20">
        <f>+MOP_Mes_Corriente!V75*MOP_Mes_Constante!$P$1</f>
        <v>5823.8886205426888</v>
      </c>
      <c r="W74" s="20">
        <f>+MOP_Mes_Corriente!W75*MOP_Mes_Constante!$P$1</f>
        <v>6261.6115925557588</v>
      </c>
      <c r="X74" s="20">
        <f>+MOP_Mes_Corriente!X75*MOP_Mes_Constante!$P$1</f>
        <v>24788.779656201157</v>
      </c>
      <c r="Y74" s="20">
        <f>+MOP_Mes_Corriente!Y75*MOP_Mes_Constante!$P$1</f>
        <v>75007.401335416929</v>
      </c>
      <c r="Z74" s="20">
        <f>+MOP_Mes_Corriente!Z75*MOP_Mes_Constante!$P$1</f>
        <v>75317.843159539683</v>
      </c>
      <c r="AA74" s="20">
        <f>+MOP_Mes_Corriente!AA75*MOP_Mes_Constante!$P$1</f>
        <v>121581.43599943169</v>
      </c>
      <c r="AB74" s="20">
        <f t="shared" si="96"/>
        <v>121581.43599943169</v>
      </c>
      <c r="AC74" s="20">
        <f>+MOP_Mes_Corriente!AC75*MOP_Mes_Constante!$AC$1</f>
        <v>0</v>
      </c>
      <c r="AD74" s="20">
        <f>+MOP_Mes_Corriente!AD75*MOP_Mes_Constante!$AC$1</f>
        <v>0</v>
      </c>
      <c r="AE74" s="20">
        <f>+MOP_Mes_Corriente!AE75*MOP_Mes_Constante!$AC$1</f>
        <v>27465.385530502143</v>
      </c>
      <c r="AF74" s="20">
        <f>+MOP_Mes_Corriente!AF75*MOP_Mes_Constante!$AC$1</f>
        <v>27465.385530502143</v>
      </c>
      <c r="AG74" s="20">
        <f>+MOP_Mes_Corriente!AG75*MOP_Mes_Constante!$AC$1</f>
        <v>28579.29644487481</v>
      </c>
      <c r="AH74" s="20">
        <f>+MOP_Mes_Corriente!AH75*MOP_Mes_Constante!$AC$1</f>
        <v>50543.14096002213</v>
      </c>
      <c r="AI74" s="20">
        <f>+MOP_Mes_Corriente!AI75*MOP_Mes_Constante!$AC$1</f>
        <v>72506.985475169451</v>
      </c>
      <c r="AJ74" s="20">
        <f>+MOP_Mes_Corriente!AJ75*MOP_Mes_Constante!$AC$1</f>
        <v>72506.985475169451</v>
      </c>
      <c r="AK74" s="20">
        <f>+MOP_Mes_Corriente!AK75*MOP_Mes_Constante!$AC$1</f>
        <v>72506.985475169451</v>
      </c>
      <c r="AL74" s="20">
        <f>+MOP_Mes_Corriente!AL75*MOP_Mes_Constante!$AC$1</f>
        <v>72506.985475169451</v>
      </c>
      <c r="AM74" s="20">
        <f>+MOP_Mes_Corriente!AM75*MOP_Mes_Constante!$AC$1</f>
        <v>72506.985475169451</v>
      </c>
      <c r="AN74" s="20">
        <f>+MOP_Mes_Corriente!AN75*MOP_Mes_Constante!$AC$1</f>
        <v>95005.869968183702</v>
      </c>
      <c r="AO74" s="20">
        <f t="shared" si="97"/>
        <v>95005.869968183702</v>
      </c>
      <c r="AP74" s="20">
        <f>+MOP_Mes_Corriente!AP75*MOP_Mes_Constante!$AP$1</f>
        <v>0</v>
      </c>
      <c r="AQ74" s="20">
        <f>+MOP_Mes_Corriente!AQ75*MOP_Mes_Constante!$AP$1</f>
        <v>0</v>
      </c>
      <c r="AR74" s="20">
        <f>+MOP_Mes_Corriente!AR75*MOP_Mes_Constante!$AP$1</f>
        <v>0</v>
      </c>
      <c r="AS74" s="20">
        <f>+MOP_Mes_Corriente!AS75*MOP_Mes_Constante!$AP$1</f>
        <v>6771.666711754362</v>
      </c>
      <c r="AT74" s="20">
        <f>+MOP_Mes_Corriente!AT75*MOP_Mes_Constante!$AP$1</f>
        <v>6771.666711754362</v>
      </c>
      <c r="AU74" s="20">
        <f>+MOP_Mes_Corriente!AU75*MOP_Mes_Constante!$AP$1</f>
        <v>7256.4128229406188</v>
      </c>
      <c r="AV74" s="20">
        <f>+MOP_Mes_Corriente!AV75*MOP_Mes_Constante!$AP$1</f>
        <v>7256.4128229406188</v>
      </c>
      <c r="AW74" s="20">
        <f>+MOP_Mes_Corriente!AW75*MOP_Mes_Constante!$AP$1</f>
        <v>28490.657108075204</v>
      </c>
      <c r="AX74" s="20">
        <f>+MOP_Mes_Corriente!AX75*MOP_Mes_Constante!$AP$1</f>
        <v>57952.284323008251</v>
      </c>
      <c r="AY74" s="20">
        <f>+MOP_Mes_Corriente!AY75*MOP_Mes_Constante!$AP$1</f>
        <v>59651.851481130798</v>
      </c>
      <c r="AZ74" s="20">
        <f>+MOP_Mes_Corriente!AZ75*MOP_Mes_Constante!$AP$1</f>
        <v>64506.702015419985</v>
      </c>
      <c r="BA74" s="20">
        <f>+MOP_Mes_Corriente!BA75*MOP_Mes_Constante!$AP$1</f>
        <v>72166.577302854043</v>
      </c>
      <c r="BB74" s="20">
        <f t="shared" si="98"/>
        <v>72166.577302854043</v>
      </c>
      <c r="BC74" s="20">
        <f>+MOP_Mes_Corriente!BC75*MOP_Mes_Constante!$BC$1</f>
        <v>0</v>
      </c>
      <c r="BD74" s="20">
        <f>+MOP_Mes_Corriente!BD75*MOP_Mes_Constante!$BC$1</f>
        <v>0</v>
      </c>
      <c r="BE74" s="20">
        <f>+MOP_Mes_Corriente!BE75*MOP_Mes_Constante!$BC$1</f>
        <v>277459.59593828308</v>
      </c>
      <c r="BF74" s="20">
        <f>+MOP_Mes_Corriente!BF75*MOP_Mes_Constante!$BC$1</f>
        <v>487845.97204272728</v>
      </c>
      <c r="BG74" s="20">
        <f>+MOP_Mes_Corriente!BG75*MOP_Mes_Constante!$BC$1</f>
        <v>488112.53013319278</v>
      </c>
      <c r="BH74" s="20">
        <f>+MOP_Mes_Corriente!BH75*MOP_Mes_Constante!$BC$1</f>
        <v>488301.28207833326</v>
      </c>
      <c r="BI74" s="20">
        <f>+MOP_Mes_Corriente!BI75*MOP_Mes_Constante!$BC$1</f>
        <v>488657.17315046827</v>
      </c>
      <c r="BJ74" s="20">
        <f>+MOP_Mes_Corriente!BJ75*MOP_Mes_Constante!$BC$1</f>
        <v>490129.72649347235</v>
      </c>
      <c r="BK74" s="20">
        <f>+MOP_Mes_Corriente!BK75*MOP_Mes_Constante!$BC$1</f>
        <v>507198.08941052365</v>
      </c>
      <c r="BL74" s="20">
        <f>+MOP_Mes_Corriente!BL75*MOP_Mes_Constante!$BC$1</f>
        <v>510653.25860477396</v>
      </c>
      <c r="BM74" s="20">
        <f>+MOP_Mes_Corriente!BM75*MOP_Mes_Constante!$BC$1</f>
        <v>518082.30462877505</v>
      </c>
      <c r="BN74" s="20">
        <f>+MOP_Mes_Corriente!BN75*MOP_Mes_Constante!$BC$1</f>
        <v>535000.8186733484</v>
      </c>
      <c r="BO74" s="20">
        <f t="shared" si="99"/>
        <v>535000.8186733484</v>
      </c>
      <c r="BP74" s="20">
        <f>+MOP_Mes_Corriente!BP75*MOP_Mes_Constante!$BP$1</f>
        <v>0</v>
      </c>
      <c r="BQ74" s="20">
        <f>+MOP_Mes_Corriente!BQ75*MOP_Mes_Constante!$BP$1</f>
        <v>0</v>
      </c>
      <c r="BR74" s="20">
        <f>+MOP_Mes_Corriente!BR75*MOP_Mes_Constante!$BP$1</f>
        <v>8911.4750320102448</v>
      </c>
      <c r="BS74" s="20">
        <f>+MOP_Mes_Corriente!BS75*MOP_Mes_Constante!$BP$1</f>
        <v>40410.811267605641</v>
      </c>
      <c r="BT74" s="20">
        <f>+MOP_Mes_Corriente!BT75*MOP_Mes_Constante!$BP$1</f>
        <v>40410.811267605641</v>
      </c>
      <c r="BU74" s="20">
        <f>+MOP_Mes_Corriente!BU75*MOP_Mes_Constante!$BP$1</f>
        <v>46079.460691421256</v>
      </c>
      <c r="BV74" s="20">
        <f>+MOP_Mes_Corriente!BV75*MOP_Mes_Constante!$BP$1</f>
        <v>46209.565428937261</v>
      </c>
      <c r="BW74" s="20">
        <f>+MOP_Mes_Corriente!BW75*MOP_Mes_Constante!$BP$1</f>
        <v>158452.1815620999</v>
      </c>
      <c r="BX74" s="20">
        <f>+MOP_Mes_Corriente!BX75*MOP_Mes_Constante!$BP$1</f>
        <v>181056.83047375162</v>
      </c>
      <c r="BY74" s="20">
        <f>+MOP_Mes_Corriente!BY75*MOP_Mes_Constante!$BP$1</f>
        <v>188190.20742637647</v>
      </c>
      <c r="BZ74" s="20">
        <f>+MOP_Mes_Corriente!BZ75*MOP_Mes_Constante!$BP$1</f>
        <v>213955.14238156212</v>
      </c>
      <c r="CA74" s="20">
        <f>+MOP_Mes_Corriente!CA75*MOP_Mes_Constante!$BP$1</f>
        <v>247066.09859154932</v>
      </c>
      <c r="CB74" s="20">
        <f t="shared" si="100"/>
        <v>247066.09859154932</v>
      </c>
      <c r="CC74" s="20">
        <f>+MOP_Mes_Corriente!CC75*MOP_Mes_Constante!$CC$1</f>
        <v>0</v>
      </c>
      <c r="CD74" s="20">
        <f>+MOP_Mes_Corriente!CD75*MOP_Mes_Constante!$CC$1</f>
        <v>130.41104065647147</v>
      </c>
      <c r="CE74" s="20">
        <f>+MOP_Mes_Corriente!CE75*MOP_Mes_Constante!$CC$1</f>
        <v>7051.7053338306605</v>
      </c>
      <c r="CF74" s="20">
        <f>+MOP_Mes_Corriente!CF75*MOP_Mes_Constante!$CC$1</f>
        <v>7051.7053338306605</v>
      </c>
      <c r="CG74" s="20">
        <f>+MOP_Mes_Corriente!CG75*MOP_Mes_Constante!$CC$1</f>
        <v>7051.7053338306605</v>
      </c>
      <c r="CH74" s="20">
        <f>+MOP_Mes_Corriente!CH75*MOP_Mes_Constante!$CC$1</f>
        <v>8675.0511003356969</v>
      </c>
      <c r="CI74" s="20">
        <f>+MOP_Mes_Corriente!CI75*MOP_Mes_Constante!$CC$1</f>
        <v>9404.5378590078344</v>
      </c>
      <c r="CJ74" s="20">
        <f>+MOP_Mes_Corriente!CJ75*MOP_Mes_Constante!$CC$1</f>
        <v>30676.48041775457</v>
      </c>
      <c r="CK74" s="20">
        <f>+MOP_Mes_Corriente!CK75*MOP_Mes_Constante!$CC$1</f>
        <v>45589.526296158154</v>
      </c>
      <c r="CL74" s="20">
        <f>+MOP_Mes_Corriente!CL75*MOP_Mes_Constante!$CC$1</f>
        <v>63148.829541215971</v>
      </c>
      <c r="CM74" s="20">
        <f>+MOP_Mes_Corriente!CM75*MOP_Mes_Constante!$CC$1</f>
        <v>66653.62625885864</v>
      </c>
      <c r="CN74" s="20">
        <f>+MOP_Mes_Corriente!CN75*MOP_Mes_Constante!$CC$1</f>
        <v>234863.49198060427</v>
      </c>
      <c r="CO74" s="20">
        <f t="shared" si="101"/>
        <v>234863.49198060427</v>
      </c>
      <c r="CP74" s="20">
        <f>+MOP_Mes_Corriente!CP75*MOP_Mes_Constante!$CP$1</f>
        <v>0</v>
      </c>
      <c r="CQ74" s="20">
        <f>+MOP_Mes_Corriente!CQ75*MOP_Mes_Constante!$CP$1</f>
        <v>0</v>
      </c>
      <c r="CR74" s="20">
        <f>+MOP_Mes_Corriente!CR75*MOP_Mes_Constante!$CP$1</f>
        <v>10351.814617169372</v>
      </c>
      <c r="CS74" s="20">
        <f>+MOP_Mes_Corriente!CS75*MOP_Mes_Constante!$CP$1</f>
        <v>11195.981206496517</v>
      </c>
      <c r="CT74" s="20">
        <f>+MOP_Mes_Corriente!CT75*MOP_Mes_Constante!$CP$1</f>
        <v>11195.981206496517</v>
      </c>
      <c r="CU74" s="20">
        <f>+MOP_Mes_Corriente!CU75*MOP_Mes_Constante!$CP$1</f>
        <v>11195.981206496517</v>
      </c>
      <c r="CV74" s="20">
        <f>+MOP_Mes_Corriente!CV75*MOP_Mes_Constante!$CP$1</f>
        <v>11195.981206496517</v>
      </c>
      <c r="CW74" s="20">
        <f>+MOP_Mes_Corriente!CW75*MOP_Mes_Constante!$CP$1</f>
        <v>15913.680974477955</v>
      </c>
      <c r="CX74" s="20">
        <f>+MOP_Mes_Corriente!CX75*MOP_Mes_Constante!$CP$1</f>
        <v>77474.466125290011</v>
      </c>
      <c r="CY74" s="20">
        <f>+MOP_Mes_Corriente!CY75*MOP_Mes_Constante!$CP$1</f>
        <v>88983.524129930374</v>
      </c>
      <c r="CZ74" s="20">
        <f>+MOP_Mes_Corriente!CZ75*MOP_Mes_Constante!$CP$1</f>
        <v>197275.14083526679</v>
      </c>
      <c r="DA74" s="20">
        <f>+MOP_Mes_Corriente!DA75*MOP_Mes_Constante!$CP$1</f>
        <v>203095.58074245937</v>
      </c>
      <c r="DB74" s="20">
        <f t="shared" si="102"/>
        <v>203095.58074245937</v>
      </c>
      <c r="DC74" s="20">
        <f>+MOP_Mes_Corriente!DC75*MOP_Mes_Constante!$DC$1</f>
        <v>0</v>
      </c>
      <c r="DD74" s="20">
        <f>+MOP_Mes_Corriente!DD75*MOP_Mes_Constante!$DC$1</f>
        <v>0</v>
      </c>
      <c r="DE74" s="20">
        <f>+MOP_Mes_Corriente!DE75*MOP_Mes_Constante!$DC$1</f>
        <v>0</v>
      </c>
      <c r="DF74" s="20">
        <f>+MOP_Mes_Corriente!DF75*MOP_Mes_Constante!$DC$1</f>
        <v>0</v>
      </c>
      <c r="DG74" s="20">
        <f>+MOP_Mes_Corriente!DG75*MOP_Mes_Constante!$DC$1</f>
        <v>0</v>
      </c>
      <c r="DH74" s="20">
        <f>+MOP_Mes_Corriente!DH75*MOP_Mes_Constante!$DC$1</f>
        <v>11697.035490175913</v>
      </c>
      <c r="DI74" s="20">
        <f>+MOP_Mes_Corriente!DI75*MOP_Mes_Constante!$DC$1</f>
        <v>18294.67153585023</v>
      </c>
      <c r="DJ74" s="20">
        <f>+MOP_Mes_Corriente!DJ75*MOP_Mes_Constante!$DC$1</f>
        <v>18294.67153585023</v>
      </c>
      <c r="DK74" s="20">
        <f>+MOP_Mes_Corriente!DK75*MOP_Mes_Constante!$DC$1</f>
        <v>114014.34420327132</v>
      </c>
      <c r="DL74" s="20">
        <f>+MOP_Mes_Corriente!DL75*MOP_Mes_Constante!$DC$1</f>
        <v>261523.77389157505</v>
      </c>
      <c r="DM74" s="20">
        <f>+MOP_Mes_Corriente!DM75*MOP_Mes_Constante!$DC$1</f>
        <v>641971.34245448024</v>
      </c>
      <c r="DN74" s="20">
        <f>+MOP_Mes_Corriente!DN75*MOP_Mes_Constante!$DC$1</f>
        <v>797537.30624421395</v>
      </c>
      <c r="DO74" s="20">
        <f t="shared" si="103"/>
        <v>797537.30624421395</v>
      </c>
      <c r="DP74" s="20">
        <f>+MOP_Mes_Corriente!DP75*MOP_Mes_Constante!$DP$1</f>
        <v>22226.14845605701</v>
      </c>
      <c r="DQ74" s="20">
        <f>+MOP_Mes_Corriente!DQ75*MOP_Mes_Constante!$DP$1</f>
        <v>22226.14845605701</v>
      </c>
      <c r="DR74" s="20">
        <f>+MOP_Mes_Corriente!DR75*MOP_Mes_Constante!$DP$1</f>
        <v>22553.798693586701</v>
      </c>
      <c r="DS74" s="20">
        <f>+MOP_Mes_Corriente!DS75*MOP_Mes_Constante!$DP$1</f>
        <v>44831.852137767222</v>
      </c>
      <c r="DT74" s="20">
        <f>+MOP_Mes_Corriente!DT75*MOP_Mes_Constante!$DP$1</f>
        <v>44931.336698337298</v>
      </c>
      <c r="DU74" s="20">
        <f>+MOP_Mes_Corriente!DU75*MOP_Mes_Constante!$DP$1</f>
        <v>44931.336698337298</v>
      </c>
      <c r="DV74" s="20">
        <f>+MOP_Mes_Corriente!DV75*MOP_Mes_Constante!$DP$1</f>
        <v>176281.2345605701</v>
      </c>
      <c r="DW74" s="20">
        <f>+MOP_Mes_Corriente!DW75*MOP_Mes_Constante!$DP$1</f>
        <v>176281.2345605701</v>
      </c>
      <c r="DX74" s="20">
        <f>+MOP_Mes_Corriente!DX75*MOP_Mes_Constante!$DP$1</f>
        <v>226605.28325415679</v>
      </c>
      <c r="DY74" s="20">
        <f>+MOP_Mes_Corriente!DY75*MOP_Mes_Constante!$DP$1</f>
        <v>226605.28325415679</v>
      </c>
      <c r="DZ74" s="20">
        <f>+MOP_Mes_Corriente!DZ75*MOP_Mes_Constante!$DP$1</f>
        <v>256144.62826603328</v>
      </c>
      <c r="EA74" s="20">
        <f>+MOP_Mes_Corriente!EA75*MOP_Mes_Constante!$DP$1</f>
        <v>396584.38717339671</v>
      </c>
      <c r="EB74" s="20">
        <f t="shared" si="104"/>
        <v>396584.38717339671</v>
      </c>
      <c r="EC74" s="20">
        <f>+MOP_Mes_Corriente!EC75*MOP_Mes_Constante!$EC$1</f>
        <v>10423.250899450859</v>
      </c>
      <c r="ED74" s="20">
        <f>+MOP_Mes_Corriente!ED75*MOP_Mes_Constante!$EC$1</f>
        <v>10622.902291232718</v>
      </c>
      <c r="EE74" s="20">
        <f>+MOP_Mes_Corriente!EE75*MOP_Mes_Constante!$EC$1</f>
        <v>10622.902291232718</v>
      </c>
      <c r="EF74" s="20">
        <f>+MOP_Mes_Corriente!EF75*MOP_Mes_Constante!$EC$1</f>
        <v>10622.902291232718</v>
      </c>
      <c r="EG74" s="20">
        <f>+MOP_Mes_Corriente!EG75*MOP_Mes_Constante!$EC$1</f>
        <v>14434.899072145423</v>
      </c>
      <c r="EH74" s="20">
        <f>+MOP_Mes_Corriente!EH75*MOP_Mes_Constante!$EC$1</f>
        <v>349078.5622041279</v>
      </c>
      <c r="EI74" s="20">
        <f>+MOP_Mes_Corriente!EI75*MOP_Mes_Constante!$EC$1</f>
        <v>349078.5622041279</v>
      </c>
      <c r="EJ74" s="20">
        <f>+MOP_Mes_Corriente!EJ75*MOP_Mes_Constante!$EC$1</f>
        <v>459606.81405036908</v>
      </c>
      <c r="EK74" s="20">
        <f>+MOP_Mes_Corriente!EK75*MOP_Mes_Constante!$EC$1</f>
        <v>477361.30543457664</v>
      </c>
      <c r="EL74" s="20">
        <f>+MOP_Mes_Corriente!EL75*MOP_Mes_Constante!$EC$1</f>
        <v>486458.3745502744</v>
      </c>
      <c r="EM74" s="20">
        <f>+MOP_Mes_Corriente!EM75*MOP_Mes_Constante!$EC$1</f>
        <v>486458.3745502744</v>
      </c>
      <c r="EN74" s="20">
        <f>+MOP_Mes_Corriente!EN75*MOP_Mes_Constante!$EC$1</f>
        <v>634019.37341412588</v>
      </c>
      <c r="EO74" s="20">
        <f t="shared" si="105"/>
        <v>634019.37341412588</v>
      </c>
      <c r="EP74" s="20">
        <f>+MOP_Mes_Corriente!EP75*MOP_Mes_Constante!$EP$1</f>
        <v>0</v>
      </c>
      <c r="EQ74" s="20">
        <f>+MOP_Mes_Corriente!EQ75*MOP_Mes_Constante!$EP$1</f>
        <v>160</v>
      </c>
      <c r="ER74" s="20">
        <f>+MOP_Mes_Corriente!ER75*MOP_Mes_Constante!$EP$1</f>
        <v>160</v>
      </c>
      <c r="ES74" s="20">
        <f>+MOP_Mes_Corriente!ES75*MOP_Mes_Constante!$EP$1</f>
        <v>160</v>
      </c>
      <c r="ET74" s="20">
        <f>+MOP_Mes_Corriente!ET75*MOP_Mes_Constante!$EP$1</f>
        <v>4515</v>
      </c>
      <c r="EU74" s="20">
        <f>+MOP_Mes_Corriente!EU75*MOP_Mes_Constante!$EP$1</f>
        <v>13374</v>
      </c>
      <c r="EV74" s="20">
        <f>+MOP_Mes_Corriente!EV75*MOP_Mes_Constante!$EP$1</f>
        <v>133195</v>
      </c>
      <c r="EW74" s="20">
        <f>+MOP_Mes_Corriente!EW75*MOP_Mes_Constante!$EP$1</f>
        <v>499807</v>
      </c>
      <c r="EX74" s="20">
        <f>+MOP_Mes_Corriente!EX75*MOP_Mes_Constante!$EP$1</f>
        <v>541550</v>
      </c>
      <c r="EY74" s="20">
        <f>+MOP_Mes_Corriente!EY75*MOP_Mes_Constante!$EP$1</f>
        <v>568299</v>
      </c>
      <c r="EZ74" s="20">
        <f>+MOP_Mes_Corriente!EZ75*MOP_Mes_Constante!$EP$1</f>
        <v>873723</v>
      </c>
      <c r="FA74" s="20">
        <f>+MOP_Mes_Corriente!FA75*MOP_Mes_Constante!$EP$1</f>
        <v>1203592</v>
      </c>
      <c r="FB74" s="20">
        <f t="shared" si="106"/>
        <v>1203592</v>
      </c>
      <c r="FC74" s="20">
        <f>+MOP_Mes_Corriente!FC75*MOP_Mes_Constante!$FC$1</f>
        <v>0</v>
      </c>
      <c r="FD74" s="20">
        <f>+MOP_Mes_Corriente!FD75*MOP_Mes_Constante!$FC$1</f>
        <v>0</v>
      </c>
      <c r="FE74" s="20">
        <f>+MOP_Mes_Corriente!FE75*MOP_Mes_Constante!$FC$1</f>
        <v>0</v>
      </c>
      <c r="FF74" s="20">
        <f>+MOP_Mes_Corriente!FF75*MOP_Mes_Constante!$FC$1</f>
        <v>13239</v>
      </c>
      <c r="FG74" s="20">
        <f>+MOP_Mes_Corriente!FG75*MOP_Mes_Constante!$FC$1</f>
        <v>126731</v>
      </c>
      <c r="FH74" s="20">
        <f>+MOP_Mes_Corriente!FH75*MOP_Mes_Constante!$FC$1</f>
        <v>371354</v>
      </c>
      <c r="FI74" s="20">
        <f>+MOP_Mes_Corriente!FI75*MOP_Mes_Constante!$FC$1</f>
        <v>409008</v>
      </c>
      <c r="FJ74" s="10"/>
      <c r="FK74" s="10"/>
      <c r="FL74" s="10"/>
      <c r="FM74" s="10"/>
      <c r="FN74" s="10"/>
      <c r="FO74" s="20">
        <f t="shared" si="107"/>
        <v>409008</v>
      </c>
    </row>
    <row r="75" spans="1:171" ht="27.75" customHeight="1">
      <c r="A75" s="10"/>
      <c r="B75" s="19" t="s">
        <v>46</v>
      </c>
      <c r="C75" s="20">
        <f>+MOP_Mes_Corriente!C76*MOP_Mes_Constante!$C$1</f>
        <v>45.369716743289345</v>
      </c>
      <c r="D75" s="20">
        <f>+MOP_Mes_Corriente!D76*MOP_Mes_Constante!$C$1</f>
        <v>2678.4336348806173</v>
      </c>
      <c r="E75" s="20">
        <f>+MOP_Mes_Corriente!E76*MOP_Mes_Constante!$C$1</f>
        <v>4355.4928073557767</v>
      </c>
      <c r="F75" s="20">
        <f>+MOP_Mes_Corriente!F76*MOP_Mes_Constante!$C$1</f>
        <v>7542.7154085718539</v>
      </c>
      <c r="G75" s="20">
        <f>+MOP_Mes_Corriente!G76*MOP_Mes_Constante!$C$1</f>
        <v>19484.672994216227</v>
      </c>
      <c r="H75" s="20">
        <f>+MOP_Mes_Corriente!H76*MOP_Mes_Constante!$C$1</f>
        <v>101799.92228978201</v>
      </c>
      <c r="I75" s="20">
        <f>+MOP_Mes_Corriente!I76*MOP_Mes_Constante!$C$1</f>
        <v>103337.63161797421</v>
      </c>
      <c r="J75" s="20">
        <f>+MOP_Mes_Corriente!J76*MOP_Mes_Constante!$C$1</f>
        <v>154710.73409461667</v>
      </c>
      <c r="K75" s="20">
        <f>+MOP_Mes_Corriente!K76*MOP_Mes_Constante!$C$1</f>
        <v>204202.61367343916</v>
      </c>
      <c r="L75" s="20">
        <f>+MOP_Mes_Corriente!L76*MOP_Mes_Constante!$C$1</f>
        <v>205850.50659943648</v>
      </c>
      <c r="M75" s="20">
        <f>+MOP_Mes_Corriente!M76*MOP_Mes_Constante!$C$1</f>
        <v>224510.42295714078</v>
      </c>
      <c r="N75" s="20">
        <f>+MOP_Mes_Corriente!N76*MOP_Mes_Constante!$C$1</f>
        <v>266673.47293489549</v>
      </c>
      <c r="O75" s="20">
        <f t="shared" si="95"/>
        <v>266673.47293489549</v>
      </c>
      <c r="P75" s="20">
        <f>+MOP_Mes_Corriente!P76*MOP_Mes_Constante!$P$1</f>
        <v>0</v>
      </c>
      <c r="Q75" s="20">
        <f>+MOP_Mes_Corriente!Q76*MOP_Mes_Constante!$P$1</f>
        <v>0</v>
      </c>
      <c r="R75" s="20">
        <f>+MOP_Mes_Corriente!R76*MOP_Mes_Constante!$P$1</f>
        <v>13485.592839892026</v>
      </c>
      <c r="S75" s="20">
        <f>+MOP_Mes_Corriente!S76*MOP_Mes_Constante!$P$1</f>
        <v>118889.9053842875</v>
      </c>
      <c r="T75" s="20">
        <f>+MOP_Mes_Corriente!T76*MOP_Mes_Constante!$P$1</f>
        <v>229149.52805796269</v>
      </c>
      <c r="U75" s="20">
        <f>+MOP_Mes_Corriente!U76*MOP_Mes_Constante!$P$1</f>
        <v>230309.02827106114</v>
      </c>
      <c r="V75" s="20">
        <f>+MOP_Mes_Corriente!V76*MOP_Mes_Constante!$P$1</f>
        <v>230309.02827106114</v>
      </c>
      <c r="W75" s="20">
        <f>+MOP_Mes_Corriente!W76*MOP_Mes_Constante!$P$1</f>
        <v>280687.52748970012</v>
      </c>
      <c r="X75" s="20">
        <f>+MOP_Mes_Corriente!X76*MOP_Mes_Constante!$P$1</f>
        <v>464208.3162381018</v>
      </c>
      <c r="Y75" s="20">
        <f>+MOP_Mes_Corriente!Y76*MOP_Mes_Constante!$P$1</f>
        <v>1290245.8917459862</v>
      </c>
      <c r="Z75" s="20">
        <f>+MOP_Mes_Corriente!Z76*MOP_Mes_Constante!$P$1</f>
        <v>1306464.924847279</v>
      </c>
      <c r="AA75" s="20">
        <f>+MOP_Mes_Corriente!AA76*MOP_Mes_Constante!$P$1</f>
        <v>2929122.6086091762</v>
      </c>
      <c r="AB75" s="20">
        <f t="shared" si="96"/>
        <v>2929122.6086091762</v>
      </c>
      <c r="AC75" s="20">
        <f>+MOP_Mes_Corriente!AC76*MOP_Mes_Constante!$AC$1</f>
        <v>0</v>
      </c>
      <c r="AD75" s="20">
        <f>+MOP_Mes_Corriente!AD76*MOP_Mes_Constante!$AC$1</f>
        <v>0</v>
      </c>
      <c r="AE75" s="20">
        <f>+MOP_Mes_Corriente!AE76*MOP_Mes_Constante!$AC$1</f>
        <v>5630.0110665375569</v>
      </c>
      <c r="AF75" s="20">
        <f>+MOP_Mes_Corriente!AF76*MOP_Mes_Constante!$AC$1</f>
        <v>32929.141236685573</v>
      </c>
      <c r="AG75" s="20">
        <f>+MOP_Mes_Corriente!AG76*MOP_Mes_Constante!$AC$1</f>
        <v>907645.44584313186</v>
      </c>
      <c r="AH75" s="20">
        <f>+MOP_Mes_Corriente!AH76*MOP_Mes_Constante!$AC$1</f>
        <v>907811.70120348595</v>
      </c>
      <c r="AI75" s="20">
        <f>+MOP_Mes_Corriente!AI76*MOP_Mes_Constante!$AC$1</f>
        <v>2535098.0085765664</v>
      </c>
      <c r="AJ75" s="20">
        <f>+MOP_Mes_Corriente!AJ76*MOP_Mes_Constante!$AC$1</f>
        <v>4181828.6360492459</v>
      </c>
      <c r="AK75" s="20">
        <f>+MOP_Mes_Corriente!AK76*MOP_Mes_Constante!$AC$1</f>
        <v>4989081.5382487206</v>
      </c>
      <c r="AL75" s="20">
        <f>+MOP_Mes_Corriente!AL76*MOP_Mes_Constante!$AC$1</f>
        <v>6196950.9138193391</v>
      </c>
      <c r="AM75" s="20">
        <f>+MOP_Mes_Corriente!AM76*MOP_Mes_Constante!$AC$1</f>
        <v>6474264.8548900262</v>
      </c>
      <c r="AN75" s="20">
        <f>+MOP_Mes_Corriente!AN76*MOP_Mes_Constante!$AC$1</f>
        <v>6769077.9283441696</v>
      </c>
      <c r="AO75" s="20">
        <f t="shared" si="97"/>
        <v>6769077.9283441696</v>
      </c>
      <c r="AP75" s="20">
        <f>+MOP_Mes_Corriente!AP76*MOP_Mes_Constante!$AP$1</f>
        <v>62.071148383606108</v>
      </c>
      <c r="AQ75" s="20">
        <f>+MOP_Mes_Corriente!AQ76*MOP_Mes_Constante!$AP$1</f>
        <v>1181026.2624103881</v>
      </c>
      <c r="AR75" s="20">
        <f>+MOP_Mes_Corriente!AR76*MOP_Mes_Constante!$AP$1</f>
        <v>1181655.8412011361</v>
      </c>
      <c r="AS75" s="20">
        <f>+MOP_Mes_Corriente!AS76*MOP_Mes_Constante!$AP$1</f>
        <v>1205667.0304341945</v>
      </c>
      <c r="AT75" s="20">
        <f>+MOP_Mes_Corriente!AT76*MOP_Mes_Constante!$AP$1</f>
        <v>1371862.5302312998</v>
      </c>
      <c r="AU75" s="20">
        <f>+MOP_Mes_Corriente!AU76*MOP_Mes_Constante!$AP$1</f>
        <v>1378620.8959826862</v>
      </c>
      <c r="AV75" s="20">
        <f>+MOP_Mes_Corriente!AV76*MOP_Mes_Constante!$AP$1</f>
        <v>1403215.8495874475</v>
      </c>
      <c r="AW75" s="20">
        <f>+MOP_Mes_Corriente!AW76*MOP_Mes_Constante!$AP$1</f>
        <v>2292039.2252130392</v>
      </c>
      <c r="AX75" s="20">
        <f>+MOP_Mes_Corriente!AX76*MOP_Mes_Constante!$AP$1</f>
        <v>3476764.632490193</v>
      </c>
      <c r="AY75" s="20">
        <f>+MOP_Mes_Corriente!AY76*MOP_Mes_Constante!$AP$1</f>
        <v>3477411.9458947652</v>
      </c>
      <c r="AZ75" s="20">
        <f>+MOP_Mes_Corriente!AZ76*MOP_Mes_Constante!$AP$1</f>
        <v>5051710.6592722842</v>
      </c>
      <c r="BA75" s="20">
        <f>+MOP_Mes_Corriente!BA76*MOP_Mes_Constante!$AP$1</f>
        <v>5493188.7463817121</v>
      </c>
      <c r="BB75" s="20">
        <f t="shared" si="98"/>
        <v>5493188.7463817121</v>
      </c>
      <c r="BC75" s="20">
        <f>+MOP_Mes_Corriente!BC76*MOP_Mes_Constante!$BC$1</f>
        <v>0</v>
      </c>
      <c r="BD75" s="20">
        <f>+MOP_Mes_Corriente!BD76*MOP_Mes_Constante!$BC$1</f>
        <v>2825.5157589344594</v>
      </c>
      <c r="BE75" s="20">
        <f>+MOP_Mes_Corriente!BE76*MOP_Mes_Constante!$BC$1</f>
        <v>4677.0138467624965</v>
      </c>
      <c r="BF75" s="20">
        <f>+MOP_Mes_Corriente!BF76*MOP_Mes_Constante!$BC$1</f>
        <v>4677.0138467624965</v>
      </c>
      <c r="BG75" s="20">
        <f>+MOP_Mes_Corriente!BG76*MOP_Mes_Constante!$BC$1</f>
        <v>8204.2257681656356</v>
      </c>
      <c r="BH75" s="20">
        <f>+MOP_Mes_Corriente!BH76*MOP_Mes_Constante!$BC$1</f>
        <v>41104.698404325478</v>
      </c>
      <c r="BI75" s="20">
        <f>+MOP_Mes_Corriente!BI76*MOP_Mes_Constante!$BC$1</f>
        <v>59889.119082157471</v>
      </c>
      <c r="BJ75" s="20">
        <f>+MOP_Mes_Corriente!BJ76*MOP_Mes_Constante!$BC$1</f>
        <v>59971.247791111709</v>
      </c>
      <c r="BK75" s="20">
        <f>+MOP_Mes_Corriente!BK76*MOP_Mes_Constante!$BC$1</f>
        <v>59971.247791111709</v>
      </c>
      <c r="BL75" s="20">
        <f>+MOP_Mes_Corriente!BL76*MOP_Mes_Constante!$BC$1</f>
        <v>61621.026242911794</v>
      </c>
      <c r="BM75" s="20">
        <f>+MOP_Mes_Corriente!BM76*MOP_Mes_Constante!$BC$1</f>
        <v>120773.86865356722</v>
      </c>
      <c r="BN75" s="20">
        <f>+MOP_Mes_Corriente!BN76*MOP_Mes_Constante!$BC$1</f>
        <v>476127.50204404601</v>
      </c>
      <c r="BO75" s="20">
        <f t="shared" si="99"/>
        <v>476127.50204404601</v>
      </c>
      <c r="BP75" s="20">
        <f>+MOP_Mes_Corriente!BP76*MOP_Mes_Constante!$BP$1</f>
        <v>40.570294494238162</v>
      </c>
      <c r="BQ75" s="20">
        <f>+MOP_Mes_Corriente!BQ76*MOP_Mes_Constante!$BP$1</f>
        <v>40.570294494238162</v>
      </c>
      <c r="BR75" s="20">
        <f>+MOP_Mes_Corriente!BR76*MOP_Mes_Constante!$BP$1</f>
        <v>40.570294494238162</v>
      </c>
      <c r="BS75" s="20">
        <f>+MOP_Mes_Corriente!BS76*MOP_Mes_Constante!$BP$1</f>
        <v>162.28117797695265</v>
      </c>
      <c r="BT75" s="20">
        <f>+MOP_Mes_Corriente!BT76*MOP_Mes_Constante!$BP$1</f>
        <v>290.98693982074269</v>
      </c>
      <c r="BU75" s="20">
        <f>+MOP_Mes_Corriente!BU76*MOP_Mes_Constante!$BP$1</f>
        <v>558.19129321382843</v>
      </c>
      <c r="BV75" s="20">
        <f>+MOP_Mes_Corriente!BV76*MOP_Mes_Constante!$BP$1</f>
        <v>558.19129321382843</v>
      </c>
      <c r="BW75" s="20">
        <f>+MOP_Mes_Corriente!BW76*MOP_Mes_Constante!$BP$1</f>
        <v>558.19129321382843</v>
      </c>
      <c r="BX75" s="20">
        <f>+MOP_Mes_Corriente!BX76*MOP_Mes_Constante!$BP$1</f>
        <v>2684.634314980794</v>
      </c>
      <c r="BY75" s="20">
        <f>+MOP_Mes_Corriente!BY76*MOP_Mes_Constante!$BP$1</f>
        <v>4420.7631241997442</v>
      </c>
      <c r="BZ75" s="20">
        <f>+MOP_Mes_Corriente!BZ76*MOP_Mes_Constante!$BP$1</f>
        <v>419368.1393085788</v>
      </c>
      <c r="CA75" s="20">
        <f>+MOP_Mes_Corriente!CA76*MOP_Mes_Constante!$BP$1</f>
        <v>1208575.0832266326</v>
      </c>
      <c r="CB75" s="20">
        <f t="shared" si="100"/>
        <v>1208575.0832266326</v>
      </c>
      <c r="CC75" s="20">
        <f>+MOP_Mes_Corriente!CC76*MOP_Mes_Constante!$CC$1</f>
        <v>0</v>
      </c>
      <c r="CD75" s="20">
        <f>+MOP_Mes_Corriente!CD76*MOP_Mes_Constante!$CC$1</f>
        <v>239143.9627004849</v>
      </c>
      <c r="CE75" s="20">
        <f>+MOP_Mes_Corriente!CE76*MOP_Mes_Constante!$CC$1</f>
        <v>240063.63222678108</v>
      </c>
      <c r="CF75" s="20">
        <f>+MOP_Mes_Corriente!CF76*MOP_Mes_Constante!$CC$1</f>
        <v>240165.51585229393</v>
      </c>
      <c r="CG75" s="20">
        <f>+MOP_Mes_Corriente!CG76*MOP_Mes_Constante!$CC$1</f>
        <v>600074.17754569196</v>
      </c>
      <c r="CH75" s="20">
        <f>+MOP_Mes_Corriente!CH76*MOP_Mes_Constante!$CC$1</f>
        <v>600603.97239835886</v>
      </c>
      <c r="CI75" s="20">
        <f>+MOP_Mes_Corriente!CI76*MOP_Mes_Constante!$CC$1</f>
        <v>602686.47370384191</v>
      </c>
      <c r="CJ75" s="20">
        <f>+MOP_Mes_Corriente!CJ76*MOP_Mes_Constante!$CC$1</f>
        <v>998810.00969787408</v>
      </c>
      <c r="CK75" s="20">
        <f>+MOP_Mes_Corriente!CK76*MOP_Mes_Constante!$CC$1</f>
        <v>998810.00969787408</v>
      </c>
      <c r="CL75" s="20">
        <f>+MOP_Mes_Corriente!CL76*MOP_Mes_Constante!$CC$1</f>
        <v>1418552.8869824694</v>
      </c>
      <c r="CM75" s="20">
        <f>+MOP_Mes_Corriente!CM76*MOP_Mes_Constante!$CC$1</f>
        <v>2015800.1335322643</v>
      </c>
      <c r="CN75" s="20">
        <f>+MOP_Mes_Corriente!CN76*MOP_Mes_Constante!$CC$1</f>
        <v>2646249.2159641925</v>
      </c>
      <c r="CO75" s="20">
        <f t="shared" si="101"/>
        <v>2646249.2159641925</v>
      </c>
      <c r="CP75" s="20">
        <f>+MOP_Mes_Corriente!CP76*MOP_Mes_Constante!$CP$1</f>
        <v>0</v>
      </c>
      <c r="CQ75" s="20">
        <f>+MOP_Mes_Corriente!CQ76*MOP_Mes_Constante!$CP$1</f>
        <v>25.350348027842223</v>
      </c>
      <c r="CR75" s="20">
        <f>+MOP_Mes_Corriente!CR76*MOP_Mes_Constante!$CP$1</f>
        <v>25.350348027842223</v>
      </c>
      <c r="CS75" s="20">
        <f>+MOP_Mes_Corriente!CS76*MOP_Mes_Constante!$CP$1</f>
        <v>50.700696055684446</v>
      </c>
      <c r="CT75" s="20">
        <f>+MOP_Mes_Corriente!CT76*MOP_Mes_Constante!$CP$1</f>
        <v>50.700696055684446</v>
      </c>
      <c r="CU75" s="20">
        <f>+MOP_Mes_Corriente!CU76*MOP_Mes_Constante!$CP$1</f>
        <v>334400.24338747095</v>
      </c>
      <c r="CV75" s="20">
        <f>+MOP_Mes_Corriente!CV76*MOP_Mes_Constante!$CP$1</f>
        <v>557299.51600928057</v>
      </c>
      <c r="CW75" s="20">
        <f>+MOP_Mes_Corriente!CW76*MOP_Mes_Constante!$CP$1</f>
        <v>557299.51600928057</v>
      </c>
      <c r="CX75" s="20">
        <f>+MOP_Mes_Corriente!CX76*MOP_Mes_Constante!$CP$1</f>
        <v>563861.45359628764</v>
      </c>
      <c r="CY75" s="20">
        <f>+MOP_Mes_Corriente!CY76*MOP_Mes_Constante!$CP$1</f>
        <v>563861.45359628764</v>
      </c>
      <c r="CZ75" s="20">
        <f>+MOP_Mes_Corriente!CZ76*MOP_Mes_Constante!$CP$1</f>
        <v>581689.08584686765</v>
      </c>
      <c r="DA75" s="20">
        <f>+MOP_Mes_Corriente!DA76*MOP_Mes_Constante!$CP$1</f>
        <v>615908.25313225051</v>
      </c>
      <c r="DB75" s="20">
        <f t="shared" si="102"/>
        <v>615908.25313225051</v>
      </c>
      <c r="DC75" s="20">
        <f>+MOP_Mes_Corriente!DC76*MOP_Mes_Constante!$DC$1</f>
        <v>0</v>
      </c>
      <c r="DD75" s="20">
        <f>+MOP_Mes_Corriente!DD76*MOP_Mes_Constante!$DC$1</f>
        <v>0</v>
      </c>
      <c r="DE75" s="20">
        <f>+MOP_Mes_Corriente!DE76*MOP_Mes_Constante!$DC$1</f>
        <v>0</v>
      </c>
      <c r="DF75" s="20">
        <f>+MOP_Mes_Corriente!DF76*MOP_Mes_Constante!$DC$1</f>
        <v>24.727085690772565</v>
      </c>
      <c r="DG75" s="20">
        <f>+MOP_Mes_Corriente!DG76*MOP_Mes_Constante!$DC$1</f>
        <v>24.727085690772565</v>
      </c>
      <c r="DH75" s="20">
        <f>+MOP_Mes_Corriente!DH76*MOP_Mes_Constante!$DC$1</f>
        <v>24.727085690772565</v>
      </c>
      <c r="DI75" s="20">
        <f>+MOP_Mes_Corriente!DI76*MOP_Mes_Constante!$DC$1</f>
        <v>24.727085690772565</v>
      </c>
      <c r="DJ75" s="20">
        <f>+MOP_Mes_Corriente!DJ76*MOP_Mes_Constante!$DC$1</f>
        <v>24.727085690772565</v>
      </c>
      <c r="DK75" s="20">
        <f>+MOP_Mes_Corriente!DK76*MOP_Mes_Constante!$DC$1</f>
        <v>23817.803312416429</v>
      </c>
      <c r="DL75" s="20">
        <f>+MOP_Mes_Corriente!DL76*MOP_Mes_Constante!$DC$1</f>
        <v>92934.503651887717</v>
      </c>
      <c r="DM75" s="20">
        <f>+MOP_Mes_Corriente!DM76*MOP_Mes_Constante!$DC$1</f>
        <v>502672.42917395354</v>
      </c>
      <c r="DN75" s="20">
        <f>+MOP_Mes_Corriente!DN76*MOP_Mes_Constante!$DC$1</f>
        <v>972275.7531118202</v>
      </c>
      <c r="DO75" s="20">
        <f t="shared" si="103"/>
        <v>972275.7531118202</v>
      </c>
      <c r="DP75" s="20">
        <f>+MOP_Mes_Corriente!DP76*MOP_Mes_Constante!$DP$1</f>
        <v>0</v>
      </c>
      <c r="DQ75" s="20">
        <f>+MOP_Mes_Corriente!DQ76*MOP_Mes_Constante!$DP$1</f>
        <v>6876.3295724465561</v>
      </c>
      <c r="DR75" s="20">
        <f>+MOP_Mes_Corriente!DR76*MOP_Mes_Constante!$DP$1</f>
        <v>8314.5302850356311</v>
      </c>
      <c r="DS75" s="20">
        <f>+MOP_Mes_Corriente!DS76*MOP_Mes_Constante!$DP$1</f>
        <v>53168.009501187655</v>
      </c>
      <c r="DT75" s="20">
        <f>+MOP_Mes_Corriente!DT76*MOP_Mes_Constante!$DP$1</f>
        <v>97794.404394299301</v>
      </c>
      <c r="DU75" s="20">
        <f>+MOP_Mes_Corriente!DU76*MOP_Mes_Constante!$DP$1</f>
        <v>163381.76365795726</v>
      </c>
      <c r="DV75" s="20">
        <f>+MOP_Mes_Corriente!DV76*MOP_Mes_Constante!$DP$1</f>
        <v>163381.76365795726</v>
      </c>
      <c r="DW75" s="20">
        <f>+MOP_Mes_Corriente!DW76*MOP_Mes_Constante!$DP$1</f>
        <v>165054.6181710214</v>
      </c>
      <c r="DX75" s="20">
        <f>+MOP_Mes_Corriente!DX76*MOP_Mes_Constante!$DP$1</f>
        <v>397000.70843230409</v>
      </c>
      <c r="DY75" s="20">
        <f>+MOP_Mes_Corriente!DY76*MOP_Mes_Constante!$DP$1</f>
        <v>397321.8705463183</v>
      </c>
      <c r="DZ75" s="20">
        <f>+MOP_Mes_Corriente!DZ76*MOP_Mes_Constante!$DP$1</f>
        <v>442448.93230403803</v>
      </c>
      <c r="EA75" s="20">
        <f>+MOP_Mes_Corriente!EA76*MOP_Mes_Constante!$DP$1</f>
        <v>671102.29988123523</v>
      </c>
      <c r="EB75" s="20">
        <f t="shared" si="104"/>
        <v>671102.29988123523</v>
      </c>
      <c r="EC75" s="20">
        <f>+MOP_Mes_Corriente!EC76*MOP_Mes_Constante!$EC$1</f>
        <v>0</v>
      </c>
      <c r="ED75" s="20">
        <f>+MOP_Mes_Corriente!ED76*MOP_Mes_Constante!$EC$1</f>
        <v>0</v>
      </c>
      <c r="EE75" s="20">
        <f>+MOP_Mes_Corriente!EE76*MOP_Mes_Constante!$EC$1</f>
        <v>0</v>
      </c>
      <c r="EF75" s="20">
        <f>+MOP_Mes_Corriente!EF76*MOP_Mes_Constante!$EC$1</f>
        <v>1956.1698541942808</v>
      </c>
      <c r="EG75" s="20">
        <f>+MOP_Mes_Corriente!EG76*MOP_Mes_Constante!$EC$1</f>
        <v>26139.849839045626</v>
      </c>
      <c r="EH75" s="20">
        <f>+MOP_Mes_Corriente!EH76*MOP_Mes_Constante!$EC$1</f>
        <v>70661.075743230424</v>
      </c>
      <c r="EI75" s="20">
        <f>+MOP_Mes_Corriente!EI76*MOP_Mes_Constante!$EC$1</f>
        <v>95552.328536262037</v>
      </c>
      <c r="EJ75" s="20">
        <f>+MOP_Mes_Corriente!EJ76*MOP_Mes_Constante!$EC$1</f>
        <v>264467.75061541365</v>
      </c>
      <c r="EK75" s="20">
        <f>+MOP_Mes_Corriente!EK76*MOP_Mes_Constante!$EC$1</f>
        <v>307679.34614656307</v>
      </c>
      <c r="EL75" s="20">
        <f>+MOP_Mes_Corriente!EL76*MOP_Mes_Constante!$EC$1</f>
        <v>672626.57337625429</v>
      </c>
      <c r="EM75" s="20">
        <f>+MOP_Mes_Corriente!EM76*MOP_Mes_Constante!$EC$1</f>
        <v>747005.50975194073</v>
      </c>
      <c r="EN75" s="20">
        <f>+MOP_Mes_Corriente!EN76*MOP_Mes_Constante!$EC$1</f>
        <v>1560473.2092406736</v>
      </c>
      <c r="EO75" s="20">
        <f t="shared" si="105"/>
        <v>1560473.2092406736</v>
      </c>
      <c r="EP75" s="20">
        <f>+MOP_Mes_Corriente!EP76*MOP_Mes_Constante!$EP$1</f>
        <v>0</v>
      </c>
      <c r="EQ75" s="20">
        <f>+MOP_Mes_Corriente!EQ76*MOP_Mes_Constante!$EP$1</f>
        <v>0</v>
      </c>
      <c r="ER75" s="20">
        <f>+MOP_Mes_Corriente!ER76*MOP_Mes_Constante!$EP$1</f>
        <v>0</v>
      </c>
      <c r="ES75" s="20">
        <f>+MOP_Mes_Corriente!ES76*MOP_Mes_Constante!$EP$1</f>
        <v>5944</v>
      </c>
      <c r="ET75" s="20">
        <f>+MOP_Mes_Corriente!ET76*MOP_Mes_Constante!$EP$1</f>
        <v>41309</v>
      </c>
      <c r="EU75" s="20">
        <f>+MOP_Mes_Corriente!EU76*MOP_Mes_Constante!$EP$1</f>
        <v>91749</v>
      </c>
      <c r="EV75" s="20">
        <f>+MOP_Mes_Corriente!EV76*MOP_Mes_Constante!$EP$1</f>
        <v>93532</v>
      </c>
      <c r="EW75" s="20">
        <f>+MOP_Mes_Corriente!EW76*MOP_Mes_Constante!$EP$1</f>
        <v>93532</v>
      </c>
      <c r="EX75" s="20">
        <f>+MOP_Mes_Corriente!EX76*MOP_Mes_Constante!$EP$1</f>
        <v>96960</v>
      </c>
      <c r="EY75" s="20">
        <f>+MOP_Mes_Corriente!EY76*MOP_Mes_Constante!$EP$1</f>
        <v>112867</v>
      </c>
      <c r="EZ75" s="20">
        <f>+MOP_Mes_Corriente!EZ76*MOP_Mes_Constante!$EP$1</f>
        <v>143043</v>
      </c>
      <c r="FA75" s="20">
        <f>+MOP_Mes_Corriente!FA76*MOP_Mes_Constante!$EP$1</f>
        <v>248096</v>
      </c>
      <c r="FB75" s="20">
        <f t="shared" si="106"/>
        <v>248096</v>
      </c>
      <c r="FC75" s="20">
        <f>+MOP_Mes_Corriente!FC76*MOP_Mes_Constante!$FC$1</f>
        <v>70510</v>
      </c>
      <c r="FD75" s="20">
        <f>+MOP_Mes_Corriente!FD76*MOP_Mes_Constante!$FC$1</f>
        <v>70510</v>
      </c>
      <c r="FE75" s="20">
        <f>+MOP_Mes_Corriente!FE76*MOP_Mes_Constante!$FC$1</f>
        <v>77071</v>
      </c>
      <c r="FF75" s="20">
        <f>+MOP_Mes_Corriente!FF76*MOP_Mes_Constante!$FC$1</f>
        <v>91088</v>
      </c>
      <c r="FG75" s="20">
        <f>+MOP_Mes_Corriente!FG76*MOP_Mes_Constante!$FC$1</f>
        <v>155966</v>
      </c>
      <c r="FH75" s="20">
        <f>+MOP_Mes_Corriente!FH76*MOP_Mes_Constante!$FC$1</f>
        <v>155966</v>
      </c>
      <c r="FI75" s="20">
        <f>+MOP_Mes_Corriente!FI76*MOP_Mes_Constante!$FC$1</f>
        <v>161164</v>
      </c>
      <c r="FJ75" s="10"/>
      <c r="FK75" s="10"/>
      <c r="FL75" s="10"/>
      <c r="FM75" s="10"/>
      <c r="FN75" s="10"/>
      <c r="FO75" s="20">
        <f t="shared" si="107"/>
        <v>161164</v>
      </c>
    </row>
    <row r="76" spans="1:171" ht="27.75" customHeight="1">
      <c r="A76" s="10"/>
      <c r="B76" s="19" t="s">
        <v>47</v>
      </c>
      <c r="C76" s="20">
        <f>+MOP_Mes_Corriente!C77*MOP_Mes_Constante!$C$1</f>
        <v>273.83864748628213</v>
      </c>
      <c r="D76" s="20">
        <f>+MOP_Mes_Corriente!D77*MOP_Mes_Constante!$C$1</f>
        <v>704.85095654753093</v>
      </c>
      <c r="E76" s="20">
        <f>+MOP_Mes_Corriente!E77*MOP_Mes_Constante!$C$1</f>
        <v>64133.335310692579</v>
      </c>
      <c r="F76" s="20">
        <f>+MOP_Mes_Corriente!F77*MOP_Mes_Constante!$C$1</f>
        <v>88317.014681892353</v>
      </c>
      <c r="G76" s="20">
        <f>+MOP_Mes_Corriente!G77*MOP_Mes_Constante!$C$1</f>
        <v>91040.818033516247</v>
      </c>
      <c r="H76" s="20">
        <f>+MOP_Mes_Corriente!H77*MOP_Mes_Constante!$C$1</f>
        <v>93669.020910573949</v>
      </c>
      <c r="I76" s="20">
        <f>+MOP_Mes_Corriente!I77*MOP_Mes_Constante!$C$1</f>
        <v>112831.24484650751</v>
      </c>
      <c r="J76" s="20">
        <f>+MOP_Mes_Corriente!J77*MOP_Mes_Constante!$C$1</f>
        <v>186004.49621830048</v>
      </c>
      <c r="K76" s="20">
        <f>+MOP_Mes_Corriente!K77*MOP_Mes_Constante!$C$1</f>
        <v>208503.01468189235</v>
      </c>
      <c r="L76" s="20">
        <f>+MOP_Mes_Corriente!L77*MOP_Mes_Constante!$C$1</f>
        <v>209577.30476049241</v>
      </c>
      <c r="M76" s="20">
        <f>+MOP_Mes_Corriente!M77*MOP_Mes_Constante!$C$1</f>
        <v>333490.1029215483</v>
      </c>
      <c r="N76" s="20">
        <f>+MOP_Mes_Corriente!N77*MOP_Mes_Constante!$C$1</f>
        <v>373781.65208364237</v>
      </c>
      <c r="O76" s="20">
        <f t="shared" si="95"/>
        <v>373781.65208364237</v>
      </c>
      <c r="P76" s="20">
        <f>+MOP_Mes_Corriente!P77*MOP_Mes_Constante!$P$1</f>
        <v>152.11649382014485</v>
      </c>
      <c r="Q76" s="20">
        <f>+MOP_Mes_Corriente!Q77*MOP_Mes_Constante!$P$1</f>
        <v>1407.8536723966467</v>
      </c>
      <c r="R76" s="20">
        <f>+MOP_Mes_Corriente!R77*MOP_Mes_Constante!$P$1</f>
        <v>2711.7093337121742</v>
      </c>
      <c r="S76" s="20">
        <f>+MOP_Mes_Corriente!S77*MOP_Mes_Constante!$P$1</f>
        <v>60694.481034237797</v>
      </c>
      <c r="T76" s="20">
        <f>+MOP_Mes_Corriente!T77*MOP_Mes_Constante!$P$1</f>
        <v>78773.060662025833</v>
      </c>
      <c r="U76" s="20">
        <f>+MOP_Mes_Corriente!U77*MOP_Mes_Constante!$P$1</f>
        <v>80896.482739025392</v>
      </c>
      <c r="V76" s="20">
        <f>+MOP_Mes_Corriente!V77*MOP_Mes_Constante!$P$1</f>
        <v>83176.677937206958</v>
      </c>
      <c r="W76" s="20">
        <f>+MOP_Mes_Corriente!W77*MOP_Mes_Constante!$P$1</f>
        <v>86509.270919164628</v>
      </c>
      <c r="X76" s="20">
        <f>+MOP_Mes_Corriente!X77*MOP_Mes_Constante!$P$1</f>
        <v>98871.064355732306</v>
      </c>
      <c r="Y76" s="20">
        <f>+MOP_Mes_Corriente!Y77*MOP_Mes_Constante!$P$1</f>
        <v>128727.80679073728</v>
      </c>
      <c r="Z76" s="20">
        <f>+MOP_Mes_Corriente!Z77*MOP_Mes_Constante!$P$1</f>
        <v>245272.32419377743</v>
      </c>
      <c r="AA76" s="20">
        <f>+MOP_Mes_Corriente!AA77*MOP_Mes_Constante!$P$1</f>
        <v>1301330.2170762888</v>
      </c>
      <c r="AB76" s="20">
        <f t="shared" si="96"/>
        <v>1301330.2170762888</v>
      </c>
      <c r="AC76" s="20">
        <f>+MOP_Mes_Corriente!AC77*MOP_Mes_Constante!$AC$1</f>
        <v>0</v>
      </c>
      <c r="AD76" s="20">
        <f>+MOP_Mes_Corriente!AD77*MOP_Mes_Constante!$AC$1</f>
        <v>27057.304191451098</v>
      </c>
      <c r="AE76" s="20">
        <f>+MOP_Mes_Corriente!AE77*MOP_Mes_Constante!$AC$1</f>
        <v>39213.593858071654</v>
      </c>
      <c r="AF76" s="20">
        <f>+MOP_Mes_Corriente!AF77*MOP_Mes_Constante!$AC$1</f>
        <v>77175.738276386779</v>
      </c>
      <c r="AG76" s="20">
        <f>+MOP_Mes_Corriente!AG77*MOP_Mes_Constante!$AC$1</f>
        <v>82325.120210264213</v>
      </c>
      <c r="AH76" s="20">
        <f>+MOP_Mes_Corriente!AH77*MOP_Mes_Constante!$AC$1</f>
        <v>83756.427721676577</v>
      </c>
      <c r="AI76" s="20">
        <f>+MOP_Mes_Corriente!AI77*MOP_Mes_Constante!$AC$1</f>
        <v>85961.578364919071</v>
      </c>
      <c r="AJ76" s="20">
        <f>+MOP_Mes_Corriente!AJ77*MOP_Mes_Constante!$AC$1</f>
        <v>91222.804813943832</v>
      </c>
      <c r="AK76" s="20">
        <f>+MOP_Mes_Corriente!AK77*MOP_Mes_Constante!$AC$1</f>
        <v>97263.920044266153</v>
      </c>
      <c r="AL76" s="20">
        <f>+MOP_Mes_Corriente!AL77*MOP_Mes_Constante!$AC$1</f>
        <v>111894.39175542952</v>
      </c>
      <c r="AM76" s="20">
        <f>+MOP_Mes_Corriente!AM77*MOP_Mes_Constante!$AC$1</f>
        <v>114430.54170701341</v>
      </c>
      <c r="AN76" s="20">
        <f>+MOP_Mes_Corriente!AN77*MOP_Mes_Constante!$AC$1</f>
        <v>958877.79084244021</v>
      </c>
      <c r="AO76" s="20">
        <f t="shared" si="97"/>
        <v>958877.79084244021</v>
      </c>
      <c r="AP76" s="20">
        <f>+MOP_Mes_Corriente!AP77*MOP_Mes_Constante!$AP$1</f>
        <v>0</v>
      </c>
      <c r="AQ76" s="20">
        <f>+MOP_Mes_Corriente!AQ77*MOP_Mes_Constante!$AP$1</f>
        <v>397.55092655214389</v>
      </c>
      <c r="AR76" s="20">
        <f>+MOP_Mes_Corriente!AR77*MOP_Mes_Constante!$AP$1</f>
        <v>397.55092655214389</v>
      </c>
      <c r="AS76" s="20">
        <f>+MOP_Mes_Corriente!AS77*MOP_Mes_Constante!$AP$1</f>
        <v>32689.326930880561</v>
      </c>
      <c r="AT76" s="20">
        <f>+MOP_Mes_Corriente!AT77*MOP_Mes_Constante!$AP$1</f>
        <v>32689.326930880561</v>
      </c>
      <c r="AU76" s="20">
        <f>+MOP_Mes_Corriente!AU77*MOP_Mes_Constante!$AP$1</f>
        <v>33540.588394427155</v>
      </c>
      <c r="AV76" s="20">
        <f>+MOP_Mes_Corriente!AV77*MOP_Mes_Constante!$AP$1</f>
        <v>68126.041119978356</v>
      </c>
      <c r="AW76" s="20">
        <f>+MOP_Mes_Corriente!AW77*MOP_Mes_Constante!$AP$1</f>
        <v>71322.705261734067</v>
      </c>
      <c r="AX76" s="20">
        <f>+MOP_Mes_Corriente!AX77*MOP_Mes_Constante!$AP$1</f>
        <v>72210.913837413769</v>
      </c>
      <c r="AY76" s="20">
        <f>+MOP_Mes_Corriente!AY77*MOP_Mes_Constante!$AP$1</f>
        <v>90771.665088597321</v>
      </c>
      <c r="AZ76" s="20">
        <f>+MOP_Mes_Corriente!AZ77*MOP_Mes_Constante!$AP$1</f>
        <v>109659.02881103747</v>
      </c>
      <c r="BA76" s="20">
        <f>+MOP_Mes_Corriente!BA77*MOP_Mes_Constante!$AP$1</f>
        <v>2599402.2510482888</v>
      </c>
      <c r="BB76" s="20">
        <f t="shared" si="98"/>
        <v>2599402.2510482888</v>
      </c>
      <c r="BC76" s="20">
        <f>+MOP_Mes_Corriente!BC77*MOP_Mes_Constante!$BC$1</f>
        <v>285.28919952525393</v>
      </c>
      <c r="BD76" s="20">
        <f>+MOP_Mes_Corriente!BD77*MOP_Mes_Constante!$BC$1</f>
        <v>1587.8217064486355</v>
      </c>
      <c r="BE76" s="20">
        <f>+MOP_Mes_Corriente!BE77*MOP_Mes_Constante!$BC$1</f>
        <v>8250.3331135434546</v>
      </c>
      <c r="BF76" s="20">
        <f>+MOP_Mes_Corriente!BF77*MOP_Mes_Constante!$BC$1</f>
        <v>41116.225240669926</v>
      </c>
      <c r="BG76" s="20">
        <f>+MOP_Mes_Corriente!BG77*MOP_Mes_Constante!$BC$1</f>
        <v>69880.004483713594</v>
      </c>
      <c r="BH76" s="20">
        <f>+MOP_Mes_Corriente!BH77*MOP_Mes_Constante!$BC$1</f>
        <v>77597.221416326007</v>
      </c>
      <c r="BI76" s="20">
        <f>+MOP_Mes_Corriente!BI77*MOP_Mes_Constante!$BC$1</f>
        <v>87200.516945799842</v>
      </c>
      <c r="BJ76" s="20">
        <f>+MOP_Mes_Corriente!BJ77*MOP_Mes_Constante!$BC$1</f>
        <v>100060.14374258212</v>
      </c>
      <c r="BK76" s="20">
        <f>+MOP_Mes_Corriente!BK77*MOP_Mes_Constante!$BC$1</f>
        <v>100952.0327047343</v>
      </c>
      <c r="BL76" s="20">
        <f>+MOP_Mes_Corriente!BL77*MOP_Mes_Constante!$BC$1</f>
        <v>105316.38111565346</v>
      </c>
      <c r="BM76" s="20">
        <f>+MOP_Mes_Corriente!BM77*MOP_Mes_Constante!$BC$1</f>
        <v>105695.32586047742</v>
      </c>
      <c r="BN76" s="20">
        <f>+MOP_Mes_Corriente!BN77*MOP_Mes_Constante!$BC$1</f>
        <v>2313209.8401687993</v>
      </c>
      <c r="BO76" s="20">
        <f t="shared" si="99"/>
        <v>2313209.8401687993</v>
      </c>
      <c r="BP76" s="20">
        <f>+MOP_Mes_Corriente!BP77*MOP_Mes_Constante!$BP$1</f>
        <v>205.64942381562102</v>
      </c>
      <c r="BQ76" s="20">
        <f>+MOP_Mes_Corriente!BQ77*MOP_Mes_Constante!$BP$1</f>
        <v>320.36542893725994</v>
      </c>
      <c r="BR76" s="20">
        <f>+MOP_Mes_Corriente!BR77*MOP_Mes_Constante!$BP$1</f>
        <v>481.24763124199751</v>
      </c>
      <c r="BS76" s="20">
        <f>+MOP_Mes_Corriente!BS77*MOP_Mes_Constante!$BP$1</f>
        <v>5418.2327784891168</v>
      </c>
      <c r="BT76" s="20">
        <f>+MOP_Mes_Corriente!BT77*MOP_Mes_Constante!$BP$1</f>
        <v>35741.030473751605</v>
      </c>
      <c r="BU76" s="20">
        <f>+MOP_Mes_Corriente!BU77*MOP_Mes_Constante!$BP$1</f>
        <v>58040.702688860445</v>
      </c>
      <c r="BV76" s="20">
        <f>+MOP_Mes_Corriente!BV77*MOP_Mes_Constante!$BP$1</f>
        <v>61041.505505761852</v>
      </c>
      <c r="BW76" s="20">
        <f>+MOP_Mes_Corriente!BW77*MOP_Mes_Constante!$BP$1</f>
        <v>67669.852240717039</v>
      </c>
      <c r="BX76" s="20">
        <f>+MOP_Mes_Corriente!BX77*MOP_Mes_Constante!$BP$1</f>
        <v>97879.332906530108</v>
      </c>
      <c r="BY76" s="20">
        <f>+MOP_Mes_Corriente!BY77*MOP_Mes_Constante!$BP$1</f>
        <v>106648.11241997441</v>
      </c>
      <c r="BZ76" s="20">
        <f>+MOP_Mes_Corriente!BZ77*MOP_Mes_Constante!$BP$1</f>
        <v>112639.92522407172</v>
      </c>
      <c r="CA76" s="20">
        <f>+MOP_Mes_Corriente!CA77*MOP_Mes_Constante!$BP$1</f>
        <v>136173.49398207429</v>
      </c>
      <c r="CB76" s="20">
        <f t="shared" si="100"/>
        <v>136173.49398207429</v>
      </c>
      <c r="CC76" s="20">
        <f>+MOP_Mes_Corriente!CC77*MOP_Mes_Constante!$CC$1</f>
        <v>824.57814248414775</v>
      </c>
      <c r="CD76" s="20">
        <f>+MOP_Mes_Corriente!CD77*MOP_Mes_Constante!$CC$1</f>
        <v>2358.2663185378592</v>
      </c>
      <c r="CE76" s="20">
        <f>+MOP_Mes_Corriente!CE77*MOP_Mes_Constante!$CC$1</f>
        <v>3358.0842969041405</v>
      </c>
      <c r="CF76" s="20">
        <f>+MOP_Mes_Corriente!CF77*MOP_Mes_Constante!$CC$1</f>
        <v>3358.0842969041405</v>
      </c>
      <c r="CG76" s="20">
        <f>+MOP_Mes_Corriente!CG77*MOP_Mes_Constante!$CC$1</f>
        <v>24874.547556881764</v>
      </c>
      <c r="CH76" s="20">
        <f>+MOP_Mes_Corriente!CH77*MOP_Mes_Constante!$CC$1</f>
        <v>24874.547556881764</v>
      </c>
      <c r="CI76" s="20">
        <f>+MOP_Mes_Corriente!CI77*MOP_Mes_Constante!$CC$1</f>
        <v>25790.141738157407</v>
      </c>
      <c r="CJ76" s="20">
        <f>+MOP_Mes_Corriente!CJ77*MOP_Mes_Constante!$CC$1</f>
        <v>25790.141738157407</v>
      </c>
      <c r="CK76" s="20">
        <f>+MOP_Mes_Corriente!CK77*MOP_Mes_Constante!$CC$1</f>
        <v>28777.369638194705</v>
      </c>
      <c r="CL76" s="20">
        <f>+MOP_Mes_Corriente!CL77*MOP_Mes_Constante!$CC$1</f>
        <v>42340.117866467743</v>
      </c>
      <c r="CM76" s="20">
        <f>+MOP_Mes_Corriente!CM77*MOP_Mes_Constante!$CC$1</f>
        <v>45042.071615069006</v>
      </c>
      <c r="CN76" s="20">
        <f>+MOP_Mes_Corriente!CN77*MOP_Mes_Constante!$CC$1</f>
        <v>519868.67064528167</v>
      </c>
      <c r="CO76" s="20">
        <f t="shared" si="101"/>
        <v>519868.67064528167</v>
      </c>
      <c r="CP76" s="20">
        <f>+MOP_Mes_Corriente!CP77*MOP_Mes_Constante!$CP$1</f>
        <v>0</v>
      </c>
      <c r="CQ76" s="20">
        <f>+MOP_Mes_Corriente!CQ77*MOP_Mes_Constante!$CP$1</f>
        <v>0</v>
      </c>
      <c r="CR76" s="20">
        <f>+MOP_Mes_Corriente!CR77*MOP_Mes_Constante!$CP$1</f>
        <v>0</v>
      </c>
      <c r="CS76" s="20">
        <f>+MOP_Mes_Corriente!CS77*MOP_Mes_Constante!$CP$1</f>
        <v>0</v>
      </c>
      <c r="CT76" s="20">
        <f>+MOP_Mes_Corriente!CT77*MOP_Mes_Constante!$CP$1</f>
        <v>475.31902552204167</v>
      </c>
      <c r="CU76" s="20">
        <f>+MOP_Mes_Corriente!CU77*MOP_Mes_Constante!$CP$1</f>
        <v>475.31902552204167</v>
      </c>
      <c r="CV76" s="20">
        <f>+MOP_Mes_Corriente!CV77*MOP_Mes_Constante!$CP$1</f>
        <v>475.31902552204167</v>
      </c>
      <c r="CW76" s="20">
        <f>+MOP_Mes_Corriente!CW77*MOP_Mes_Constante!$CP$1</f>
        <v>475.31902552204167</v>
      </c>
      <c r="CX76" s="20">
        <f>+MOP_Mes_Corriente!CX77*MOP_Mes_Constante!$CP$1</f>
        <v>20854.463805104406</v>
      </c>
      <c r="CY76" s="20">
        <f>+MOP_Mes_Corriente!CY77*MOP_Mes_Constante!$CP$1</f>
        <v>21215.706264501157</v>
      </c>
      <c r="CZ76" s="20">
        <f>+MOP_Mes_Corriente!CZ77*MOP_Mes_Constante!$CP$1</f>
        <v>75519.954292343376</v>
      </c>
      <c r="DA76" s="20">
        <f>+MOP_Mes_Corriente!DA77*MOP_Mes_Constante!$CP$1</f>
        <v>128132.06658932712</v>
      </c>
      <c r="DB76" s="20">
        <f t="shared" si="102"/>
        <v>128132.06658932712</v>
      </c>
      <c r="DC76" s="20">
        <f>+MOP_Mes_Corriente!DC77*MOP_Mes_Constante!$DC$1</f>
        <v>0</v>
      </c>
      <c r="DD76" s="20">
        <f>+MOP_Mes_Corriente!DD77*MOP_Mes_Constante!$DC$1</f>
        <v>0</v>
      </c>
      <c r="DE76" s="20">
        <f>+MOP_Mes_Corriente!DE77*MOP_Mes_Constante!$DC$1</f>
        <v>0</v>
      </c>
      <c r="DF76" s="20">
        <f>+MOP_Mes_Corriente!DF77*MOP_Mes_Constante!$DC$1</f>
        <v>48.330212941055471</v>
      </c>
      <c r="DG76" s="20">
        <f>+MOP_Mes_Corriente!DG77*MOP_Mes_Constante!$DC$1</f>
        <v>48.330212941055471</v>
      </c>
      <c r="DH76" s="20">
        <f>+MOP_Mes_Corriente!DH77*MOP_Mes_Constante!$DC$1</f>
        <v>717.08548503240445</v>
      </c>
      <c r="DI76" s="20">
        <f>+MOP_Mes_Corriente!DI77*MOP_Mes_Constante!$DC$1</f>
        <v>4450.8754243390622</v>
      </c>
      <c r="DJ76" s="20">
        <f>+MOP_Mes_Corriente!DJ77*MOP_Mes_Constante!$DC$1</f>
        <v>67680.281452525494</v>
      </c>
      <c r="DK76" s="20">
        <f>+MOP_Mes_Corriente!DK77*MOP_Mes_Constante!$DC$1</f>
        <v>68769.397181359978</v>
      </c>
      <c r="DL76" s="20">
        <f>+MOP_Mes_Corriente!DL77*MOP_Mes_Constante!$DC$1</f>
        <v>75424.355107499257</v>
      </c>
      <c r="DM76" s="20">
        <f>+MOP_Mes_Corriente!DM77*MOP_Mes_Constante!$DC$1</f>
        <v>107823.58111305426</v>
      </c>
      <c r="DN76" s="20">
        <f>+MOP_Mes_Corriente!DN77*MOP_Mes_Constante!$DC$1</f>
        <v>180729.1453554162</v>
      </c>
      <c r="DO76" s="20">
        <f t="shared" si="103"/>
        <v>180729.1453554162</v>
      </c>
      <c r="DP76" s="20">
        <f>+MOP_Mes_Corriente!DP77*MOP_Mes_Constante!$DP$1</f>
        <v>0</v>
      </c>
      <c r="DQ76" s="20">
        <f>+MOP_Mes_Corriente!DQ77*MOP_Mes_Constante!$DP$1</f>
        <v>0</v>
      </c>
      <c r="DR76" s="20">
        <f>+MOP_Mes_Corriente!DR77*MOP_Mes_Constante!$DP$1</f>
        <v>0</v>
      </c>
      <c r="DS76" s="20">
        <f>+MOP_Mes_Corriente!DS77*MOP_Mes_Constante!$DP$1</f>
        <v>0</v>
      </c>
      <c r="DT76" s="20">
        <f>+MOP_Mes_Corriente!DT77*MOP_Mes_Constante!$DP$1</f>
        <v>3335.9768408551072</v>
      </c>
      <c r="DU76" s="20">
        <f>+MOP_Mes_Corriente!DU77*MOP_Mes_Constante!$DP$1</f>
        <v>89083.01722090262</v>
      </c>
      <c r="DV76" s="20">
        <f>+MOP_Mes_Corriente!DV77*MOP_Mes_Constante!$DP$1</f>
        <v>136240.86163895487</v>
      </c>
      <c r="DW76" s="20">
        <f>+MOP_Mes_Corriente!DW77*MOP_Mes_Constante!$DP$1</f>
        <v>152416.83491686461</v>
      </c>
      <c r="DX76" s="20">
        <f>+MOP_Mes_Corriente!DX77*MOP_Mes_Constante!$DP$1</f>
        <v>171223.74228028505</v>
      </c>
      <c r="DY76" s="20">
        <f>+MOP_Mes_Corriente!DY77*MOP_Mes_Constante!$DP$1</f>
        <v>177120.36520190025</v>
      </c>
      <c r="DZ76" s="20">
        <f>+MOP_Mes_Corriente!DZ77*MOP_Mes_Constante!$DP$1</f>
        <v>207148.48218527317</v>
      </c>
      <c r="EA76" s="20">
        <f>+MOP_Mes_Corriente!EA77*MOP_Mes_Constante!$DP$1</f>
        <v>257150.28741092639</v>
      </c>
      <c r="EB76" s="20">
        <f t="shared" si="104"/>
        <v>257150.28741092639</v>
      </c>
      <c r="EC76" s="20">
        <f>+MOP_Mes_Corriente!EC77*MOP_Mes_Constante!$EC$1</f>
        <v>0</v>
      </c>
      <c r="ED76" s="20">
        <f>+MOP_Mes_Corriente!ED77*MOP_Mes_Constante!$EC$1</f>
        <v>0</v>
      </c>
      <c r="EE76" s="20">
        <f>+MOP_Mes_Corriente!EE77*MOP_Mes_Constante!$EC$1</f>
        <v>0</v>
      </c>
      <c r="EF76" s="20">
        <f>+MOP_Mes_Corriente!EF77*MOP_Mes_Constante!$EC$1</f>
        <v>2339.9556902101867</v>
      </c>
      <c r="EG76" s="20">
        <f>+MOP_Mes_Corriente!EG77*MOP_Mes_Constante!$EC$1</f>
        <v>76943.370573754946</v>
      </c>
      <c r="EH76" s="20">
        <f>+MOP_Mes_Corriente!EH77*MOP_Mes_Constante!$EC$1</f>
        <v>166618.9138420753</v>
      </c>
      <c r="EI76" s="20">
        <f>+MOP_Mes_Corriente!EI77*MOP_Mes_Constante!$EC$1</f>
        <v>234305.90797197493</v>
      </c>
      <c r="EJ76" s="20">
        <f>+MOP_Mes_Corriente!EJ77*MOP_Mes_Constante!$EC$1</f>
        <v>244104.34311683386</v>
      </c>
      <c r="EK76" s="20">
        <f>+MOP_Mes_Corriente!EK77*MOP_Mes_Constante!$EC$1</f>
        <v>1536899.8625260363</v>
      </c>
      <c r="EL76" s="20">
        <f>+MOP_Mes_Corriente!EL77*MOP_Mes_Constante!$EC$1</f>
        <v>1669302.8725620143</v>
      </c>
      <c r="EM76" s="20">
        <f>+MOP_Mes_Corriente!EM77*MOP_Mes_Constante!$EC$1</f>
        <v>1998063.543647036</v>
      </c>
      <c r="EN76" s="20">
        <f>+MOP_Mes_Corriente!EN77*MOP_Mes_Constante!$EC$1</f>
        <v>2066055.7044120426</v>
      </c>
      <c r="EO76" s="20">
        <f t="shared" si="105"/>
        <v>2066055.7044120426</v>
      </c>
      <c r="EP76" s="20">
        <f>+MOP_Mes_Corriente!EP77*MOP_Mes_Constante!$EP$1</f>
        <v>0</v>
      </c>
      <c r="EQ76" s="20">
        <f>+MOP_Mes_Corriente!EQ77*MOP_Mes_Constante!$EP$1</f>
        <v>97469</v>
      </c>
      <c r="ER76" s="20">
        <f>+MOP_Mes_Corriente!ER77*MOP_Mes_Constante!$EP$1</f>
        <v>97751</v>
      </c>
      <c r="ES76" s="20">
        <f>+MOP_Mes_Corriente!ES77*MOP_Mes_Constante!$EP$1</f>
        <v>98001</v>
      </c>
      <c r="ET76" s="20">
        <f>+MOP_Mes_Corriente!ET77*MOP_Mes_Constante!$EP$1</f>
        <v>170182</v>
      </c>
      <c r="EU76" s="20">
        <f>+MOP_Mes_Corriente!EU77*MOP_Mes_Constante!$EP$1</f>
        <v>170245</v>
      </c>
      <c r="EV76" s="20">
        <f>+MOP_Mes_Corriente!EV77*MOP_Mes_Constante!$EP$1</f>
        <v>421065</v>
      </c>
      <c r="EW76" s="20">
        <f>+MOP_Mes_Corriente!EW77*MOP_Mes_Constante!$EP$1</f>
        <v>428624</v>
      </c>
      <c r="EX76" s="20">
        <f>+MOP_Mes_Corriente!EX77*MOP_Mes_Constante!$EP$1</f>
        <v>444757</v>
      </c>
      <c r="EY76" s="20">
        <f>+MOP_Mes_Corriente!EY77*MOP_Mes_Constante!$EP$1</f>
        <v>610730</v>
      </c>
      <c r="EZ76" s="20">
        <f>+MOP_Mes_Corriente!EZ77*MOP_Mes_Constante!$EP$1</f>
        <v>614072</v>
      </c>
      <c r="FA76" s="20">
        <f>+MOP_Mes_Corriente!FA77*MOP_Mes_Constante!$EP$1</f>
        <v>809633</v>
      </c>
      <c r="FB76" s="20">
        <f t="shared" si="106"/>
        <v>809633</v>
      </c>
      <c r="FC76" s="20">
        <f>+MOP_Mes_Corriente!FC77*MOP_Mes_Constante!$FC$1</f>
        <v>0</v>
      </c>
      <c r="FD76" s="20">
        <f>+MOP_Mes_Corriente!FD77*MOP_Mes_Constante!$FC$1</f>
        <v>0</v>
      </c>
      <c r="FE76" s="20">
        <f>+MOP_Mes_Corriente!FE77*MOP_Mes_Constante!$FC$1</f>
        <v>0</v>
      </c>
      <c r="FF76" s="20">
        <f>+MOP_Mes_Corriente!FF77*MOP_Mes_Constante!$FC$1</f>
        <v>0</v>
      </c>
      <c r="FG76" s="20">
        <f>+MOP_Mes_Corriente!FG77*MOP_Mes_Constante!$FC$1</f>
        <v>0</v>
      </c>
      <c r="FH76" s="20">
        <f>+MOP_Mes_Corriente!FH77*MOP_Mes_Constante!$FC$1</f>
        <v>64950</v>
      </c>
      <c r="FI76" s="20">
        <f>+MOP_Mes_Corriente!FI77*MOP_Mes_Constante!$FC$1</f>
        <v>127454</v>
      </c>
      <c r="FJ76" s="10"/>
      <c r="FK76" s="10"/>
      <c r="FL76" s="10"/>
      <c r="FM76" s="10"/>
      <c r="FN76" s="10"/>
      <c r="FO76" s="20">
        <f t="shared" si="107"/>
        <v>127454</v>
      </c>
    </row>
    <row r="77" spans="1:171" ht="27.75" customHeight="1">
      <c r="A77" s="10"/>
      <c r="B77" s="19" t="s">
        <v>48</v>
      </c>
      <c r="C77" s="20">
        <f>+MOP_Mes_Corriente!C78*MOP_Mes_Constante!$C$1</f>
        <v>226.84858371644671</v>
      </c>
      <c r="D77" s="20">
        <f>+MOP_Mes_Corriente!D78*MOP_Mes_Constante!$C$1</f>
        <v>13139.394038261904</v>
      </c>
      <c r="E77" s="20">
        <f>+MOP_Mes_Corriente!E78*MOP_Mes_Constante!$C$1</f>
        <v>13139.394038261904</v>
      </c>
      <c r="F77" s="20">
        <f>+MOP_Mes_Corriente!F78*MOP_Mes_Constante!$C$1</f>
        <v>13956.048939641112</v>
      </c>
      <c r="G77" s="20">
        <f>+MOP_Mes_Corriente!G78*MOP_Mes_Constante!$C$1</f>
        <v>136519.09802758417</v>
      </c>
      <c r="H77" s="20">
        <f>+MOP_Mes_Corriente!H78*MOP_Mes_Constante!$C$1</f>
        <v>136997.10040041528</v>
      </c>
      <c r="I77" s="20">
        <f>+MOP_Mes_Corriente!I78*MOP_Mes_Constante!$C$1</f>
        <v>139915.34539522469</v>
      </c>
      <c r="J77" s="20">
        <f>+MOP_Mes_Corriente!J78*MOP_Mes_Constante!$C$1</f>
        <v>139915.34539522469</v>
      </c>
      <c r="K77" s="20">
        <f>+MOP_Mes_Corriente!K78*MOP_Mes_Constante!$C$1</f>
        <v>139996.36274655201</v>
      </c>
      <c r="L77" s="20">
        <f>+MOP_Mes_Corriente!L78*MOP_Mes_Constante!$C$1</f>
        <v>160362.50452320927</v>
      </c>
      <c r="M77" s="20">
        <f>+MOP_Mes_Corriente!M78*MOP_Mes_Constante!$C$1</f>
        <v>190677.57704285928</v>
      </c>
      <c r="N77" s="20">
        <f>+MOP_Mes_Corriente!N78*MOP_Mes_Constante!$C$1</f>
        <v>229959.65000741513</v>
      </c>
      <c r="O77" s="20">
        <f t="shared" si="95"/>
        <v>229959.65000741513</v>
      </c>
      <c r="P77" s="20">
        <f>+MOP_Mes_Corriente!P78*MOP_Mes_Constante!$P$1</f>
        <v>0</v>
      </c>
      <c r="Q77" s="20">
        <f>+MOP_Mes_Corriente!Q78*MOP_Mes_Constante!$P$1</f>
        <v>93.13254723682337</v>
      </c>
      <c r="R77" s="20">
        <f>+MOP_Mes_Corriente!R78*MOP_Mes_Constante!$P$1</f>
        <v>93.13254723682337</v>
      </c>
      <c r="S77" s="20">
        <f>+MOP_Mes_Corriente!S78*MOP_Mes_Constante!$P$1</f>
        <v>3354.3239096462553</v>
      </c>
      <c r="T77" s="20">
        <f>+MOP_Mes_Corriente!T78*MOP_Mes_Constante!$P$1</f>
        <v>56686.677084813164</v>
      </c>
      <c r="U77" s="20">
        <f>+MOP_Mes_Corriente!U78*MOP_Mes_Constante!$P$1</f>
        <v>94779.441113794543</v>
      </c>
      <c r="V77" s="20">
        <f>+MOP_Mes_Corriente!V78*MOP_Mes_Constante!$P$1</f>
        <v>115732.71203295919</v>
      </c>
      <c r="W77" s="20">
        <f>+MOP_Mes_Corriente!W78*MOP_Mes_Constante!$P$1</f>
        <v>116746.30458871994</v>
      </c>
      <c r="X77" s="20">
        <f>+MOP_Mes_Corriente!X78*MOP_Mes_Constante!$P$1</f>
        <v>117402.88904673955</v>
      </c>
      <c r="Y77" s="20">
        <f>+MOP_Mes_Corriente!Y78*MOP_Mes_Constante!$P$1</f>
        <v>122942.72339820993</v>
      </c>
      <c r="Z77" s="20">
        <f>+MOP_Mes_Corriente!Z78*MOP_Mes_Constante!$P$1</f>
        <v>275423.986361699</v>
      </c>
      <c r="AA77" s="20">
        <f>+MOP_Mes_Corriente!AA78*MOP_Mes_Constante!$P$1</f>
        <v>458788.0019889187</v>
      </c>
      <c r="AB77" s="20">
        <f t="shared" si="96"/>
        <v>458788.0019889187</v>
      </c>
      <c r="AC77" s="20">
        <f>+MOP_Mes_Corriente!AC78*MOP_Mes_Constante!$AC$1</f>
        <v>0</v>
      </c>
      <c r="AD77" s="20">
        <f>+MOP_Mes_Corriente!AD78*MOP_Mes_Constante!$AC$1</f>
        <v>29703.787245815463</v>
      </c>
      <c r="AE77" s="20">
        <f>+MOP_Mes_Corriente!AE78*MOP_Mes_Constante!$AC$1</f>
        <v>49465.503942454001</v>
      </c>
      <c r="AF77" s="20">
        <f>+MOP_Mes_Corriente!AF78*MOP_Mes_Constante!$AC$1</f>
        <v>50904.368515700648</v>
      </c>
      <c r="AG77" s="20">
        <f>+MOP_Mes_Corriente!AG78*MOP_Mes_Constante!$AC$1</f>
        <v>54403.288144971644</v>
      </c>
      <c r="AH77" s="20">
        <f>+MOP_Mes_Corriente!AH78*MOP_Mes_Constante!$AC$1</f>
        <v>57696.655692350258</v>
      </c>
      <c r="AI77" s="20">
        <f>+MOP_Mes_Corriente!AI78*MOP_Mes_Constante!$AC$1</f>
        <v>58231.695670217181</v>
      </c>
      <c r="AJ77" s="20">
        <f>+MOP_Mes_Corriente!AJ78*MOP_Mes_Constante!$AC$1</f>
        <v>59726.482501037484</v>
      </c>
      <c r="AK77" s="20">
        <f>+MOP_Mes_Corriente!AK78*MOP_Mes_Constante!$AC$1</f>
        <v>62635.951307234747</v>
      </c>
      <c r="AL77" s="20">
        <f>+MOP_Mes_Corriente!AL78*MOP_Mes_Constante!$AC$1</f>
        <v>64803.31664130585</v>
      </c>
      <c r="AM77" s="20">
        <f>+MOP_Mes_Corriente!AM78*MOP_Mes_Constante!$AC$1</f>
        <v>82248.038179554569</v>
      </c>
      <c r="AN77" s="20">
        <f>+MOP_Mes_Corriente!AN78*MOP_Mes_Constante!$AC$1</f>
        <v>145051.75625951029</v>
      </c>
      <c r="AO77" s="20">
        <f t="shared" si="97"/>
        <v>145051.75625951029</v>
      </c>
      <c r="AP77" s="20">
        <f>+MOP_Mes_Corriente!AP78*MOP_Mes_Constante!$AP$1</f>
        <v>0</v>
      </c>
      <c r="AQ77" s="20">
        <f>+MOP_Mes_Corriente!AQ78*MOP_Mes_Constante!$AP$1</f>
        <v>1488.2296767212226</v>
      </c>
      <c r="AR77" s="20">
        <f>+MOP_Mes_Corriente!AR78*MOP_Mes_Constante!$AP$1</f>
        <v>2049.8257811443254</v>
      </c>
      <c r="AS77" s="20">
        <f>+MOP_Mes_Corriente!AS78*MOP_Mes_Constante!$AP$1</f>
        <v>6041.5917760043276</v>
      </c>
      <c r="AT77" s="20">
        <f>+MOP_Mes_Corriente!AT78*MOP_Mes_Constante!$AP$1</f>
        <v>27444.314892465845</v>
      </c>
      <c r="AU77" s="20">
        <f>+MOP_Mes_Corriente!AU78*MOP_Mes_Constante!$AP$1</f>
        <v>27852.211010415256</v>
      </c>
      <c r="AV77" s="20">
        <f>+MOP_Mes_Corriente!AV78*MOP_Mes_Constante!$AP$1</f>
        <v>56628.099824157987</v>
      </c>
      <c r="AW77" s="20">
        <f>+MOP_Mes_Corriente!AW78*MOP_Mes_Constante!$AP$1</f>
        <v>62634.222372514538</v>
      </c>
      <c r="AX77" s="20">
        <f>+MOP_Mes_Corriente!AX78*MOP_Mes_Constante!$AP$1</f>
        <v>67784.649803868524</v>
      </c>
      <c r="AY77" s="20">
        <f>+MOP_Mes_Corriente!AY78*MOP_Mes_Constante!$AP$1</f>
        <v>80945.211145678346</v>
      </c>
      <c r="AZ77" s="20">
        <f>+MOP_Mes_Corriente!AZ78*MOP_Mes_Constante!$AP$1</f>
        <v>120431.32882456377</v>
      </c>
      <c r="BA77" s="20">
        <f>+MOP_Mes_Corriente!BA78*MOP_Mes_Constante!$AP$1</f>
        <v>141299.05775733801</v>
      </c>
      <c r="BB77" s="20">
        <f t="shared" si="98"/>
        <v>141299.05775733801</v>
      </c>
      <c r="BC77" s="20">
        <f>+MOP_Mes_Corriente!BC78*MOP_Mes_Constante!$BC$1</f>
        <v>0</v>
      </c>
      <c r="BD77" s="20">
        <f>+MOP_Mes_Corriente!BD78*MOP_Mes_Constante!$BC$1</f>
        <v>4713.0352103389168</v>
      </c>
      <c r="BE77" s="20">
        <f>+MOP_Mes_Corriente!BE78*MOP_Mes_Constante!$BC$1</f>
        <v>4713.0352103389168</v>
      </c>
      <c r="BF77" s="20">
        <f>+MOP_Mes_Corriente!BF78*MOP_Mes_Constante!$BC$1</f>
        <v>4883.0560464196242</v>
      </c>
      <c r="BG77" s="20">
        <f>+MOP_Mes_Corriente!BG78*MOP_Mes_Constante!$BC$1</f>
        <v>6277.8032440986435</v>
      </c>
      <c r="BH77" s="20">
        <f>+MOP_Mes_Corriente!BH78*MOP_Mes_Constante!$BC$1</f>
        <v>15062.693393116184</v>
      </c>
      <c r="BI77" s="20">
        <f>+MOP_Mes_Corriente!BI78*MOP_Mes_Constante!$BC$1</f>
        <v>20778.563365422662</v>
      </c>
      <c r="BJ77" s="20">
        <f>+MOP_Mes_Corriente!BJ78*MOP_Mes_Constante!$BC$1</f>
        <v>26272.541738098385</v>
      </c>
      <c r="BK77" s="20">
        <f>+MOP_Mes_Corriente!BK78*MOP_Mes_Constante!$BC$1</f>
        <v>85323.083476196771</v>
      </c>
      <c r="BL77" s="20">
        <f>+MOP_Mes_Corriente!BL78*MOP_Mes_Constante!$BC$1</f>
        <v>86498.820783331161</v>
      </c>
      <c r="BM77" s="20">
        <f>+MOP_Mes_Corriente!BM78*MOP_Mes_Constante!$BC$1</f>
        <v>98903.137544507481</v>
      </c>
      <c r="BN77" s="20">
        <f>+MOP_Mes_Corriente!BN78*MOP_Mes_Constante!$BC$1</f>
        <v>428481.32401424251</v>
      </c>
      <c r="BO77" s="20">
        <f t="shared" si="99"/>
        <v>428481.32401424251</v>
      </c>
      <c r="BP77" s="20">
        <f>+MOP_Mes_Corriente!BP78*MOP_Mes_Constante!$BP$1</f>
        <v>969.49014084507053</v>
      </c>
      <c r="BQ77" s="20">
        <f>+MOP_Mes_Corriente!BQ78*MOP_Mes_Constante!$BP$1</f>
        <v>21726.092189500643</v>
      </c>
      <c r="BR77" s="20">
        <f>+MOP_Mes_Corriente!BR78*MOP_Mes_Constante!$BP$1</f>
        <v>21867.388732394367</v>
      </c>
      <c r="BS77" s="20">
        <f>+MOP_Mes_Corriente!BS78*MOP_Mes_Constante!$BP$1</f>
        <v>29163.046862996162</v>
      </c>
      <c r="BT77" s="20">
        <f>+MOP_Mes_Corriente!BT78*MOP_Mes_Constante!$BP$1</f>
        <v>91942.080153649178</v>
      </c>
      <c r="BU77" s="20">
        <f>+MOP_Mes_Corriente!BU78*MOP_Mes_Constante!$BP$1</f>
        <v>125765.11498079386</v>
      </c>
      <c r="BV77" s="20">
        <f>+MOP_Mes_Corriente!BV78*MOP_Mes_Constante!$BP$1</f>
        <v>129532.55646606916</v>
      </c>
      <c r="BW77" s="20">
        <f>+MOP_Mes_Corriente!BW78*MOP_Mes_Constante!$BP$1</f>
        <v>140832.0829705506</v>
      </c>
      <c r="BX77" s="20">
        <f>+MOP_Mes_Corriente!BX78*MOP_Mes_Constante!$BP$1</f>
        <v>141283.95211267608</v>
      </c>
      <c r="BY77" s="20">
        <f>+MOP_Mes_Corriente!BY78*MOP_Mes_Constante!$BP$1</f>
        <v>145426.31907810501</v>
      </c>
      <c r="BZ77" s="20">
        <f>+MOP_Mes_Corriente!BZ78*MOP_Mes_Constante!$BP$1</f>
        <v>153357.11216389245</v>
      </c>
      <c r="CA77" s="20">
        <f>+MOP_Mes_Corriente!CA78*MOP_Mes_Constante!$BP$1</f>
        <v>156511.80230473753</v>
      </c>
      <c r="CB77" s="20">
        <f t="shared" si="100"/>
        <v>156511.80230473753</v>
      </c>
      <c r="CC77" s="20">
        <f>+MOP_Mes_Corriente!CC78*MOP_Mes_Constante!$CC$1</f>
        <v>0</v>
      </c>
      <c r="CD77" s="20">
        <f>+MOP_Mes_Corriente!CD78*MOP_Mes_Constante!$CC$1</f>
        <v>1491.5762775083924</v>
      </c>
      <c r="CE77" s="20">
        <f>+MOP_Mes_Corriente!CE78*MOP_Mes_Constante!$CC$1</f>
        <v>4261.4524431182399</v>
      </c>
      <c r="CF77" s="20">
        <f>+MOP_Mes_Corriente!CF78*MOP_Mes_Constante!$CC$1</f>
        <v>24434.410294666173</v>
      </c>
      <c r="CG77" s="20">
        <f>+MOP_Mes_Corriente!CG78*MOP_Mes_Constante!$CC$1</f>
        <v>30069.254009697877</v>
      </c>
      <c r="CH77" s="20">
        <f>+MOP_Mes_Corriente!CH78*MOP_Mes_Constante!$CC$1</f>
        <v>30069.254009697877</v>
      </c>
      <c r="CI77" s="20">
        <f>+MOP_Mes_Corriente!CI78*MOP_Mes_Constante!$CC$1</f>
        <v>40715.413651622534</v>
      </c>
      <c r="CJ77" s="20">
        <f>+MOP_Mes_Corriente!CJ78*MOP_Mes_Constante!$CC$1</f>
        <v>107718.16113390528</v>
      </c>
      <c r="CK77" s="20">
        <f>+MOP_Mes_Corriente!CK78*MOP_Mes_Constante!$CC$1</f>
        <v>114604.13577023499</v>
      </c>
      <c r="CL77" s="20">
        <f>+MOP_Mes_Corriente!CL78*MOP_Mes_Constante!$CC$1</f>
        <v>119345.12047743381</v>
      </c>
      <c r="CM77" s="20">
        <f>+MOP_Mes_Corriente!CM78*MOP_Mes_Constante!$CC$1</f>
        <v>129638.08355091386</v>
      </c>
      <c r="CN77" s="20">
        <f>+MOP_Mes_Corriente!CN78*MOP_Mes_Constante!$CC$1</f>
        <v>145590.3424095487</v>
      </c>
      <c r="CO77" s="20">
        <f t="shared" si="101"/>
        <v>145590.3424095487</v>
      </c>
      <c r="CP77" s="20">
        <f>+MOP_Mes_Corriente!CP78*MOP_Mes_Constante!$CP$1</f>
        <v>0</v>
      </c>
      <c r="CQ77" s="20">
        <f>+MOP_Mes_Corriente!CQ78*MOP_Mes_Constante!$CP$1</f>
        <v>0</v>
      </c>
      <c r="CR77" s="20">
        <f>+MOP_Mes_Corriente!CR78*MOP_Mes_Constante!$CP$1</f>
        <v>0</v>
      </c>
      <c r="CS77" s="20">
        <f>+MOP_Mes_Corriente!CS78*MOP_Mes_Constante!$CP$1</f>
        <v>0</v>
      </c>
      <c r="CT77" s="20">
        <f>+MOP_Mes_Corriente!CT78*MOP_Mes_Constante!$CP$1</f>
        <v>0</v>
      </c>
      <c r="CU77" s="20">
        <f>+MOP_Mes_Corriente!CU78*MOP_Mes_Constante!$CP$1</f>
        <v>0</v>
      </c>
      <c r="CV77" s="20">
        <f>+MOP_Mes_Corriente!CV78*MOP_Mes_Constante!$CP$1</f>
        <v>0</v>
      </c>
      <c r="CW77" s="20">
        <f>+MOP_Mes_Corriente!CW78*MOP_Mes_Constante!$CP$1</f>
        <v>0</v>
      </c>
      <c r="CX77" s="20">
        <f>+MOP_Mes_Corriente!CX78*MOP_Mes_Constante!$CP$1</f>
        <v>0</v>
      </c>
      <c r="CY77" s="20">
        <f>+MOP_Mes_Corriente!CY78*MOP_Mes_Constante!$CP$1</f>
        <v>0</v>
      </c>
      <c r="CZ77" s="20">
        <f>+MOP_Mes_Corriente!CZ78*MOP_Mes_Constante!$CP$1</f>
        <v>48798.152436194883</v>
      </c>
      <c r="DA77" s="20">
        <f>+MOP_Mes_Corriente!DA78*MOP_Mes_Constante!$CP$1</f>
        <v>136095.87842227376</v>
      </c>
      <c r="DB77" s="20">
        <f t="shared" si="102"/>
        <v>136095.87842227376</v>
      </c>
      <c r="DC77" s="20">
        <f>+MOP_Mes_Corriente!DC78*MOP_Mes_Constante!$DC$1</f>
        <v>0</v>
      </c>
      <c r="DD77" s="20">
        <f>+MOP_Mes_Corriente!DD78*MOP_Mes_Constante!$DC$1</f>
        <v>0</v>
      </c>
      <c r="DE77" s="20">
        <f>+MOP_Mes_Corriente!DE78*MOP_Mes_Constante!$DC$1</f>
        <v>0</v>
      </c>
      <c r="DF77" s="20">
        <f>+MOP_Mes_Corriente!DF78*MOP_Mes_Constante!$DC$1</f>
        <v>0</v>
      </c>
      <c r="DG77" s="20">
        <f>+MOP_Mes_Corriente!DG78*MOP_Mes_Constante!$DC$1</f>
        <v>0</v>
      </c>
      <c r="DH77" s="20">
        <f>+MOP_Mes_Corriente!DH78*MOP_Mes_Constante!$DC$1</f>
        <v>0</v>
      </c>
      <c r="DI77" s="20">
        <f>+MOP_Mes_Corriente!DI78*MOP_Mes_Constante!$DC$1</f>
        <v>1373.477214278367</v>
      </c>
      <c r="DJ77" s="20">
        <f>+MOP_Mes_Corriente!DJ78*MOP_Mes_Constante!$DC$1</f>
        <v>10792.248945581736</v>
      </c>
      <c r="DK77" s="20">
        <f>+MOP_Mes_Corriente!DK78*MOP_Mes_Constante!$DC$1</f>
        <v>103779.57864417246</v>
      </c>
      <c r="DL77" s="20">
        <f>+MOP_Mes_Corriente!DL78*MOP_Mes_Constante!$DC$1</f>
        <v>108112.43843226011</v>
      </c>
      <c r="DM77" s="20">
        <f>+MOP_Mes_Corriente!DM78*MOP_Mes_Constante!$DC$1</f>
        <v>359211.49778829358</v>
      </c>
      <c r="DN77" s="20">
        <f>+MOP_Mes_Corriente!DN78*MOP_Mes_Constante!$DC$1</f>
        <v>444608.73613825761</v>
      </c>
      <c r="DO77" s="20">
        <f t="shared" si="103"/>
        <v>444608.73613825761</v>
      </c>
      <c r="DP77" s="20">
        <f>+MOP_Mes_Corriente!DP78*MOP_Mes_Constante!$DP$1</f>
        <v>0</v>
      </c>
      <c r="DQ77" s="20">
        <f>+MOP_Mes_Corriente!DQ78*MOP_Mes_Constante!$DP$1</f>
        <v>360.0908551068884</v>
      </c>
      <c r="DR77" s="20">
        <f>+MOP_Mes_Corriente!DR78*MOP_Mes_Constante!$DP$1</f>
        <v>628.26662707838489</v>
      </c>
      <c r="DS77" s="20">
        <f>+MOP_Mes_Corriente!DS78*MOP_Mes_Constante!$DP$1</f>
        <v>19198.357482185274</v>
      </c>
      <c r="DT77" s="20">
        <f>+MOP_Mes_Corriente!DT78*MOP_Mes_Constante!$DP$1</f>
        <v>75960.787410926379</v>
      </c>
      <c r="DU77" s="20">
        <f>+MOP_Mes_Corriente!DU78*MOP_Mes_Constante!$DP$1</f>
        <v>99994.959619952497</v>
      </c>
      <c r="DV77" s="20">
        <f>+MOP_Mes_Corriente!DV78*MOP_Mes_Constante!$DP$1</f>
        <v>347588.2410926366</v>
      </c>
      <c r="DW77" s="20">
        <f>+MOP_Mes_Corriente!DW78*MOP_Mes_Constante!$DP$1</f>
        <v>351824.98574821855</v>
      </c>
      <c r="DX77" s="20">
        <f>+MOP_Mes_Corriente!DX78*MOP_Mes_Constante!$DP$1</f>
        <v>455002.3699524941</v>
      </c>
      <c r="DY77" s="20">
        <f>+MOP_Mes_Corriente!DY78*MOP_Mes_Constante!$DP$1</f>
        <v>487079.65261282667</v>
      </c>
      <c r="DZ77" s="20">
        <f>+MOP_Mes_Corriente!DZ78*MOP_Mes_Constante!$DP$1</f>
        <v>542411.45130641339</v>
      </c>
      <c r="EA77" s="20">
        <f>+MOP_Mes_Corriente!EA78*MOP_Mes_Constante!$DP$1</f>
        <v>600148.18111638958</v>
      </c>
      <c r="EB77" s="20">
        <f t="shared" si="104"/>
        <v>600148.18111638958</v>
      </c>
      <c r="EC77" s="20">
        <f>+MOP_Mes_Corriente!EC78*MOP_Mes_Constante!$EC$1</f>
        <v>0</v>
      </c>
      <c r="ED77" s="20">
        <f>+MOP_Mes_Corriente!ED78*MOP_Mes_Constante!$EC$1</f>
        <v>49633.542889604229</v>
      </c>
      <c r="EE77" s="20">
        <f>+MOP_Mes_Corriente!EE78*MOP_Mes_Constante!$EC$1</f>
        <v>95519.225714826709</v>
      </c>
      <c r="EF77" s="20">
        <f>+MOP_Mes_Corriente!EF78*MOP_Mes_Constante!$EC$1</f>
        <v>99199.845673167933</v>
      </c>
      <c r="EG77" s="20">
        <f>+MOP_Mes_Corriente!EG78*MOP_Mes_Constante!$EC$1</f>
        <v>277584.74360916484</v>
      </c>
      <c r="EH77" s="20">
        <f>+MOP_Mes_Corriente!EH78*MOP_Mes_Constante!$EC$1</f>
        <v>403420.98144290841</v>
      </c>
      <c r="EI77" s="20">
        <f>+MOP_Mes_Corriente!EI78*MOP_Mes_Constante!$EC$1</f>
        <v>436181.39556902088</v>
      </c>
      <c r="EJ77" s="20">
        <f>+MOP_Mes_Corriente!EJ78*MOP_Mes_Constante!$EC$1</f>
        <v>443065.74796440057</v>
      </c>
      <c r="EK77" s="20">
        <f>+MOP_Mes_Corriente!EK78*MOP_Mes_Constante!$EC$1</f>
        <v>520541.86707063043</v>
      </c>
      <c r="EL77" s="20">
        <f>+MOP_Mes_Corriente!EL78*MOP_Mes_Constante!$EC$1</f>
        <v>524146.97121757228</v>
      </c>
      <c r="EM77" s="20">
        <f>+MOP_Mes_Corriente!EM78*MOP_Mes_Constante!$EC$1</f>
        <v>583328.60916493065</v>
      </c>
      <c r="EN77" s="20">
        <f>+MOP_Mes_Corriente!EN78*MOP_Mes_Constante!$EC$1</f>
        <v>653601.76121946576</v>
      </c>
      <c r="EO77" s="20">
        <f t="shared" si="105"/>
        <v>653601.76121946576</v>
      </c>
      <c r="EP77" s="20">
        <f>+MOP_Mes_Corriente!EP78*MOP_Mes_Constante!$EP$1</f>
        <v>0</v>
      </c>
      <c r="EQ77" s="20">
        <f>+MOP_Mes_Corriente!EQ78*MOP_Mes_Constante!$EP$1</f>
        <v>33966</v>
      </c>
      <c r="ER77" s="20">
        <f>+MOP_Mes_Corriente!ER78*MOP_Mes_Constante!$EP$1</f>
        <v>39677</v>
      </c>
      <c r="ES77" s="20">
        <f>+MOP_Mes_Corriente!ES78*MOP_Mes_Constante!$EP$1</f>
        <v>68547</v>
      </c>
      <c r="ET77" s="20">
        <f>+MOP_Mes_Corriente!ET78*MOP_Mes_Constante!$EP$1</f>
        <v>184933</v>
      </c>
      <c r="EU77" s="20">
        <f>+MOP_Mes_Corriente!EU78*MOP_Mes_Constante!$EP$1</f>
        <v>316527</v>
      </c>
      <c r="EV77" s="20">
        <f>+MOP_Mes_Corriente!EV78*MOP_Mes_Constante!$EP$1</f>
        <v>324773</v>
      </c>
      <c r="EW77" s="20">
        <f>+MOP_Mes_Corriente!EW78*MOP_Mes_Constante!$EP$1</f>
        <v>324773</v>
      </c>
      <c r="EX77" s="20">
        <f>+MOP_Mes_Corriente!EX78*MOP_Mes_Constante!$EP$1</f>
        <v>329257</v>
      </c>
      <c r="EY77" s="20">
        <f>+MOP_Mes_Corriente!EY78*MOP_Mes_Constante!$EP$1</f>
        <v>333451</v>
      </c>
      <c r="EZ77" s="20">
        <f>+MOP_Mes_Corriente!EZ78*MOP_Mes_Constante!$EP$1</f>
        <v>436896</v>
      </c>
      <c r="FA77" s="20">
        <f>+MOP_Mes_Corriente!FA78*MOP_Mes_Constante!$EP$1</f>
        <v>504566</v>
      </c>
      <c r="FB77" s="20">
        <f t="shared" si="106"/>
        <v>504566</v>
      </c>
      <c r="FC77" s="20">
        <f>+MOP_Mes_Corriente!FC78*MOP_Mes_Constante!$FC$1</f>
        <v>0</v>
      </c>
      <c r="FD77" s="20">
        <f>+MOP_Mes_Corriente!FD78*MOP_Mes_Constante!$FC$1</f>
        <v>0</v>
      </c>
      <c r="FE77" s="20">
        <f>+MOP_Mes_Corriente!FE78*MOP_Mes_Constante!$FC$1</f>
        <v>59187</v>
      </c>
      <c r="FF77" s="20">
        <f>+MOP_Mes_Corriente!FF78*MOP_Mes_Constante!$FC$1</f>
        <v>68554</v>
      </c>
      <c r="FG77" s="20">
        <f>+MOP_Mes_Corriente!FG78*MOP_Mes_Constante!$FC$1</f>
        <v>87338</v>
      </c>
      <c r="FH77" s="20">
        <f>+MOP_Mes_Corriente!FH78*MOP_Mes_Constante!$FC$1</f>
        <v>87338</v>
      </c>
      <c r="FI77" s="20">
        <f>+MOP_Mes_Corriente!FI78*MOP_Mes_Constante!$FC$1</f>
        <v>87338</v>
      </c>
      <c r="FJ77" s="10"/>
      <c r="FK77" s="10"/>
      <c r="FL77" s="10"/>
      <c r="FM77" s="10"/>
      <c r="FN77" s="10"/>
      <c r="FO77" s="20">
        <f t="shared" si="107"/>
        <v>87338</v>
      </c>
    </row>
    <row r="78" spans="1:171" ht="21.75" customHeight="1">
      <c r="A78" s="10"/>
      <c r="B78" s="15" t="s">
        <v>49</v>
      </c>
      <c r="C78" s="38">
        <f t="shared" ref="C78:AH78" si="108">SUM(C72:C77)</f>
        <v>2221.4957733946317</v>
      </c>
      <c r="D78" s="38">
        <f t="shared" si="108"/>
        <v>23647.344505413028</v>
      </c>
      <c r="E78" s="38">
        <f t="shared" si="108"/>
        <v>316123.22349102778</v>
      </c>
      <c r="F78" s="38">
        <f t="shared" si="108"/>
        <v>489326.97819961456</v>
      </c>
      <c r="G78" s="38">
        <f t="shared" si="108"/>
        <v>902142.79015275114</v>
      </c>
      <c r="H78" s="38">
        <f t="shared" si="108"/>
        <v>1676694.5943941867</v>
      </c>
      <c r="I78" s="38">
        <f t="shared" si="108"/>
        <v>2311838.2218597066</v>
      </c>
      <c r="J78" s="38">
        <f t="shared" si="108"/>
        <v>3230174.7601957587</v>
      </c>
      <c r="K78" s="38">
        <f t="shared" si="108"/>
        <v>4434483.1045528697</v>
      </c>
      <c r="L78" s="38">
        <f t="shared" si="108"/>
        <v>6043184.6970191328</v>
      </c>
      <c r="M78" s="38">
        <f t="shared" si="108"/>
        <v>7108796.19694498</v>
      </c>
      <c r="N78" s="38">
        <f t="shared" si="108"/>
        <v>22232258.179148752</v>
      </c>
      <c r="O78" s="38">
        <f t="shared" si="108"/>
        <v>22232258.179148752</v>
      </c>
      <c r="P78" s="38">
        <f t="shared" si="108"/>
        <v>152.11649382014485</v>
      </c>
      <c r="Q78" s="38">
        <f t="shared" si="108"/>
        <v>6887.1518681630887</v>
      </c>
      <c r="R78" s="38">
        <f t="shared" si="108"/>
        <v>30550.579911919296</v>
      </c>
      <c r="S78" s="38">
        <f t="shared" si="108"/>
        <v>333593.02315669821</v>
      </c>
      <c r="T78" s="38">
        <f t="shared" si="108"/>
        <v>1526863.0978832212</v>
      </c>
      <c r="U78" s="38">
        <f t="shared" si="108"/>
        <v>2798957.4561727503</v>
      </c>
      <c r="V78" s="38">
        <f t="shared" si="108"/>
        <v>3460046.425060377</v>
      </c>
      <c r="W78" s="38">
        <f t="shared" si="108"/>
        <v>9070630.4682483263</v>
      </c>
      <c r="X78" s="38">
        <f t="shared" si="108"/>
        <v>11183005.472936494</v>
      </c>
      <c r="Y78" s="38">
        <f t="shared" si="108"/>
        <v>12539201.625799116</v>
      </c>
      <c r="Z78" s="38">
        <f t="shared" si="108"/>
        <v>14095128.287256708</v>
      </c>
      <c r="AA78" s="38">
        <f t="shared" si="108"/>
        <v>23571996.717715576</v>
      </c>
      <c r="AB78" s="38">
        <f t="shared" si="108"/>
        <v>23571996.717715576</v>
      </c>
      <c r="AC78" s="38">
        <f t="shared" si="108"/>
        <v>287.1683497025868</v>
      </c>
      <c r="AD78" s="38">
        <f t="shared" si="108"/>
        <v>66296.592059759292</v>
      </c>
      <c r="AE78" s="38">
        <f t="shared" si="108"/>
        <v>566395.73882971366</v>
      </c>
      <c r="AF78" s="38">
        <f t="shared" si="108"/>
        <v>761488.84714345005</v>
      </c>
      <c r="AG78" s="38">
        <f t="shared" si="108"/>
        <v>1920624.2423571725</v>
      </c>
      <c r="AH78" s="38">
        <f t="shared" si="108"/>
        <v>1969356.7113017016</v>
      </c>
      <c r="AI78" s="38">
        <f t="shared" ref="AI78:BN78" si="109">SUM(AI72:AI77)</f>
        <v>3628801.3396043712</v>
      </c>
      <c r="AJ78" s="38">
        <f t="shared" si="109"/>
        <v>5660147.1177202929</v>
      </c>
      <c r="AK78" s="38">
        <f t="shared" si="109"/>
        <v>6698375.5692350259</v>
      </c>
      <c r="AL78" s="38">
        <f t="shared" si="109"/>
        <v>8328773.874671462</v>
      </c>
      <c r="AM78" s="38">
        <f t="shared" si="109"/>
        <v>9206525.0953105539</v>
      </c>
      <c r="AN78" s="38">
        <f t="shared" si="109"/>
        <v>12376070.184534514</v>
      </c>
      <c r="AO78" s="38">
        <f t="shared" si="109"/>
        <v>12376070.184534514</v>
      </c>
      <c r="AP78" s="38">
        <f t="shared" si="109"/>
        <v>1823.7094548897605</v>
      </c>
      <c r="AQ78" s="38">
        <f t="shared" si="109"/>
        <v>1185465.8274043011</v>
      </c>
      <c r="AR78" s="38">
        <f t="shared" si="109"/>
        <v>1201778.7163533072</v>
      </c>
      <c r="AS78" s="38">
        <f t="shared" si="109"/>
        <v>1434431.72568646</v>
      </c>
      <c r="AT78" s="38">
        <f t="shared" si="109"/>
        <v>1732661.4254024078</v>
      </c>
      <c r="AU78" s="38">
        <f t="shared" si="109"/>
        <v>1892145.851751657</v>
      </c>
      <c r="AV78" s="38">
        <f t="shared" si="109"/>
        <v>2379862.5107534151</v>
      </c>
      <c r="AW78" s="38">
        <f t="shared" si="109"/>
        <v>4014526.8938184762</v>
      </c>
      <c r="AX78" s="38">
        <f t="shared" si="109"/>
        <v>5657349.1992425257</v>
      </c>
      <c r="AY78" s="38">
        <f t="shared" si="109"/>
        <v>6336658.8029216826</v>
      </c>
      <c r="AZ78" s="38">
        <f t="shared" si="109"/>
        <v>8708975.2354930323</v>
      </c>
      <c r="BA78" s="38">
        <f t="shared" si="109"/>
        <v>30063545.919653725</v>
      </c>
      <c r="BB78" s="38">
        <f t="shared" si="109"/>
        <v>30063545.919653725</v>
      </c>
      <c r="BC78" s="38">
        <f t="shared" si="109"/>
        <v>285.28919952525393</v>
      </c>
      <c r="BD78" s="38">
        <f t="shared" si="109"/>
        <v>9126.372675722012</v>
      </c>
      <c r="BE78" s="38">
        <f t="shared" si="109"/>
        <v>394229.32981669536</v>
      </c>
      <c r="BF78" s="38">
        <f t="shared" si="109"/>
        <v>3368277.0201767124</v>
      </c>
      <c r="BG78" s="38">
        <f t="shared" si="109"/>
        <v>4004765.8694448117</v>
      </c>
      <c r="BH78" s="38">
        <f t="shared" si="109"/>
        <v>6891515.0647501005</v>
      </c>
      <c r="BI78" s="38">
        <f t="shared" si="109"/>
        <v>6952228.3526308872</v>
      </c>
      <c r="BJ78" s="38">
        <f t="shared" si="109"/>
        <v>7072572.8466306226</v>
      </c>
      <c r="BK78" s="38">
        <f t="shared" si="109"/>
        <v>7327570.961097193</v>
      </c>
      <c r="BL78" s="38">
        <f t="shared" si="109"/>
        <v>9490704.2737702783</v>
      </c>
      <c r="BM78" s="38">
        <f t="shared" si="109"/>
        <v>9786629.8615323771</v>
      </c>
      <c r="BN78" s="38">
        <f t="shared" si="109"/>
        <v>20291141.004615594</v>
      </c>
      <c r="BO78" s="38">
        <f t="shared" ref="BO78:CT78" si="110">SUM(BO72:BO77)</f>
        <v>20291141.004615594</v>
      </c>
      <c r="BP78" s="38">
        <f t="shared" si="110"/>
        <v>1282.8606914212551</v>
      </c>
      <c r="BQ78" s="38">
        <f t="shared" si="110"/>
        <v>35871.13521126761</v>
      </c>
      <c r="BR78" s="38">
        <f t="shared" si="110"/>
        <v>47847.765941101155</v>
      </c>
      <c r="BS78" s="38">
        <f t="shared" si="110"/>
        <v>104941.36209987197</v>
      </c>
      <c r="BT78" s="38">
        <f t="shared" si="110"/>
        <v>216720.91728553141</v>
      </c>
      <c r="BU78" s="38">
        <f t="shared" si="110"/>
        <v>318024.94263764407</v>
      </c>
      <c r="BV78" s="38">
        <f t="shared" si="110"/>
        <v>506087.84327784891</v>
      </c>
      <c r="BW78" s="38">
        <f t="shared" si="110"/>
        <v>782349.16517285537</v>
      </c>
      <c r="BX78" s="38">
        <f t="shared" si="110"/>
        <v>1123776.1728553139</v>
      </c>
      <c r="BY78" s="38">
        <f t="shared" si="110"/>
        <v>1218408.4832266327</v>
      </c>
      <c r="BZ78" s="38">
        <f t="shared" si="110"/>
        <v>2593577.7864276571</v>
      </c>
      <c r="CA78" s="38">
        <f t="shared" si="110"/>
        <v>12068023.012548016</v>
      </c>
      <c r="CB78" s="38">
        <f t="shared" si="110"/>
        <v>12068023.012548016</v>
      </c>
      <c r="CC78" s="38">
        <f t="shared" si="110"/>
        <v>952.27228646027606</v>
      </c>
      <c r="CD78" s="38">
        <f t="shared" si="110"/>
        <v>244714.95934352855</v>
      </c>
      <c r="CE78" s="38">
        <f t="shared" si="110"/>
        <v>329907.33010070876</v>
      </c>
      <c r="CF78" s="38">
        <f t="shared" si="110"/>
        <v>356987.99776202912</v>
      </c>
      <c r="CG78" s="38">
        <f t="shared" si="110"/>
        <v>770541.78440880287</v>
      </c>
      <c r="CH78" s="38">
        <f t="shared" si="110"/>
        <v>872248.81163744885</v>
      </c>
      <c r="CI78" s="38">
        <f t="shared" si="110"/>
        <v>912871.85080193961</v>
      </c>
      <c r="CJ78" s="38">
        <f t="shared" si="110"/>
        <v>1425103.3248787767</v>
      </c>
      <c r="CK78" s="38">
        <f t="shared" si="110"/>
        <v>2269036.6393136894</v>
      </c>
      <c r="CL78" s="38">
        <f t="shared" si="110"/>
        <v>2736818.3252517716</v>
      </c>
      <c r="CM78" s="38">
        <f t="shared" si="110"/>
        <v>3777708.9891831414</v>
      </c>
      <c r="CN78" s="38">
        <f t="shared" si="110"/>
        <v>11629035.052592317</v>
      </c>
      <c r="CO78" s="38">
        <f t="shared" si="110"/>
        <v>11629035.052592317</v>
      </c>
      <c r="CP78" s="38">
        <f t="shared" si="110"/>
        <v>0</v>
      </c>
      <c r="CQ78" s="38">
        <f t="shared" si="110"/>
        <v>539909.17726218095</v>
      </c>
      <c r="CR78" s="38">
        <f t="shared" si="110"/>
        <v>1864452.1865429231</v>
      </c>
      <c r="CS78" s="38">
        <f t="shared" si="110"/>
        <v>1870268.8238979115</v>
      </c>
      <c r="CT78" s="38">
        <f t="shared" si="110"/>
        <v>1889915.3436194893</v>
      </c>
      <c r="CU78" s="38">
        <f t="shared" ref="CU78:DZ78" si="111">SUM(CU72:CU77)</f>
        <v>2264236.0475638043</v>
      </c>
      <c r="CV78" s="38">
        <f t="shared" si="111"/>
        <v>3338159.1786542917</v>
      </c>
      <c r="CW78" s="38">
        <f t="shared" si="111"/>
        <v>3550667.3436194886</v>
      </c>
      <c r="CX78" s="38">
        <f t="shared" si="111"/>
        <v>3720827.752204176</v>
      </c>
      <c r="CY78" s="38">
        <f t="shared" si="111"/>
        <v>3928893.2686774931</v>
      </c>
      <c r="CZ78" s="38">
        <f t="shared" si="111"/>
        <v>4974568.5069605559</v>
      </c>
      <c r="DA78" s="38">
        <f t="shared" si="111"/>
        <v>8058666.4976798128</v>
      </c>
      <c r="DB78" s="38">
        <f t="shared" si="111"/>
        <v>8058666.4976798128</v>
      </c>
      <c r="DC78" s="38">
        <f t="shared" si="111"/>
        <v>0</v>
      </c>
      <c r="DD78" s="38">
        <f t="shared" si="111"/>
        <v>0</v>
      </c>
      <c r="DE78" s="38">
        <f t="shared" si="111"/>
        <v>446.21150087439582</v>
      </c>
      <c r="DF78" s="38">
        <f t="shared" si="111"/>
        <v>519.2687995062239</v>
      </c>
      <c r="DG78" s="38">
        <f t="shared" si="111"/>
        <v>124668.34626067283</v>
      </c>
      <c r="DH78" s="38">
        <f t="shared" si="111"/>
        <v>159704.37876761658</v>
      </c>
      <c r="DI78" s="38">
        <f t="shared" si="111"/>
        <v>174413.6228783048</v>
      </c>
      <c r="DJ78" s="38">
        <f t="shared" si="111"/>
        <v>253240.20018516626</v>
      </c>
      <c r="DK78" s="38">
        <f t="shared" si="111"/>
        <v>626005.51280732465</v>
      </c>
      <c r="DL78" s="38">
        <f t="shared" si="111"/>
        <v>904589.85186709231</v>
      </c>
      <c r="DM78" s="38">
        <f t="shared" si="111"/>
        <v>2975792.3670404297</v>
      </c>
      <c r="DN78" s="38">
        <f t="shared" si="111"/>
        <v>13152988.774817413</v>
      </c>
      <c r="DO78" s="38">
        <f t="shared" si="111"/>
        <v>13152988.774817413</v>
      </c>
      <c r="DP78" s="38">
        <f t="shared" si="111"/>
        <v>22226.14845605701</v>
      </c>
      <c r="DQ78" s="38">
        <f t="shared" si="111"/>
        <v>29462.568883610456</v>
      </c>
      <c r="DR78" s="38">
        <f t="shared" si="111"/>
        <v>67686.267220902606</v>
      </c>
      <c r="DS78" s="38">
        <f t="shared" si="111"/>
        <v>158468.09144893111</v>
      </c>
      <c r="DT78" s="38">
        <f t="shared" si="111"/>
        <v>490881.69299287413</v>
      </c>
      <c r="DU78" s="38">
        <f t="shared" si="111"/>
        <v>700770.32600950124</v>
      </c>
      <c r="DV78" s="38">
        <f t="shared" si="111"/>
        <v>1200955.9881235156</v>
      </c>
      <c r="DW78" s="38">
        <f t="shared" si="111"/>
        <v>1256138.5599762471</v>
      </c>
      <c r="DX78" s="38">
        <f t="shared" si="111"/>
        <v>1951986.5629453682</v>
      </c>
      <c r="DY78" s="38">
        <f t="shared" si="111"/>
        <v>2279263.7333729221</v>
      </c>
      <c r="DZ78" s="38">
        <f t="shared" si="111"/>
        <v>3030629.5279097389</v>
      </c>
      <c r="EA78" s="38">
        <f t="shared" ref="EA78:FF78" si="112">SUM(EA72:EA77)</f>
        <v>10320825.685866984</v>
      </c>
      <c r="EB78" s="38">
        <f t="shared" si="112"/>
        <v>10320825.685866984</v>
      </c>
      <c r="EC78" s="38">
        <f t="shared" si="112"/>
        <v>10423.250899450859</v>
      </c>
      <c r="ED78" s="38">
        <f t="shared" si="112"/>
        <v>60256.445180836949</v>
      </c>
      <c r="EE78" s="38">
        <f t="shared" si="112"/>
        <v>106724.53077068734</v>
      </c>
      <c r="EF78" s="38">
        <f t="shared" si="112"/>
        <v>116732.96193902666</v>
      </c>
      <c r="EG78" s="38">
        <f t="shared" si="112"/>
        <v>400413.79700814228</v>
      </c>
      <c r="EH78" s="38">
        <f t="shared" si="112"/>
        <v>1360972.8490816129</v>
      </c>
      <c r="EI78" s="38">
        <f t="shared" si="112"/>
        <v>1490743.150350312</v>
      </c>
      <c r="EJ78" s="38">
        <f t="shared" si="112"/>
        <v>1883314.6820677894</v>
      </c>
      <c r="EK78" s="38">
        <f t="shared" si="112"/>
        <v>3518182.3446316971</v>
      </c>
      <c r="EL78" s="38">
        <f t="shared" si="112"/>
        <v>4028342.3393296716</v>
      </c>
      <c r="EM78" s="38">
        <f t="shared" si="112"/>
        <v>4525617.0607839413</v>
      </c>
      <c r="EN78" s="38">
        <f t="shared" si="112"/>
        <v>7007325.2391592488</v>
      </c>
      <c r="EO78" s="38">
        <f t="shared" si="112"/>
        <v>7007325.2391592488</v>
      </c>
      <c r="EP78" s="38">
        <f t="shared" si="112"/>
        <v>0</v>
      </c>
      <c r="EQ78" s="38">
        <f t="shared" si="112"/>
        <v>131595</v>
      </c>
      <c r="ER78" s="38">
        <f t="shared" si="112"/>
        <v>137588</v>
      </c>
      <c r="ES78" s="38">
        <f t="shared" si="112"/>
        <v>178149</v>
      </c>
      <c r="ET78" s="38">
        <f t="shared" si="112"/>
        <v>442262</v>
      </c>
      <c r="EU78" s="38">
        <f t="shared" si="112"/>
        <v>672312</v>
      </c>
      <c r="EV78" s="38">
        <f t="shared" si="112"/>
        <v>1232379</v>
      </c>
      <c r="EW78" s="38">
        <f t="shared" si="112"/>
        <v>2124234</v>
      </c>
      <c r="EX78" s="38">
        <f t="shared" si="112"/>
        <v>2214112</v>
      </c>
      <c r="EY78" s="38">
        <f t="shared" si="112"/>
        <v>2549130</v>
      </c>
      <c r="EZ78" s="38">
        <f t="shared" si="112"/>
        <v>3427048</v>
      </c>
      <c r="FA78" s="38">
        <f t="shared" si="112"/>
        <v>5904453</v>
      </c>
      <c r="FB78" s="38">
        <f t="shared" si="112"/>
        <v>5904453</v>
      </c>
      <c r="FC78" s="38">
        <f t="shared" si="112"/>
        <v>70510</v>
      </c>
      <c r="FD78" s="38">
        <f t="shared" si="112"/>
        <v>70510</v>
      </c>
      <c r="FE78" s="38">
        <f t="shared" si="112"/>
        <v>136258</v>
      </c>
      <c r="FF78" s="38">
        <f t="shared" si="112"/>
        <v>175936</v>
      </c>
      <c r="FG78" s="38">
        <f t="shared" ref="FG78:GL78" si="113">SUM(FG72:FG77)</f>
        <v>500946</v>
      </c>
      <c r="FH78" s="38">
        <f t="shared" si="113"/>
        <v>1117642</v>
      </c>
      <c r="FI78" s="38">
        <f t="shared" si="113"/>
        <v>1241894</v>
      </c>
      <c r="FJ78" s="38">
        <f t="shared" si="113"/>
        <v>0</v>
      </c>
      <c r="FK78" s="38">
        <f t="shared" si="113"/>
        <v>0</v>
      </c>
      <c r="FL78" s="38">
        <f t="shared" si="113"/>
        <v>0</v>
      </c>
      <c r="FM78" s="38">
        <f t="shared" si="113"/>
        <v>0</v>
      </c>
      <c r="FN78" s="38">
        <f t="shared" si="113"/>
        <v>0</v>
      </c>
      <c r="FO78" s="38">
        <f t="shared" si="113"/>
        <v>1241894</v>
      </c>
    </row>
    <row r="79" spans="1:171" ht="14.25" customHeight="1">
      <c r="A79" s="10"/>
      <c r="B79" s="18" t="s">
        <v>54</v>
      </c>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row>
    <row r="80" spans="1:171"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row>
    <row r="81" spans="1:17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row>
    <row r="82" spans="1:171" ht="25.5" customHeight="1">
      <c r="A82" s="10"/>
      <c r="B82" s="106" t="s">
        <v>61</v>
      </c>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c r="BW82" s="105"/>
      <c r="BX82" s="105"/>
      <c r="BY82" s="105"/>
      <c r="BZ82" s="105"/>
      <c r="CA82" s="105"/>
      <c r="CB82" s="105"/>
      <c r="CC82" s="105"/>
      <c r="CD82" s="105"/>
      <c r="CE82" s="105"/>
      <c r="CF82" s="105"/>
      <c r="CG82" s="105"/>
      <c r="CH82" s="105"/>
      <c r="CI82" s="105"/>
      <c r="CJ82" s="105"/>
      <c r="CK82" s="105"/>
      <c r="CL82" s="105"/>
      <c r="CM82" s="105"/>
      <c r="CN82" s="105"/>
      <c r="CO82" s="105"/>
      <c r="CP82" s="105"/>
      <c r="CQ82" s="105"/>
      <c r="CR82" s="105"/>
      <c r="CS82" s="105"/>
      <c r="CT82" s="105"/>
      <c r="CU82" s="105"/>
      <c r="CV82" s="105"/>
      <c r="CW82" s="105"/>
      <c r="CX82" s="105"/>
      <c r="CY82" s="105"/>
      <c r="CZ82" s="105"/>
      <c r="DA82" s="105"/>
      <c r="DB82" s="105"/>
      <c r="DC82" s="105"/>
      <c r="DD82" s="105"/>
      <c r="DE82" s="105"/>
      <c r="DF82" s="105"/>
      <c r="DG82" s="105"/>
      <c r="DH82" s="105"/>
      <c r="DI82" s="105"/>
      <c r="DJ82" s="105"/>
      <c r="DK82" s="105"/>
      <c r="DL82" s="105"/>
      <c r="DM82" s="105"/>
      <c r="DN82" s="105"/>
      <c r="DO82" s="105"/>
      <c r="DP82" s="105"/>
      <c r="DQ82" s="105"/>
      <c r="DR82" s="105"/>
      <c r="DS82" s="105"/>
      <c r="DT82" s="105"/>
      <c r="DU82" s="105"/>
      <c r="DV82" s="105"/>
      <c r="DW82" s="105"/>
      <c r="DX82" s="105"/>
      <c r="DY82" s="105"/>
      <c r="DZ82" s="105"/>
      <c r="EA82" s="105"/>
      <c r="EB82" s="105"/>
      <c r="EC82" s="105"/>
      <c r="ED82" s="105"/>
      <c r="EE82" s="105"/>
      <c r="EF82" s="105"/>
      <c r="EG82" s="105"/>
      <c r="EH82" s="105"/>
      <c r="EI82" s="105"/>
      <c r="EJ82" s="105"/>
      <c r="EK82" s="105"/>
      <c r="EL82" s="105"/>
      <c r="EM82" s="105"/>
      <c r="EN82" s="105"/>
      <c r="EO82" s="105"/>
      <c r="EP82" s="105"/>
      <c r="EQ82" s="105"/>
      <c r="ER82" s="105"/>
      <c r="ES82" s="105"/>
      <c r="ET82" s="105"/>
      <c r="EU82" s="105"/>
      <c r="EV82" s="105"/>
      <c r="EW82" s="105"/>
      <c r="EX82" s="105"/>
      <c r="EY82" s="105"/>
      <c r="EZ82" s="105"/>
      <c r="FA82" s="105"/>
      <c r="FB82" s="105"/>
      <c r="FC82" s="105"/>
      <c r="FD82" s="105"/>
      <c r="FE82" s="105"/>
      <c r="FF82" s="105"/>
      <c r="FG82" s="105"/>
      <c r="FH82" s="105"/>
      <c r="FI82" s="105"/>
      <c r="FJ82" s="105"/>
      <c r="FK82" s="105"/>
      <c r="FL82" s="105"/>
      <c r="FM82" s="105"/>
      <c r="FN82" s="105"/>
      <c r="FO82" s="105"/>
    </row>
    <row r="83" spans="1:171"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row>
    <row r="84" spans="1:171" ht="15.75" customHeight="1">
      <c r="A84" s="10"/>
      <c r="B84" s="104" t="s">
        <v>62</v>
      </c>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5"/>
      <c r="BS84" s="105"/>
      <c r="BT84" s="105"/>
      <c r="BU84" s="105"/>
      <c r="BV84" s="105"/>
      <c r="BW84" s="105"/>
      <c r="BX84" s="105"/>
      <c r="BY84" s="105"/>
      <c r="BZ84" s="105"/>
      <c r="CA84" s="105"/>
      <c r="CB84" s="105"/>
      <c r="CC84" s="105"/>
      <c r="CD84" s="105"/>
      <c r="CE84" s="105"/>
      <c r="CF84" s="105"/>
      <c r="CG84" s="105"/>
      <c r="CH84" s="105"/>
      <c r="CI84" s="105"/>
      <c r="CJ84" s="105"/>
      <c r="CK84" s="105"/>
      <c r="CL84" s="105"/>
      <c r="CM84" s="105"/>
      <c r="CN84" s="105"/>
      <c r="CO84" s="105"/>
      <c r="CP84" s="105"/>
      <c r="CQ84" s="105"/>
      <c r="CR84" s="105"/>
      <c r="CS84" s="105"/>
      <c r="CT84" s="105"/>
      <c r="CU84" s="105"/>
      <c r="CV84" s="105"/>
      <c r="CW84" s="105"/>
      <c r="CX84" s="105"/>
      <c r="CY84" s="105"/>
      <c r="CZ84" s="105"/>
      <c r="DA84" s="105"/>
      <c r="DB84" s="105"/>
      <c r="DC84" s="105"/>
      <c r="DD84" s="105"/>
      <c r="DE84" s="105"/>
      <c r="DF84" s="105"/>
      <c r="DG84" s="105"/>
      <c r="DH84" s="105"/>
      <c r="DI84" s="105"/>
      <c r="DJ84" s="105"/>
      <c r="DK84" s="105"/>
      <c r="DL84" s="105"/>
      <c r="DM84" s="105"/>
      <c r="DN84" s="105"/>
      <c r="DO84" s="105"/>
      <c r="DP84" s="105"/>
      <c r="DQ84" s="105"/>
      <c r="DR84" s="105"/>
      <c r="DS84" s="105"/>
      <c r="DT84" s="105"/>
      <c r="DU84" s="105"/>
      <c r="DV84" s="105"/>
      <c r="DW84" s="105"/>
      <c r="DX84" s="105"/>
      <c r="DY84" s="105"/>
      <c r="DZ84" s="105"/>
      <c r="EA84" s="105"/>
      <c r="EB84" s="105"/>
      <c r="EC84" s="105"/>
      <c r="ED84" s="105"/>
      <c r="EE84" s="105"/>
      <c r="EF84" s="105"/>
      <c r="EG84" s="105"/>
      <c r="EH84" s="105"/>
      <c r="EI84" s="105"/>
      <c r="EJ84" s="105"/>
      <c r="EK84" s="105"/>
      <c r="EL84" s="105"/>
      <c r="EM84" s="105"/>
      <c r="EN84" s="105"/>
      <c r="EO84" s="105"/>
      <c r="EP84" s="105"/>
      <c r="EQ84" s="105"/>
      <c r="ER84" s="105"/>
      <c r="ES84" s="105"/>
      <c r="ET84" s="105"/>
      <c r="EU84" s="105"/>
      <c r="EV84" s="105"/>
      <c r="EW84" s="105"/>
      <c r="EX84" s="105"/>
      <c r="EY84" s="105"/>
      <c r="EZ84" s="105"/>
      <c r="FA84" s="105"/>
      <c r="FB84" s="105"/>
      <c r="FC84" s="105"/>
      <c r="FD84" s="105"/>
      <c r="FE84" s="105"/>
      <c r="FF84" s="105"/>
      <c r="FG84" s="105"/>
      <c r="FH84" s="105"/>
      <c r="FI84" s="105"/>
      <c r="FJ84" s="105"/>
      <c r="FK84" s="105"/>
      <c r="FL84" s="105"/>
      <c r="FM84" s="105"/>
      <c r="FN84" s="105"/>
      <c r="FO84" s="105"/>
    </row>
    <row r="85" spans="1:171" ht="21.75" customHeight="1">
      <c r="A85" s="10"/>
      <c r="B85" s="14"/>
      <c r="C85" s="102" t="s">
        <v>4</v>
      </c>
      <c r="D85" s="103"/>
      <c r="E85" s="103"/>
      <c r="F85" s="103"/>
      <c r="G85" s="103"/>
      <c r="H85" s="103"/>
      <c r="I85" s="103"/>
      <c r="J85" s="103"/>
      <c r="K85" s="103"/>
      <c r="L85" s="103"/>
      <c r="M85" s="103"/>
      <c r="N85" s="103"/>
      <c r="O85" s="103"/>
      <c r="P85" s="102" t="s">
        <v>5</v>
      </c>
      <c r="Q85" s="103"/>
      <c r="R85" s="103"/>
      <c r="S85" s="103"/>
      <c r="T85" s="103"/>
      <c r="U85" s="103"/>
      <c r="V85" s="103"/>
      <c r="W85" s="103"/>
      <c r="X85" s="103"/>
      <c r="Y85" s="103"/>
      <c r="Z85" s="103"/>
      <c r="AA85" s="103"/>
      <c r="AB85" s="103"/>
      <c r="AC85" s="102" t="s">
        <v>6</v>
      </c>
      <c r="AD85" s="103"/>
      <c r="AE85" s="103"/>
      <c r="AF85" s="103"/>
      <c r="AG85" s="103"/>
      <c r="AH85" s="103"/>
      <c r="AI85" s="103"/>
      <c r="AJ85" s="103"/>
      <c r="AK85" s="103"/>
      <c r="AL85" s="103"/>
      <c r="AM85" s="103"/>
      <c r="AN85" s="103"/>
      <c r="AO85" s="103"/>
      <c r="AP85" s="102" t="s">
        <v>7</v>
      </c>
      <c r="AQ85" s="103"/>
      <c r="AR85" s="103"/>
      <c r="AS85" s="103"/>
      <c r="AT85" s="103"/>
      <c r="AU85" s="103"/>
      <c r="AV85" s="103"/>
      <c r="AW85" s="103"/>
      <c r="AX85" s="103"/>
      <c r="AY85" s="103"/>
      <c r="AZ85" s="103"/>
      <c r="BA85" s="103"/>
      <c r="BB85" s="103"/>
      <c r="BC85" s="102" t="s">
        <v>8</v>
      </c>
      <c r="BD85" s="103"/>
      <c r="BE85" s="103"/>
      <c r="BF85" s="103"/>
      <c r="BG85" s="103"/>
      <c r="BH85" s="103"/>
      <c r="BI85" s="103"/>
      <c r="BJ85" s="103"/>
      <c r="BK85" s="103"/>
      <c r="BL85" s="103"/>
      <c r="BM85" s="103"/>
      <c r="BN85" s="103"/>
      <c r="BO85" s="103"/>
      <c r="BP85" s="102" t="s">
        <v>9</v>
      </c>
      <c r="BQ85" s="103"/>
      <c r="BR85" s="103"/>
      <c r="BS85" s="103"/>
      <c r="BT85" s="103"/>
      <c r="BU85" s="103"/>
      <c r="BV85" s="103"/>
      <c r="BW85" s="103"/>
      <c r="BX85" s="103"/>
      <c r="BY85" s="103"/>
      <c r="BZ85" s="103"/>
      <c r="CA85" s="103"/>
      <c r="CB85" s="103"/>
      <c r="CC85" s="102" t="s">
        <v>10</v>
      </c>
      <c r="CD85" s="103"/>
      <c r="CE85" s="103"/>
      <c r="CF85" s="103"/>
      <c r="CG85" s="103"/>
      <c r="CH85" s="103"/>
      <c r="CI85" s="103"/>
      <c r="CJ85" s="103"/>
      <c r="CK85" s="103"/>
      <c r="CL85" s="103"/>
      <c r="CM85" s="103"/>
      <c r="CN85" s="103"/>
      <c r="CO85" s="103"/>
      <c r="CP85" s="102" t="s">
        <v>57</v>
      </c>
      <c r="CQ85" s="103"/>
      <c r="CR85" s="103"/>
      <c r="CS85" s="103"/>
      <c r="CT85" s="103"/>
      <c r="CU85" s="103"/>
      <c r="CV85" s="103"/>
      <c r="CW85" s="103"/>
      <c r="CX85" s="103"/>
      <c r="CY85" s="103"/>
      <c r="CZ85" s="103"/>
      <c r="DA85" s="103"/>
      <c r="DB85" s="103"/>
      <c r="DC85" s="102" t="s">
        <v>58</v>
      </c>
      <c r="DD85" s="103"/>
      <c r="DE85" s="103"/>
      <c r="DF85" s="103"/>
      <c r="DG85" s="103"/>
      <c r="DH85" s="103"/>
      <c r="DI85" s="103"/>
      <c r="DJ85" s="103"/>
      <c r="DK85" s="103"/>
      <c r="DL85" s="103"/>
      <c r="DM85" s="103"/>
      <c r="DN85" s="103"/>
      <c r="DO85" s="103"/>
      <c r="DP85" s="102" t="s">
        <v>13</v>
      </c>
      <c r="DQ85" s="103"/>
      <c r="DR85" s="103"/>
      <c r="DS85" s="103"/>
      <c r="DT85" s="103"/>
      <c r="DU85" s="103"/>
      <c r="DV85" s="103"/>
      <c r="DW85" s="103"/>
      <c r="DX85" s="103"/>
      <c r="DY85" s="103"/>
      <c r="DZ85" s="103"/>
      <c r="EA85" s="103"/>
      <c r="EB85" s="103"/>
      <c r="EC85" s="102" t="s">
        <v>14</v>
      </c>
      <c r="ED85" s="103"/>
      <c r="EE85" s="103"/>
      <c r="EF85" s="103"/>
      <c r="EG85" s="103"/>
      <c r="EH85" s="103"/>
      <c r="EI85" s="103"/>
      <c r="EJ85" s="103"/>
      <c r="EK85" s="103"/>
      <c r="EL85" s="103"/>
      <c r="EM85" s="103"/>
      <c r="EN85" s="103"/>
      <c r="EO85" s="103"/>
      <c r="EP85" s="102" t="s">
        <v>15</v>
      </c>
      <c r="EQ85" s="103"/>
      <c r="ER85" s="103"/>
      <c r="ES85" s="103"/>
      <c r="ET85" s="103"/>
      <c r="EU85" s="103"/>
      <c r="EV85" s="103"/>
      <c r="EW85" s="103"/>
      <c r="EX85" s="103"/>
      <c r="EY85" s="103"/>
      <c r="EZ85" s="103"/>
      <c r="FA85" s="103"/>
      <c r="FB85" s="103"/>
      <c r="FC85" s="102" t="s">
        <v>16</v>
      </c>
      <c r="FD85" s="103"/>
      <c r="FE85" s="103"/>
      <c r="FF85" s="103"/>
      <c r="FG85" s="103"/>
      <c r="FH85" s="103"/>
      <c r="FI85" s="103"/>
      <c r="FJ85" s="103"/>
      <c r="FK85" s="103"/>
      <c r="FL85" s="103"/>
      <c r="FM85" s="103"/>
      <c r="FN85" s="103"/>
      <c r="FO85" s="103"/>
    </row>
    <row r="86" spans="1:171" ht="27.75" customHeight="1">
      <c r="A86" s="10"/>
      <c r="B86" s="15" t="s">
        <v>17</v>
      </c>
      <c r="C86" s="16" t="s">
        <v>18</v>
      </c>
      <c r="D86" s="16" t="s">
        <v>19</v>
      </c>
      <c r="E86" s="16" t="s">
        <v>20</v>
      </c>
      <c r="F86" s="16" t="s">
        <v>21</v>
      </c>
      <c r="G86" s="16" t="s">
        <v>22</v>
      </c>
      <c r="H86" s="16" t="s">
        <v>23</v>
      </c>
      <c r="I86" s="16" t="s">
        <v>24</v>
      </c>
      <c r="J86" s="16" t="s">
        <v>25</v>
      </c>
      <c r="K86" s="16" t="s">
        <v>26</v>
      </c>
      <c r="L86" s="16" t="s">
        <v>27</v>
      </c>
      <c r="M86" s="16" t="s">
        <v>28</v>
      </c>
      <c r="N86" s="16" t="s">
        <v>29</v>
      </c>
      <c r="O86" s="16" t="s">
        <v>30</v>
      </c>
      <c r="P86" s="16" t="s">
        <v>18</v>
      </c>
      <c r="Q86" s="16" t="s">
        <v>19</v>
      </c>
      <c r="R86" s="16" t="s">
        <v>20</v>
      </c>
      <c r="S86" s="16" t="s">
        <v>21</v>
      </c>
      <c r="T86" s="16" t="s">
        <v>22</v>
      </c>
      <c r="U86" s="16" t="s">
        <v>23</v>
      </c>
      <c r="V86" s="16" t="s">
        <v>24</v>
      </c>
      <c r="W86" s="16" t="s">
        <v>25</v>
      </c>
      <c r="X86" s="16" t="s">
        <v>26</v>
      </c>
      <c r="Y86" s="16" t="s">
        <v>27</v>
      </c>
      <c r="Z86" s="16" t="s">
        <v>28</v>
      </c>
      <c r="AA86" s="16" t="s">
        <v>29</v>
      </c>
      <c r="AB86" s="16" t="s">
        <v>31</v>
      </c>
      <c r="AC86" s="16" t="s">
        <v>18</v>
      </c>
      <c r="AD86" s="16" t="s">
        <v>19</v>
      </c>
      <c r="AE86" s="16" t="s">
        <v>20</v>
      </c>
      <c r="AF86" s="16" t="s">
        <v>21</v>
      </c>
      <c r="AG86" s="16" t="s">
        <v>22</v>
      </c>
      <c r="AH86" s="16" t="s">
        <v>23</v>
      </c>
      <c r="AI86" s="16" t="s">
        <v>24</v>
      </c>
      <c r="AJ86" s="16" t="s">
        <v>25</v>
      </c>
      <c r="AK86" s="16" t="s">
        <v>26</v>
      </c>
      <c r="AL86" s="16" t="s">
        <v>27</v>
      </c>
      <c r="AM86" s="16" t="s">
        <v>28</v>
      </c>
      <c r="AN86" s="16" t="s">
        <v>29</v>
      </c>
      <c r="AO86" s="16" t="s">
        <v>32</v>
      </c>
      <c r="AP86" s="16" t="s">
        <v>18</v>
      </c>
      <c r="AQ86" s="16" t="s">
        <v>19</v>
      </c>
      <c r="AR86" s="16" t="s">
        <v>20</v>
      </c>
      <c r="AS86" s="16" t="s">
        <v>21</v>
      </c>
      <c r="AT86" s="16" t="s">
        <v>22</v>
      </c>
      <c r="AU86" s="16" t="s">
        <v>23</v>
      </c>
      <c r="AV86" s="16" t="s">
        <v>24</v>
      </c>
      <c r="AW86" s="16" t="s">
        <v>25</v>
      </c>
      <c r="AX86" s="16" t="s">
        <v>26</v>
      </c>
      <c r="AY86" s="16" t="s">
        <v>27</v>
      </c>
      <c r="AZ86" s="16" t="s">
        <v>28</v>
      </c>
      <c r="BA86" s="16" t="s">
        <v>29</v>
      </c>
      <c r="BB86" s="16" t="s">
        <v>33</v>
      </c>
      <c r="BC86" s="16" t="s">
        <v>18</v>
      </c>
      <c r="BD86" s="16" t="s">
        <v>19</v>
      </c>
      <c r="BE86" s="16" t="s">
        <v>20</v>
      </c>
      <c r="BF86" s="16" t="s">
        <v>21</v>
      </c>
      <c r="BG86" s="16" t="s">
        <v>22</v>
      </c>
      <c r="BH86" s="16" t="s">
        <v>23</v>
      </c>
      <c r="BI86" s="16" t="s">
        <v>24</v>
      </c>
      <c r="BJ86" s="16" t="s">
        <v>25</v>
      </c>
      <c r="BK86" s="16" t="s">
        <v>26</v>
      </c>
      <c r="BL86" s="16" t="s">
        <v>27</v>
      </c>
      <c r="BM86" s="16" t="s">
        <v>28</v>
      </c>
      <c r="BN86" s="16" t="s">
        <v>29</v>
      </c>
      <c r="BO86" s="16" t="s">
        <v>34</v>
      </c>
      <c r="BP86" s="16" t="s">
        <v>18</v>
      </c>
      <c r="BQ86" s="16" t="s">
        <v>19</v>
      </c>
      <c r="BR86" s="16" t="s">
        <v>20</v>
      </c>
      <c r="BS86" s="16" t="s">
        <v>21</v>
      </c>
      <c r="BT86" s="16" t="s">
        <v>22</v>
      </c>
      <c r="BU86" s="16" t="s">
        <v>23</v>
      </c>
      <c r="BV86" s="16" t="s">
        <v>24</v>
      </c>
      <c r="BW86" s="16" t="s">
        <v>25</v>
      </c>
      <c r="BX86" s="16" t="s">
        <v>26</v>
      </c>
      <c r="BY86" s="16" t="s">
        <v>27</v>
      </c>
      <c r="BZ86" s="16" t="s">
        <v>28</v>
      </c>
      <c r="CA86" s="16" t="s">
        <v>29</v>
      </c>
      <c r="CB86" s="16" t="s">
        <v>35</v>
      </c>
      <c r="CC86" s="16" t="s">
        <v>18</v>
      </c>
      <c r="CD86" s="16" t="s">
        <v>19</v>
      </c>
      <c r="CE86" s="16" t="s">
        <v>20</v>
      </c>
      <c r="CF86" s="16" t="s">
        <v>21</v>
      </c>
      <c r="CG86" s="16" t="s">
        <v>22</v>
      </c>
      <c r="CH86" s="16" t="s">
        <v>23</v>
      </c>
      <c r="CI86" s="16" t="s">
        <v>24</v>
      </c>
      <c r="CJ86" s="16" t="s">
        <v>25</v>
      </c>
      <c r="CK86" s="16" t="s">
        <v>26</v>
      </c>
      <c r="CL86" s="16" t="s">
        <v>27</v>
      </c>
      <c r="CM86" s="16" t="s">
        <v>28</v>
      </c>
      <c r="CN86" s="16" t="s">
        <v>29</v>
      </c>
      <c r="CO86" s="16" t="s">
        <v>36</v>
      </c>
      <c r="CP86" s="16" t="s">
        <v>18</v>
      </c>
      <c r="CQ86" s="16" t="s">
        <v>19</v>
      </c>
      <c r="CR86" s="16" t="s">
        <v>20</v>
      </c>
      <c r="CS86" s="16" t="s">
        <v>21</v>
      </c>
      <c r="CT86" s="16" t="s">
        <v>22</v>
      </c>
      <c r="CU86" s="16" t="s">
        <v>23</v>
      </c>
      <c r="CV86" s="16" t="s">
        <v>24</v>
      </c>
      <c r="CW86" s="16" t="s">
        <v>25</v>
      </c>
      <c r="CX86" s="16" t="s">
        <v>26</v>
      </c>
      <c r="CY86" s="16" t="s">
        <v>27</v>
      </c>
      <c r="CZ86" s="16" t="s">
        <v>28</v>
      </c>
      <c r="DA86" s="16" t="s">
        <v>29</v>
      </c>
      <c r="DB86" s="16" t="s">
        <v>37</v>
      </c>
      <c r="DC86" s="16" t="s">
        <v>18</v>
      </c>
      <c r="DD86" s="16" t="s">
        <v>19</v>
      </c>
      <c r="DE86" s="16" t="s">
        <v>20</v>
      </c>
      <c r="DF86" s="16" t="s">
        <v>21</v>
      </c>
      <c r="DG86" s="16" t="s">
        <v>22</v>
      </c>
      <c r="DH86" s="16" t="s">
        <v>23</v>
      </c>
      <c r="DI86" s="16" t="s">
        <v>24</v>
      </c>
      <c r="DJ86" s="16" t="s">
        <v>25</v>
      </c>
      <c r="DK86" s="16" t="s">
        <v>26</v>
      </c>
      <c r="DL86" s="16" t="s">
        <v>27</v>
      </c>
      <c r="DM86" s="16" t="s">
        <v>28</v>
      </c>
      <c r="DN86" s="16" t="s">
        <v>29</v>
      </c>
      <c r="DO86" s="16" t="s">
        <v>38</v>
      </c>
      <c r="DP86" s="16" t="s">
        <v>18</v>
      </c>
      <c r="DQ86" s="16" t="s">
        <v>19</v>
      </c>
      <c r="DR86" s="16" t="s">
        <v>20</v>
      </c>
      <c r="DS86" s="16" t="s">
        <v>21</v>
      </c>
      <c r="DT86" s="16" t="s">
        <v>22</v>
      </c>
      <c r="DU86" s="16" t="s">
        <v>23</v>
      </c>
      <c r="DV86" s="16" t="s">
        <v>24</v>
      </c>
      <c r="DW86" s="16" t="s">
        <v>25</v>
      </c>
      <c r="DX86" s="16" t="s">
        <v>26</v>
      </c>
      <c r="DY86" s="16" t="s">
        <v>27</v>
      </c>
      <c r="DZ86" s="16" t="s">
        <v>28</v>
      </c>
      <c r="EA86" s="16" t="s">
        <v>29</v>
      </c>
      <c r="EB86" s="16" t="s">
        <v>39</v>
      </c>
      <c r="EC86" s="16" t="s">
        <v>18</v>
      </c>
      <c r="ED86" s="16" t="s">
        <v>19</v>
      </c>
      <c r="EE86" s="16" t="s">
        <v>20</v>
      </c>
      <c r="EF86" s="16" t="s">
        <v>21</v>
      </c>
      <c r="EG86" s="16" t="s">
        <v>22</v>
      </c>
      <c r="EH86" s="16" t="s">
        <v>23</v>
      </c>
      <c r="EI86" s="16" t="s">
        <v>24</v>
      </c>
      <c r="EJ86" s="16" t="s">
        <v>25</v>
      </c>
      <c r="EK86" s="16" t="s">
        <v>26</v>
      </c>
      <c r="EL86" s="16" t="s">
        <v>27</v>
      </c>
      <c r="EM86" s="16" t="s">
        <v>28</v>
      </c>
      <c r="EN86" s="16" t="s">
        <v>29</v>
      </c>
      <c r="EO86" s="16" t="s">
        <v>40</v>
      </c>
      <c r="EP86" s="16" t="s">
        <v>18</v>
      </c>
      <c r="EQ86" s="16" t="s">
        <v>19</v>
      </c>
      <c r="ER86" s="16" t="s">
        <v>20</v>
      </c>
      <c r="ES86" s="16" t="s">
        <v>21</v>
      </c>
      <c r="ET86" s="16" t="s">
        <v>22</v>
      </c>
      <c r="EU86" s="16" t="s">
        <v>23</v>
      </c>
      <c r="EV86" s="16" t="s">
        <v>24</v>
      </c>
      <c r="EW86" s="16" t="s">
        <v>25</v>
      </c>
      <c r="EX86" s="16" t="s">
        <v>26</v>
      </c>
      <c r="EY86" s="16" t="s">
        <v>27</v>
      </c>
      <c r="EZ86" s="16" t="s">
        <v>28</v>
      </c>
      <c r="FA86" s="16" t="s">
        <v>29</v>
      </c>
      <c r="FB86" s="16" t="s">
        <v>41</v>
      </c>
      <c r="FC86" s="16" t="s">
        <v>18</v>
      </c>
      <c r="FD86" s="16" t="s">
        <v>19</v>
      </c>
      <c r="FE86" s="16" t="s">
        <v>20</v>
      </c>
      <c r="FF86" s="16" t="s">
        <v>21</v>
      </c>
      <c r="FG86" s="16" t="s">
        <v>22</v>
      </c>
      <c r="FH86" s="16" t="s">
        <v>23</v>
      </c>
      <c r="FI86" s="16" t="s">
        <v>24</v>
      </c>
      <c r="FJ86" s="16" t="s">
        <v>25</v>
      </c>
      <c r="FK86" s="16" t="s">
        <v>26</v>
      </c>
      <c r="FL86" s="16" t="s">
        <v>27</v>
      </c>
      <c r="FM86" s="16" t="s">
        <v>28</v>
      </c>
      <c r="FN86" s="16" t="s">
        <v>29</v>
      </c>
      <c r="FO86" s="16" t="s">
        <v>42</v>
      </c>
    </row>
    <row r="87" spans="1:171" ht="27.75" customHeight="1">
      <c r="A87" s="10"/>
      <c r="B87" s="19" t="s">
        <v>43</v>
      </c>
      <c r="C87" s="20">
        <f>+MOP_Mes_Corriente!C88*MOP_Mes_Constante!$C$1</f>
        <v>0</v>
      </c>
      <c r="D87" s="20">
        <f>+MOP_Mes_Corriente!D88*MOP_Mes_Constante!$C$1</f>
        <v>0</v>
      </c>
      <c r="E87" s="20">
        <f>+MOP_Mes_Corriente!E88*MOP_Mes_Constante!$C$1</f>
        <v>0</v>
      </c>
      <c r="F87" s="20">
        <f>+MOP_Mes_Corriente!F88*MOP_Mes_Constante!$C$1</f>
        <v>0</v>
      </c>
      <c r="G87" s="20">
        <f>+MOP_Mes_Corriente!G88*MOP_Mes_Constante!$C$1</f>
        <v>0</v>
      </c>
      <c r="H87" s="20">
        <f>+MOP_Mes_Corriente!H88*MOP_Mes_Constante!$C$1</f>
        <v>0</v>
      </c>
      <c r="I87" s="20">
        <f>+MOP_Mes_Corriente!I88*MOP_Mes_Constante!$C$1</f>
        <v>0</v>
      </c>
      <c r="J87" s="20">
        <f>+MOP_Mes_Corriente!J88*MOP_Mes_Constante!$C$1</f>
        <v>0</v>
      </c>
      <c r="K87" s="20">
        <f>+MOP_Mes_Corriente!K88*MOP_Mes_Constante!$C$1</f>
        <v>0</v>
      </c>
      <c r="L87" s="20">
        <f>+MOP_Mes_Corriente!L88*MOP_Mes_Constante!$C$1</f>
        <v>0</v>
      </c>
      <c r="M87" s="20">
        <f>+MOP_Mes_Corriente!M88*MOP_Mes_Constante!$C$1</f>
        <v>0</v>
      </c>
      <c r="N87" s="20">
        <f>+MOP_Mes_Corriente!N88*MOP_Mes_Constante!$C$1</f>
        <v>0</v>
      </c>
      <c r="O87" s="20">
        <f t="shared" ref="O87:O92" si="114">N87</f>
        <v>0</v>
      </c>
      <c r="P87" s="20">
        <f>+MOP_Mes_Corriente!P88*MOP_Mes_Constante!$P$1</f>
        <v>0</v>
      </c>
      <c r="Q87" s="20">
        <f>+MOP_Mes_Corriente!Q88*MOP_Mes_Constante!$P$1</f>
        <v>0</v>
      </c>
      <c r="R87" s="20">
        <f>+MOP_Mes_Corriente!R88*MOP_Mes_Constante!$P$1</f>
        <v>0</v>
      </c>
      <c r="S87" s="20">
        <f>+MOP_Mes_Corriente!S88*MOP_Mes_Constante!$P$1</f>
        <v>0</v>
      </c>
      <c r="T87" s="20">
        <f>+MOP_Mes_Corriente!T88*MOP_Mes_Constante!$P$1</f>
        <v>0</v>
      </c>
      <c r="U87" s="20">
        <f>+MOP_Mes_Corriente!U88*MOP_Mes_Constante!$P$1</f>
        <v>0</v>
      </c>
      <c r="V87" s="20">
        <f>+MOP_Mes_Corriente!V88*MOP_Mes_Constante!$P$1</f>
        <v>0</v>
      </c>
      <c r="W87" s="20">
        <f>+MOP_Mes_Corriente!W88*MOP_Mes_Constante!$P$1</f>
        <v>0</v>
      </c>
      <c r="X87" s="20">
        <f>+MOP_Mes_Corriente!X88*MOP_Mes_Constante!$P$1</f>
        <v>0</v>
      </c>
      <c r="Y87" s="20">
        <f>+MOP_Mes_Corriente!Y88*MOP_Mes_Constante!$P$1</f>
        <v>0</v>
      </c>
      <c r="Z87" s="20">
        <f>+MOP_Mes_Corriente!Z88*MOP_Mes_Constante!$P$1</f>
        <v>0</v>
      </c>
      <c r="AA87" s="20">
        <f>+MOP_Mes_Corriente!AA88*MOP_Mes_Constante!$P$1</f>
        <v>0</v>
      </c>
      <c r="AB87" s="20">
        <f t="shared" ref="AB87:AB92" si="115">AA87</f>
        <v>0</v>
      </c>
      <c r="AC87" s="20">
        <f>+MOP_Mes_Corriente!AC88*MOP_Mes_Constante!$AC$1</f>
        <v>0</v>
      </c>
      <c r="AD87" s="20">
        <f>+MOP_Mes_Corriente!AD88*MOP_Mes_Constante!$AC$1</f>
        <v>0</v>
      </c>
      <c r="AE87" s="20">
        <f>+MOP_Mes_Corriente!AE88*MOP_Mes_Constante!$AC$1</f>
        <v>0</v>
      </c>
      <c r="AF87" s="20">
        <f>+MOP_Mes_Corriente!AF88*MOP_Mes_Constante!$AC$1</f>
        <v>0</v>
      </c>
      <c r="AG87" s="20">
        <f>+MOP_Mes_Corriente!AG88*MOP_Mes_Constante!$AC$1</f>
        <v>0</v>
      </c>
      <c r="AH87" s="20">
        <f>+MOP_Mes_Corriente!AH88*MOP_Mes_Constante!$AC$1</f>
        <v>0</v>
      </c>
      <c r="AI87" s="20">
        <f>+MOP_Mes_Corriente!AI88*MOP_Mes_Constante!$AC$1</f>
        <v>0</v>
      </c>
      <c r="AJ87" s="20">
        <f>+MOP_Mes_Corriente!AJ88*MOP_Mes_Constante!$AC$1</f>
        <v>0</v>
      </c>
      <c r="AK87" s="20">
        <f>+MOP_Mes_Corriente!AK88*MOP_Mes_Constante!$AC$1</f>
        <v>0</v>
      </c>
      <c r="AL87" s="20">
        <f>+MOP_Mes_Corriente!AL88*MOP_Mes_Constante!$AC$1</f>
        <v>0</v>
      </c>
      <c r="AM87" s="20">
        <f>+MOP_Mes_Corriente!AM88*MOP_Mes_Constante!$AC$1</f>
        <v>0</v>
      </c>
      <c r="AN87" s="20">
        <f>+MOP_Mes_Corriente!AN88*MOP_Mes_Constante!$AC$1</f>
        <v>0</v>
      </c>
      <c r="AO87" s="20">
        <f t="shared" ref="AO87:AO92" si="116">AN87</f>
        <v>0</v>
      </c>
      <c r="AP87" s="20">
        <f>+MOP_Mes_Corriente!AP88*MOP_Mes_Constante!$AP$1</f>
        <v>0</v>
      </c>
      <c r="AQ87" s="20">
        <f>+MOP_Mes_Corriente!AQ88*MOP_Mes_Constante!$AP$1</f>
        <v>0</v>
      </c>
      <c r="AR87" s="20">
        <f>+MOP_Mes_Corriente!AR88*MOP_Mes_Constante!$AP$1</f>
        <v>0</v>
      </c>
      <c r="AS87" s="20">
        <f>+MOP_Mes_Corriente!AS88*MOP_Mes_Constante!$AP$1</f>
        <v>0</v>
      </c>
      <c r="AT87" s="20">
        <f>+MOP_Mes_Corriente!AT88*MOP_Mes_Constante!$AP$1</f>
        <v>0</v>
      </c>
      <c r="AU87" s="20">
        <f>+MOP_Mes_Corriente!AU88*MOP_Mes_Constante!$AP$1</f>
        <v>0</v>
      </c>
      <c r="AV87" s="20">
        <f>+MOP_Mes_Corriente!AV88*MOP_Mes_Constante!$AP$1</f>
        <v>0</v>
      </c>
      <c r="AW87" s="20">
        <f>+MOP_Mes_Corriente!AW88*MOP_Mes_Constante!$AP$1</f>
        <v>0</v>
      </c>
      <c r="AX87" s="20">
        <f>+MOP_Mes_Corriente!AX88*MOP_Mes_Constante!$AP$1</f>
        <v>0</v>
      </c>
      <c r="AY87" s="20">
        <f>+MOP_Mes_Corriente!AY88*MOP_Mes_Constante!$AP$1</f>
        <v>0</v>
      </c>
      <c r="AZ87" s="20">
        <f>+MOP_Mes_Corriente!AZ88*MOP_Mes_Constante!$AP$1</f>
        <v>0</v>
      </c>
      <c r="BA87" s="20">
        <f>+MOP_Mes_Corriente!BA88*MOP_Mes_Constante!$AP$1</f>
        <v>0</v>
      </c>
      <c r="BB87" s="20">
        <f t="shared" ref="BB87:BB92" si="117">BA87</f>
        <v>0</v>
      </c>
      <c r="BC87" s="20">
        <f>+MOP_Mes_Corriente!BC88*MOP_Mes_Constante!$BC$1</f>
        <v>0</v>
      </c>
      <c r="BD87" s="20">
        <f>+MOP_Mes_Corriente!BD88*MOP_Mes_Constante!$BC$1</f>
        <v>0</v>
      </c>
      <c r="BE87" s="20">
        <f>+MOP_Mes_Corriente!BE88*MOP_Mes_Constante!$BC$1</f>
        <v>0</v>
      </c>
      <c r="BF87" s="20">
        <f>+MOP_Mes_Corriente!BF88*MOP_Mes_Constante!$BC$1</f>
        <v>0</v>
      </c>
      <c r="BG87" s="20">
        <f>+MOP_Mes_Corriente!BG88*MOP_Mes_Constante!$BC$1</f>
        <v>0</v>
      </c>
      <c r="BH87" s="20">
        <f>+MOP_Mes_Corriente!BH88*MOP_Mes_Constante!$BC$1</f>
        <v>0</v>
      </c>
      <c r="BI87" s="20">
        <f>+MOP_Mes_Corriente!BI88*MOP_Mes_Constante!$BC$1</f>
        <v>0</v>
      </c>
      <c r="BJ87" s="20">
        <f>+MOP_Mes_Corriente!BJ88*MOP_Mes_Constante!$BC$1</f>
        <v>0</v>
      </c>
      <c r="BK87" s="20">
        <f>+MOP_Mes_Corriente!BK88*MOP_Mes_Constante!$BC$1</f>
        <v>0</v>
      </c>
      <c r="BL87" s="20">
        <f>+MOP_Mes_Corriente!BL88*MOP_Mes_Constante!$BC$1</f>
        <v>0</v>
      </c>
      <c r="BM87" s="20">
        <f>+MOP_Mes_Corriente!BM88*MOP_Mes_Constante!$BC$1</f>
        <v>0</v>
      </c>
      <c r="BN87" s="20">
        <f>+MOP_Mes_Corriente!BN88*MOP_Mes_Constante!$BC$1</f>
        <v>0</v>
      </c>
      <c r="BO87" s="20">
        <f t="shared" ref="BO87:BO92" si="118">BN87</f>
        <v>0</v>
      </c>
      <c r="BP87" s="20">
        <f>+MOP_Mes_Corriente!BP88*MOP_Mes_Constante!$BP$1</f>
        <v>0</v>
      </c>
      <c r="BQ87" s="20">
        <f>+MOP_Mes_Corriente!BQ88*MOP_Mes_Constante!$BP$1</f>
        <v>0</v>
      </c>
      <c r="BR87" s="20">
        <f>+MOP_Mes_Corriente!BR88*MOP_Mes_Constante!$BP$1</f>
        <v>0</v>
      </c>
      <c r="BS87" s="20">
        <f>+MOP_Mes_Corriente!BS88*MOP_Mes_Constante!$BP$1</f>
        <v>0</v>
      </c>
      <c r="BT87" s="20">
        <f>+MOP_Mes_Corriente!BT88*MOP_Mes_Constante!$BP$1</f>
        <v>0</v>
      </c>
      <c r="BU87" s="20">
        <f>+MOP_Mes_Corriente!BU88*MOP_Mes_Constante!$BP$1</f>
        <v>0</v>
      </c>
      <c r="BV87" s="20">
        <f>+MOP_Mes_Corriente!BV88*MOP_Mes_Constante!$BP$1</f>
        <v>0</v>
      </c>
      <c r="BW87" s="20">
        <f>+MOP_Mes_Corriente!BW88*MOP_Mes_Constante!$BP$1</f>
        <v>0</v>
      </c>
      <c r="BX87" s="20">
        <f>+MOP_Mes_Corriente!BX88*MOP_Mes_Constante!$BP$1</f>
        <v>0</v>
      </c>
      <c r="BY87" s="20">
        <f>+MOP_Mes_Corriente!BY88*MOP_Mes_Constante!$BP$1</f>
        <v>0</v>
      </c>
      <c r="BZ87" s="20">
        <f>+MOP_Mes_Corriente!BZ88*MOP_Mes_Constante!$BP$1</f>
        <v>0</v>
      </c>
      <c r="CA87" s="20">
        <f>+MOP_Mes_Corriente!CA88*MOP_Mes_Constante!$BP$1</f>
        <v>0</v>
      </c>
      <c r="CB87" s="20">
        <f t="shared" ref="CB87:CB92" si="119">CA87</f>
        <v>0</v>
      </c>
      <c r="CC87" s="20">
        <f>+MOP_Mes_Corriente!CC88*MOP_Mes_Constante!$CC$1</f>
        <v>0</v>
      </c>
      <c r="CD87" s="20">
        <f>+MOP_Mes_Corriente!CD88*MOP_Mes_Constante!$CC$1</f>
        <v>0</v>
      </c>
      <c r="CE87" s="20">
        <f>+MOP_Mes_Corriente!CE88*MOP_Mes_Constante!$CC$1</f>
        <v>0</v>
      </c>
      <c r="CF87" s="20">
        <f>+MOP_Mes_Corriente!CF88*MOP_Mes_Constante!$CC$1</f>
        <v>0</v>
      </c>
      <c r="CG87" s="20">
        <f>+MOP_Mes_Corriente!CG88*MOP_Mes_Constante!$CC$1</f>
        <v>0</v>
      </c>
      <c r="CH87" s="20">
        <f>+MOP_Mes_Corriente!CH88*MOP_Mes_Constante!$CC$1</f>
        <v>0</v>
      </c>
      <c r="CI87" s="20">
        <f>+MOP_Mes_Corriente!CI88*MOP_Mes_Constante!$CC$1</f>
        <v>0</v>
      </c>
      <c r="CJ87" s="20">
        <f>+MOP_Mes_Corriente!CJ88*MOP_Mes_Constante!$CC$1</f>
        <v>0</v>
      </c>
      <c r="CK87" s="20">
        <f>+MOP_Mes_Corriente!CK88*MOP_Mes_Constante!$CC$1</f>
        <v>0</v>
      </c>
      <c r="CL87" s="20">
        <f>+MOP_Mes_Corriente!CL88*MOP_Mes_Constante!$CC$1</f>
        <v>0</v>
      </c>
      <c r="CM87" s="20">
        <f>+MOP_Mes_Corriente!CM88*MOP_Mes_Constante!$CC$1</f>
        <v>0</v>
      </c>
      <c r="CN87" s="20">
        <f>+MOP_Mes_Corriente!CN88*MOP_Mes_Constante!$CC$1</f>
        <v>0</v>
      </c>
      <c r="CO87" s="20">
        <f t="shared" ref="CO87:CO92" si="120">CN87</f>
        <v>0</v>
      </c>
      <c r="CP87" s="20">
        <f>+MOP_Mes_Corriente!CP88*MOP_Mes_Constante!$CP$1</f>
        <v>0</v>
      </c>
      <c r="CQ87" s="20">
        <f>+MOP_Mes_Corriente!CQ88*MOP_Mes_Constante!$CP$1</f>
        <v>0</v>
      </c>
      <c r="CR87" s="20">
        <f>+MOP_Mes_Corriente!CR88*MOP_Mes_Constante!$CP$1</f>
        <v>0</v>
      </c>
      <c r="CS87" s="20">
        <f>+MOP_Mes_Corriente!CS88*MOP_Mes_Constante!$CP$1</f>
        <v>0</v>
      </c>
      <c r="CT87" s="20">
        <f>+MOP_Mes_Corriente!CT88*MOP_Mes_Constante!$CP$1</f>
        <v>0</v>
      </c>
      <c r="CU87" s="20">
        <f>+MOP_Mes_Corriente!CU88*MOP_Mes_Constante!$CP$1</f>
        <v>0</v>
      </c>
      <c r="CV87" s="20">
        <f>+MOP_Mes_Corriente!CV88*MOP_Mes_Constante!$CP$1</f>
        <v>0</v>
      </c>
      <c r="CW87" s="20">
        <f>+MOP_Mes_Corriente!CW88*MOP_Mes_Constante!$CP$1</f>
        <v>0</v>
      </c>
      <c r="CX87" s="20">
        <f>+MOP_Mes_Corriente!CX88*MOP_Mes_Constante!$CP$1</f>
        <v>0</v>
      </c>
      <c r="CY87" s="20">
        <f>+MOP_Mes_Corriente!CY88*MOP_Mes_Constante!$CP$1</f>
        <v>0</v>
      </c>
      <c r="CZ87" s="20">
        <f>+MOP_Mes_Corriente!CZ88*MOP_Mes_Constante!$CP$1</f>
        <v>0</v>
      </c>
      <c r="DA87" s="20">
        <f>+MOP_Mes_Corriente!DA88*MOP_Mes_Constante!$CP$1</f>
        <v>0</v>
      </c>
      <c r="DB87" s="20">
        <f t="shared" ref="DB87:DB92" si="121">DA87</f>
        <v>0</v>
      </c>
      <c r="DC87" s="20">
        <f>+MOP_Mes_Corriente!DC88*MOP_Mes_Constante!$DC$1</f>
        <v>0</v>
      </c>
      <c r="DD87" s="20">
        <f>+MOP_Mes_Corriente!DD88*MOP_Mes_Constante!$DC$1</f>
        <v>0</v>
      </c>
      <c r="DE87" s="20">
        <f>+MOP_Mes_Corriente!DE88*MOP_Mes_Constante!$DC$1</f>
        <v>0</v>
      </c>
      <c r="DF87" s="20">
        <f>+MOP_Mes_Corriente!DF88*MOP_Mes_Constante!$DC$1</f>
        <v>0</v>
      </c>
      <c r="DG87" s="20">
        <f>+MOP_Mes_Corriente!DG88*MOP_Mes_Constante!$DC$1</f>
        <v>0</v>
      </c>
      <c r="DH87" s="20">
        <f>+MOP_Mes_Corriente!DH88*MOP_Mes_Constante!$DC$1</f>
        <v>0</v>
      </c>
      <c r="DI87" s="20">
        <f>+MOP_Mes_Corriente!DI88*MOP_Mes_Constante!$DC$1</f>
        <v>0</v>
      </c>
      <c r="DJ87" s="20">
        <f>+MOP_Mes_Corriente!DJ88*MOP_Mes_Constante!$DC$1</f>
        <v>0</v>
      </c>
      <c r="DK87" s="20">
        <f>+MOP_Mes_Corriente!DK88*MOP_Mes_Constante!$DC$1</f>
        <v>0</v>
      </c>
      <c r="DL87" s="20">
        <f>+MOP_Mes_Corriente!DL88*MOP_Mes_Constante!$DC$1</f>
        <v>0</v>
      </c>
      <c r="DM87" s="20">
        <f>+MOP_Mes_Corriente!DM88*MOP_Mes_Constante!$DC$1</f>
        <v>0</v>
      </c>
      <c r="DN87" s="20">
        <f>+MOP_Mes_Corriente!DN88*MOP_Mes_Constante!$DC$1</f>
        <v>0</v>
      </c>
      <c r="DO87" s="20">
        <f t="shared" ref="DO87:DO92" si="122">DN87</f>
        <v>0</v>
      </c>
      <c r="DP87" s="20">
        <f>+MOP_Mes_Corriente!DP88*MOP_Mes_Constante!$DP$1</f>
        <v>0</v>
      </c>
      <c r="DQ87" s="20">
        <f>+MOP_Mes_Corriente!DQ88*MOP_Mes_Constante!$DP$1</f>
        <v>0</v>
      </c>
      <c r="DR87" s="20">
        <f>+MOP_Mes_Corriente!DR88*MOP_Mes_Constante!$DP$1</f>
        <v>0</v>
      </c>
      <c r="DS87" s="20">
        <f>+MOP_Mes_Corriente!DS88*MOP_Mes_Constante!$DP$1</f>
        <v>0</v>
      </c>
      <c r="DT87" s="20">
        <f>+MOP_Mes_Corriente!DT88*MOP_Mes_Constante!$DP$1</f>
        <v>0</v>
      </c>
      <c r="DU87" s="20">
        <f>+MOP_Mes_Corriente!DU88*MOP_Mes_Constante!$DP$1</f>
        <v>0</v>
      </c>
      <c r="DV87" s="20">
        <f>+MOP_Mes_Corriente!DV88*MOP_Mes_Constante!$DP$1</f>
        <v>0</v>
      </c>
      <c r="DW87" s="20">
        <f>+MOP_Mes_Corriente!DW88*MOP_Mes_Constante!$DP$1</f>
        <v>0</v>
      </c>
      <c r="DX87" s="20">
        <f>+MOP_Mes_Corriente!DX88*MOP_Mes_Constante!$DP$1</f>
        <v>0</v>
      </c>
      <c r="DY87" s="20">
        <f>+MOP_Mes_Corriente!DY88*MOP_Mes_Constante!$DP$1</f>
        <v>0</v>
      </c>
      <c r="DZ87" s="20">
        <f>+MOP_Mes_Corriente!DZ88*MOP_Mes_Constante!$DP$1</f>
        <v>0</v>
      </c>
      <c r="EA87" s="20">
        <f>+MOP_Mes_Corriente!EA88*MOP_Mes_Constante!$DP$1</f>
        <v>0</v>
      </c>
      <c r="EB87" s="20">
        <f t="shared" ref="EB87:EB92" si="123">EA87</f>
        <v>0</v>
      </c>
      <c r="EC87" s="20">
        <f>+MOP_Mes_Corriente!EC88*MOP_Mes_Constante!$EC$1</f>
        <v>0</v>
      </c>
      <c r="ED87" s="20">
        <f>+MOP_Mes_Corriente!ED88*MOP_Mes_Constante!$EC$1</f>
        <v>0</v>
      </c>
      <c r="EE87" s="20">
        <f>+MOP_Mes_Corriente!EE88*MOP_Mes_Constante!$EC$1</f>
        <v>0</v>
      </c>
      <c r="EF87" s="20">
        <f>+MOP_Mes_Corriente!EF88*MOP_Mes_Constante!$EC$1</f>
        <v>0</v>
      </c>
      <c r="EG87" s="20">
        <f>+MOP_Mes_Corriente!EG88*MOP_Mes_Constante!$EC$1</f>
        <v>0</v>
      </c>
      <c r="EH87" s="20">
        <f>+MOP_Mes_Corriente!EH88*MOP_Mes_Constante!$EC$1</f>
        <v>0</v>
      </c>
      <c r="EI87" s="20">
        <f>+MOP_Mes_Corriente!EI88*MOP_Mes_Constante!$EC$1</f>
        <v>0</v>
      </c>
      <c r="EJ87" s="20">
        <f>+MOP_Mes_Corriente!EJ88*MOP_Mes_Constante!$EC$1</f>
        <v>0</v>
      </c>
      <c r="EK87" s="20">
        <f>+MOP_Mes_Corriente!EK88*MOP_Mes_Constante!$EC$1</f>
        <v>0</v>
      </c>
      <c r="EL87" s="20">
        <f>+MOP_Mes_Corriente!EL88*MOP_Mes_Constante!$EC$1</f>
        <v>0</v>
      </c>
      <c r="EM87" s="20">
        <f>+MOP_Mes_Corriente!EM88*MOP_Mes_Constante!$EC$1</f>
        <v>0</v>
      </c>
      <c r="EN87" s="20">
        <f>+MOP_Mes_Corriente!EN88*MOP_Mes_Constante!$EC$1</f>
        <v>0</v>
      </c>
      <c r="EO87" s="20">
        <f t="shared" ref="EO87:EO92" si="124">EN87</f>
        <v>0</v>
      </c>
      <c r="EP87" s="20">
        <f>+MOP_Mes_Corriente!EP88*MOP_Mes_Constante!$EP$1</f>
        <v>0</v>
      </c>
      <c r="EQ87" s="20">
        <f>+MOP_Mes_Corriente!EQ88*MOP_Mes_Constante!$EP$1</f>
        <v>0</v>
      </c>
      <c r="ER87" s="20">
        <f>+MOP_Mes_Corriente!ER88*MOP_Mes_Constante!$EP$1</f>
        <v>0</v>
      </c>
      <c r="ES87" s="20">
        <f>+MOP_Mes_Corriente!ES88*MOP_Mes_Constante!$EP$1</f>
        <v>0</v>
      </c>
      <c r="ET87" s="20">
        <f>+MOP_Mes_Corriente!ET88*MOP_Mes_Constante!$EP$1</f>
        <v>0</v>
      </c>
      <c r="EU87" s="20">
        <f>+MOP_Mes_Corriente!EU88*MOP_Mes_Constante!$EP$1</f>
        <v>0</v>
      </c>
      <c r="EV87" s="20">
        <f>+MOP_Mes_Corriente!EV88*MOP_Mes_Constante!$EP$1</f>
        <v>0</v>
      </c>
      <c r="EW87" s="20">
        <f>+MOP_Mes_Corriente!EW88*MOP_Mes_Constante!$EP$1</f>
        <v>0</v>
      </c>
      <c r="EX87" s="20">
        <f>+MOP_Mes_Corriente!EX88*MOP_Mes_Constante!$EP$1</f>
        <v>0</v>
      </c>
      <c r="EY87" s="20">
        <f>+MOP_Mes_Corriente!EY88*MOP_Mes_Constante!$EP$1</f>
        <v>0</v>
      </c>
      <c r="EZ87" s="20">
        <f>+MOP_Mes_Corriente!EZ88*MOP_Mes_Constante!$EP$1</f>
        <v>0</v>
      </c>
      <c r="FA87" s="20">
        <f>+MOP_Mes_Corriente!FA88*MOP_Mes_Constante!$EP$1</f>
        <v>0</v>
      </c>
      <c r="FB87" s="20">
        <f t="shared" ref="FB87:FB92" si="125">FA87</f>
        <v>0</v>
      </c>
      <c r="FC87" s="20">
        <f>+MOP_Mes_Corriente!FC88*MOP_Mes_Constante!$FC$1</f>
        <v>0</v>
      </c>
      <c r="FD87" s="20">
        <f>+MOP_Mes_Corriente!FD88*MOP_Mes_Constante!$FC$1</f>
        <v>0</v>
      </c>
      <c r="FE87" s="20">
        <f>+MOP_Mes_Corriente!FE88*MOP_Mes_Constante!$FC$1</f>
        <v>0</v>
      </c>
      <c r="FF87" s="20">
        <f>+MOP_Mes_Corriente!FF88*MOP_Mes_Constante!$FC$1</f>
        <v>0</v>
      </c>
      <c r="FG87" s="20">
        <f>+MOP_Mes_Corriente!FG88*MOP_Mes_Constante!$FC$1</f>
        <v>0</v>
      </c>
      <c r="FH87" s="20">
        <f>+MOP_Mes_Corriente!FH88*MOP_Mes_Constante!$FC$1</f>
        <v>0</v>
      </c>
      <c r="FI87" s="20">
        <f>+MOP_Mes_Corriente!FI88*MOP_Mes_Constante!$FC$1</f>
        <v>0</v>
      </c>
      <c r="FJ87" s="10"/>
      <c r="FK87" s="10"/>
      <c r="FL87" s="10"/>
      <c r="FM87" s="10"/>
      <c r="FN87" s="10"/>
      <c r="FO87" s="20">
        <f t="shared" ref="FO87:FO92" si="126">FI87</f>
        <v>0</v>
      </c>
    </row>
    <row r="88" spans="1:171" ht="27.75" customHeight="1">
      <c r="A88" s="10"/>
      <c r="B88" s="19" t="s">
        <v>44</v>
      </c>
      <c r="C88" s="20">
        <f>+MOP_Mes_Corriente!C89*MOP_Mes_Constante!$C$1</f>
        <v>0</v>
      </c>
      <c r="D88" s="20">
        <f>+MOP_Mes_Corriente!D89*MOP_Mes_Constante!$C$1</f>
        <v>0</v>
      </c>
      <c r="E88" s="20">
        <f>+MOP_Mes_Corriente!E89*MOP_Mes_Constante!$C$1</f>
        <v>0</v>
      </c>
      <c r="F88" s="20">
        <f>+MOP_Mes_Corriente!F89*MOP_Mes_Constante!$C$1</f>
        <v>0</v>
      </c>
      <c r="G88" s="20">
        <f>+MOP_Mes_Corriente!G89*MOP_Mes_Constante!$C$1</f>
        <v>0</v>
      </c>
      <c r="H88" s="20">
        <f>+MOP_Mes_Corriente!H89*MOP_Mes_Constante!$C$1</f>
        <v>0</v>
      </c>
      <c r="I88" s="20">
        <f>+MOP_Mes_Corriente!I89*MOP_Mes_Constante!$C$1</f>
        <v>0</v>
      </c>
      <c r="J88" s="20">
        <f>+MOP_Mes_Corriente!J89*MOP_Mes_Constante!$C$1</f>
        <v>0</v>
      </c>
      <c r="K88" s="20">
        <f>+MOP_Mes_Corriente!K89*MOP_Mes_Constante!$C$1</f>
        <v>0</v>
      </c>
      <c r="L88" s="20">
        <f>+MOP_Mes_Corriente!L89*MOP_Mes_Constante!$C$1</f>
        <v>0</v>
      </c>
      <c r="M88" s="20">
        <f>+MOP_Mes_Corriente!M89*MOP_Mes_Constante!$C$1</f>
        <v>0</v>
      </c>
      <c r="N88" s="20">
        <f>+MOP_Mes_Corriente!N89*MOP_Mes_Constante!$C$1</f>
        <v>0</v>
      </c>
      <c r="O88" s="20">
        <f t="shared" si="114"/>
        <v>0</v>
      </c>
      <c r="P88" s="20">
        <f>+MOP_Mes_Corriente!P89*MOP_Mes_Constante!$P$1</f>
        <v>0</v>
      </c>
      <c r="Q88" s="20">
        <f>+MOP_Mes_Corriente!Q89*MOP_Mes_Constante!$P$1</f>
        <v>0</v>
      </c>
      <c r="R88" s="20">
        <f>+MOP_Mes_Corriente!R89*MOP_Mes_Constante!$P$1</f>
        <v>0</v>
      </c>
      <c r="S88" s="20">
        <f>+MOP_Mes_Corriente!S89*MOP_Mes_Constante!$P$1</f>
        <v>0</v>
      </c>
      <c r="T88" s="20">
        <f>+MOP_Mes_Corriente!T89*MOP_Mes_Constante!$P$1</f>
        <v>0</v>
      </c>
      <c r="U88" s="20">
        <f>+MOP_Mes_Corriente!U89*MOP_Mes_Constante!$P$1</f>
        <v>0</v>
      </c>
      <c r="V88" s="20">
        <f>+MOP_Mes_Corriente!V89*MOP_Mes_Constante!$P$1</f>
        <v>0</v>
      </c>
      <c r="W88" s="20">
        <f>+MOP_Mes_Corriente!W89*MOP_Mes_Constante!$P$1</f>
        <v>0</v>
      </c>
      <c r="X88" s="20">
        <f>+MOP_Mes_Corriente!X89*MOP_Mes_Constante!$P$1</f>
        <v>0</v>
      </c>
      <c r="Y88" s="20">
        <f>+MOP_Mes_Corriente!Y89*MOP_Mes_Constante!$P$1</f>
        <v>0</v>
      </c>
      <c r="Z88" s="20">
        <f>+MOP_Mes_Corriente!Z89*MOP_Mes_Constante!$P$1</f>
        <v>0</v>
      </c>
      <c r="AA88" s="20">
        <f>+MOP_Mes_Corriente!AA89*MOP_Mes_Constante!$P$1</f>
        <v>0</v>
      </c>
      <c r="AB88" s="20">
        <f t="shared" si="115"/>
        <v>0</v>
      </c>
      <c r="AC88" s="20">
        <f>+MOP_Mes_Corriente!AC89*MOP_Mes_Constante!$AC$1</f>
        <v>0</v>
      </c>
      <c r="AD88" s="20">
        <f>+MOP_Mes_Corriente!AD89*MOP_Mes_Constante!$AC$1</f>
        <v>0</v>
      </c>
      <c r="AE88" s="20">
        <f>+MOP_Mes_Corriente!AE89*MOP_Mes_Constante!$AC$1</f>
        <v>0</v>
      </c>
      <c r="AF88" s="20">
        <f>+MOP_Mes_Corriente!AF89*MOP_Mes_Constante!$AC$1</f>
        <v>0</v>
      </c>
      <c r="AG88" s="20">
        <f>+MOP_Mes_Corriente!AG89*MOP_Mes_Constante!$AC$1</f>
        <v>0</v>
      </c>
      <c r="AH88" s="20">
        <f>+MOP_Mes_Corriente!AH89*MOP_Mes_Constante!$AC$1</f>
        <v>0</v>
      </c>
      <c r="AI88" s="20">
        <f>+MOP_Mes_Corriente!AI89*MOP_Mes_Constante!$AC$1</f>
        <v>0</v>
      </c>
      <c r="AJ88" s="20">
        <f>+MOP_Mes_Corriente!AJ89*MOP_Mes_Constante!$AC$1</f>
        <v>0</v>
      </c>
      <c r="AK88" s="20">
        <f>+MOP_Mes_Corriente!AK89*MOP_Mes_Constante!$AC$1</f>
        <v>0</v>
      </c>
      <c r="AL88" s="20">
        <f>+MOP_Mes_Corriente!AL89*MOP_Mes_Constante!$AC$1</f>
        <v>0</v>
      </c>
      <c r="AM88" s="20">
        <f>+MOP_Mes_Corriente!AM89*MOP_Mes_Constante!$AC$1</f>
        <v>0</v>
      </c>
      <c r="AN88" s="20">
        <f>+MOP_Mes_Corriente!AN89*MOP_Mes_Constante!$AC$1</f>
        <v>0</v>
      </c>
      <c r="AO88" s="20">
        <f t="shared" si="116"/>
        <v>0</v>
      </c>
      <c r="AP88" s="20">
        <f>+MOP_Mes_Corriente!AP89*MOP_Mes_Constante!$AP$1</f>
        <v>0</v>
      </c>
      <c r="AQ88" s="20">
        <f>+MOP_Mes_Corriente!AQ89*MOP_Mes_Constante!$AP$1</f>
        <v>0</v>
      </c>
      <c r="AR88" s="20">
        <f>+MOP_Mes_Corriente!AR89*MOP_Mes_Constante!$AP$1</f>
        <v>0</v>
      </c>
      <c r="AS88" s="20">
        <f>+MOP_Mes_Corriente!AS89*MOP_Mes_Constante!$AP$1</f>
        <v>0</v>
      </c>
      <c r="AT88" s="20">
        <f>+MOP_Mes_Corriente!AT89*MOP_Mes_Constante!$AP$1</f>
        <v>0</v>
      </c>
      <c r="AU88" s="20">
        <f>+MOP_Mes_Corriente!AU89*MOP_Mes_Constante!$AP$1</f>
        <v>0</v>
      </c>
      <c r="AV88" s="20">
        <f>+MOP_Mes_Corriente!AV89*MOP_Mes_Constante!$AP$1</f>
        <v>0</v>
      </c>
      <c r="AW88" s="20">
        <f>+MOP_Mes_Corriente!AW89*MOP_Mes_Constante!$AP$1</f>
        <v>0</v>
      </c>
      <c r="AX88" s="20">
        <f>+MOP_Mes_Corriente!AX89*MOP_Mes_Constante!$AP$1</f>
        <v>0</v>
      </c>
      <c r="AY88" s="20">
        <f>+MOP_Mes_Corriente!AY89*MOP_Mes_Constante!$AP$1</f>
        <v>0</v>
      </c>
      <c r="AZ88" s="20">
        <f>+MOP_Mes_Corriente!AZ89*MOP_Mes_Constante!$AP$1</f>
        <v>0</v>
      </c>
      <c r="BA88" s="20">
        <f>+MOP_Mes_Corriente!BA89*MOP_Mes_Constante!$AP$1</f>
        <v>0</v>
      </c>
      <c r="BB88" s="20">
        <f t="shared" si="117"/>
        <v>0</v>
      </c>
      <c r="BC88" s="20">
        <f>+MOP_Mes_Corriente!BC89*MOP_Mes_Constante!$BC$1</f>
        <v>0</v>
      </c>
      <c r="BD88" s="20">
        <f>+MOP_Mes_Corriente!BD89*MOP_Mes_Constante!$BC$1</f>
        <v>0</v>
      </c>
      <c r="BE88" s="20">
        <f>+MOP_Mes_Corriente!BE89*MOP_Mes_Constante!$BC$1</f>
        <v>0</v>
      </c>
      <c r="BF88" s="20">
        <f>+MOP_Mes_Corriente!BF89*MOP_Mes_Constante!$BC$1</f>
        <v>0</v>
      </c>
      <c r="BG88" s="20">
        <f>+MOP_Mes_Corriente!BG89*MOP_Mes_Constante!$BC$1</f>
        <v>0</v>
      </c>
      <c r="BH88" s="20">
        <f>+MOP_Mes_Corriente!BH89*MOP_Mes_Constante!$BC$1</f>
        <v>0</v>
      </c>
      <c r="BI88" s="20">
        <f>+MOP_Mes_Corriente!BI89*MOP_Mes_Constante!$BC$1</f>
        <v>0</v>
      </c>
      <c r="BJ88" s="20">
        <f>+MOP_Mes_Corriente!BJ89*MOP_Mes_Constante!$BC$1</f>
        <v>0</v>
      </c>
      <c r="BK88" s="20">
        <f>+MOP_Mes_Corriente!BK89*MOP_Mes_Constante!$BC$1</f>
        <v>0</v>
      </c>
      <c r="BL88" s="20">
        <f>+MOP_Mes_Corriente!BL89*MOP_Mes_Constante!$BC$1</f>
        <v>0</v>
      </c>
      <c r="BM88" s="20">
        <f>+MOP_Mes_Corriente!BM89*MOP_Mes_Constante!$BC$1</f>
        <v>0</v>
      </c>
      <c r="BN88" s="20">
        <f>+MOP_Mes_Corriente!BN89*MOP_Mes_Constante!$BC$1</f>
        <v>0</v>
      </c>
      <c r="BO88" s="20">
        <f t="shared" si="118"/>
        <v>0</v>
      </c>
      <c r="BP88" s="20">
        <f>+MOP_Mes_Corriente!BP89*MOP_Mes_Constante!$BP$1</f>
        <v>0</v>
      </c>
      <c r="BQ88" s="20">
        <f>+MOP_Mes_Corriente!BQ89*MOP_Mes_Constante!$BP$1</f>
        <v>0</v>
      </c>
      <c r="BR88" s="20">
        <f>+MOP_Mes_Corriente!BR89*MOP_Mes_Constante!$BP$1</f>
        <v>0</v>
      </c>
      <c r="BS88" s="20">
        <f>+MOP_Mes_Corriente!BS89*MOP_Mes_Constante!$BP$1</f>
        <v>0</v>
      </c>
      <c r="BT88" s="20">
        <f>+MOP_Mes_Corriente!BT89*MOP_Mes_Constante!$BP$1</f>
        <v>0</v>
      </c>
      <c r="BU88" s="20">
        <f>+MOP_Mes_Corriente!BU89*MOP_Mes_Constante!$BP$1</f>
        <v>0</v>
      </c>
      <c r="BV88" s="20">
        <f>+MOP_Mes_Corriente!BV89*MOP_Mes_Constante!$BP$1</f>
        <v>0</v>
      </c>
      <c r="BW88" s="20">
        <f>+MOP_Mes_Corriente!BW89*MOP_Mes_Constante!$BP$1</f>
        <v>0</v>
      </c>
      <c r="BX88" s="20">
        <f>+MOP_Mes_Corriente!BX89*MOP_Mes_Constante!$BP$1</f>
        <v>0</v>
      </c>
      <c r="BY88" s="20">
        <f>+MOP_Mes_Corriente!BY89*MOP_Mes_Constante!$BP$1</f>
        <v>0</v>
      </c>
      <c r="BZ88" s="20">
        <f>+MOP_Mes_Corriente!BZ89*MOP_Mes_Constante!$BP$1</f>
        <v>0</v>
      </c>
      <c r="CA88" s="20">
        <f>+MOP_Mes_Corriente!CA89*MOP_Mes_Constante!$BP$1</f>
        <v>0</v>
      </c>
      <c r="CB88" s="20">
        <f t="shared" si="119"/>
        <v>0</v>
      </c>
      <c r="CC88" s="20">
        <f>+MOP_Mes_Corriente!CC89*MOP_Mes_Constante!$CC$1</f>
        <v>0</v>
      </c>
      <c r="CD88" s="20">
        <f>+MOP_Mes_Corriente!CD89*MOP_Mes_Constante!$CC$1</f>
        <v>0</v>
      </c>
      <c r="CE88" s="20">
        <f>+MOP_Mes_Corriente!CE89*MOP_Mes_Constante!$CC$1</f>
        <v>0</v>
      </c>
      <c r="CF88" s="20">
        <f>+MOP_Mes_Corriente!CF89*MOP_Mes_Constante!$CC$1</f>
        <v>0</v>
      </c>
      <c r="CG88" s="20">
        <f>+MOP_Mes_Corriente!CG89*MOP_Mes_Constante!$CC$1</f>
        <v>0</v>
      </c>
      <c r="CH88" s="20">
        <f>+MOP_Mes_Corriente!CH89*MOP_Mes_Constante!$CC$1</f>
        <v>0</v>
      </c>
      <c r="CI88" s="20">
        <f>+MOP_Mes_Corriente!CI89*MOP_Mes_Constante!$CC$1</f>
        <v>0</v>
      </c>
      <c r="CJ88" s="20">
        <f>+MOP_Mes_Corriente!CJ89*MOP_Mes_Constante!$CC$1</f>
        <v>0</v>
      </c>
      <c r="CK88" s="20">
        <f>+MOP_Mes_Corriente!CK89*MOP_Mes_Constante!$CC$1</f>
        <v>0</v>
      </c>
      <c r="CL88" s="20">
        <f>+MOP_Mes_Corriente!CL89*MOP_Mes_Constante!$CC$1</f>
        <v>0</v>
      </c>
      <c r="CM88" s="20">
        <f>+MOP_Mes_Corriente!CM89*MOP_Mes_Constante!$CC$1</f>
        <v>0</v>
      </c>
      <c r="CN88" s="20">
        <f>+MOP_Mes_Corriente!CN89*MOP_Mes_Constante!$CC$1</f>
        <v>0</v>
      </c>
      <c r="CO88" s="20">
        <f t="shared" si="120"/>
        <v>0</v>
      </c>
      <c r="CP88" s="20">
        <f>+MOP_Mes_Corriente!CP89*MOP_Mes_Constante!$CP$1</f>
        <v>0</v>
      </c>
      <c r="CQ88" s="20">
        <f>+MOP_Mes_Corriente!CQ89*MOP_Mes_Constante!$CP$1</f>
        <v>0</v>
      </c>
      <c r="CR88" s="20">
        <f>+MOP_Mes_Corriente!CR89*MOP_Mes_Constante!$CP$1</f>
        <v>0</v>
      </c>
      <c r="CS88" s="20">
        <f>+MOP_Mes_Corriente!CS89*MOP_Mes_Constante!$CP$1</f>
        <v>0</v>
      </c>
      <c r="CT88" s="20">
        <f>+MOP_Mes_Corriente!CT89*MOP_Mes_Constante!$CP$1</f>
        <v>0</v>
      </c>
      <c r="CU88" s="20">
        <f>+MOP_Mes_Corriente!CU89*MOP_Mes_Constante!$CP$1</f>
        <v>0</v>
      </c>
      <c r="CV88" s="20">
        <f>+MOP_Mes_Corriente!CV89*MOP_Mes_Constante!$CP$1</f>
        <v>0</v>
      </c>
      <c r="CW88" s="20">
        <f>+MOP_Mes_Corriente!CW89*MOP_Mes_Constante!$CP$1</f>
        <v>0</v>
      </c>
      <c r="CX88" s="20">
        <f>+MOP_Mes_Corriente!CX89*MOP_Mes_Constante!$CP$1</f>
        <v>0</v>
      </c>
      <c r="CY88" s="20">
        <f>+MOP_Mes_Corriente!CY89*MOP_Mes_Constante!$CP$1</f>
        <v>0</v>
      </c>
      <c r="CZ88" s="20">
        <f>+MOP_Mes_Corriente!CZ89*MOP_Mes_Constante!$CP$1</f>
        <v>0</v>
      </c>
      <c r="DA88" s="20">
        <f>+MOP_Mes_Corriente!DA89*MOP_Mes_Constante!$CP$1</f>
        <v>0</v>
      </c>
      <c r="DB88" s="20">
        <f t="shared" si="121"/>
        <v>0</v>
      </c>
      <c r="DC88" s="20">
        <f>+MOP_Mes_Corriente!DC89*MOP_Mes_Constante!$DC$1</f>
        <v>0</v>
      </c>
      <c r="DD88" s="20">
        <f>+MOP_Mes_Corriente!DD89*MOP_Mes_Constante!$DC$1</f>
        <v>0</v>
      </c>
      <c r="DE88" s="20">
        <f>+MOP_Mes_Corriente!DE89*MOP_Mes_Constante!$DC$1</f>
        <v>0</v>
      </c>
      <c r="DF88" s="20">
        <f>+MOP_Mes_Corriente!DF89*MOP_Mes_Constante!$DC$1</f>
        <v>0</v>
      </c>
      <c r="DG88" s="20">
        <f>+MOP_Mes_Corriente!DG89*MOP_Mes_Constante!$DC$1</f>
        <v>0</v>
      </c>
      <c r="DH88" s="20">
        <f>+MOP_Mes_Corriente!DH89*MOP_Mes_Constante!$DC$1</f>
        <v>0</v>
      </c>
      <c r="DI88" s="20">
        <f>+MOP_Mes_Corriente!DI89*MOP_Mes_Constante!$DC$1</f>
        <v>0</v>
      </c>
      <c r="DJ88" s="20">
        <f>+MOP_Mes_Corriente!DJ89*MOP_Mes_Constante!$DC$1</f>
        <v>0</v>
      </c>
      <c r="DK88" s="20">
        <f>+MOP_Mes_Corriente!DK89*MOP_Mes_Constante!$DC$1</f>
        <v>0</v>
      </c>
      <c r="DL88" s="20">
        <f>+MOP_Mes_Corriente!DL89*MOP_Mes_Constante!$DC$1</f>
        <v>0</v>
      </c>
      <c r="DM88" s="20">
        <f>+MOP_Mes_Corriente!DM89*MOP_Mes_Constante!$DC$1</f>
        <v>0</v>
      </c>
      <c r="DN88" s="20">
        <f>+MOP_Mes_Corriente!DN89*MOP_Mes_Constante!$DC$1</f>
        <v>0</v>
      </c>
      <c r="DO88" s="20">
        <f t="shared" si="122"/>
        <v>0</v>
      </c>
      <c r="DP88" s="20">
        <f>+MOP_Mes_Corriente!DP89*MOP_Mes_Constante!$DP$1</f>
        <v>0</v>
      </c>
      <c r="DQ88" s="20">
        <f>+MOP_Mes_Corriente!DQ89*MOP_Mes_Constante!$DP$1</f>
        <v>0</v>
      </c>
      <c r="DR88" s="20">
        <f>+MOP_Mes_Corriente!DR89*MOP_Mes_Constante!$DP$1</f>
        <v>0</v>
      </c>
      <c r="DS88" s="20">
        <f>+MOP_Mes_Corriente!DS89*MOP_Mes_Constante!$DP$1</f>
        <v>0</v>
      </c>
      <c r="DT88" s="20">
        <f>+MOP_Mes_Corriente!DT89*MOP_Mes_Constante!$DP$1</f>
        <v>0</v>
      </c>
      <c r="DU88" s="20">
        <f>+MOP_Mes_Corriente!DU89*MOP_Mes_Constante!$DP$1</f>
        <v>0</v>
      </c>
      <c r="DV88" s="20">
        <f>+MOP_Mes_Corriente!DV89*MOP_Mes_Constante!$DP$1</f>
        <v>0</v>
      </c>
      <c r="DW88" s="20">
        <f>+MOP_Mes_Corriente!DW89*MOP_Mes_Constante!$DP$1</f>
        <v>0</v>
      </c>
      <c r="DX88" s="20">
        <f>+MOP_Mes_Corriente!DX89*MOP_Mes_Constante!$DP$1</f>
        <v>0</v>
      </c>
      <c r="DY88" s="20">
        <f>+MOP_Mes_Corriente!DY89*MOP_Mes_Constante!$DP$1</f>
        <v>0</v>
      </c>
      <c r="DZ88" s="20">
        <f>+MOP_Mes_Corriente!DZ89*MOP_Mes_Constante!$DP$1</f>
        <v>0</v>
      </c>
      <c r="EA88" s="20">
        <f>+MOP_Mes_Corriente!EA89*MOP_Mes_Constante!$DP$1</f>
        <v>0</v>
      </c>
      <c r="EB88" s="20">
        <f t="shared" si="123"/>
        <v>0</v>
      </c>
      <c r="EC88" s="20">
        <f>+MOP_Mes_Corriente!EC89*MOP_Mes_Constante!$EC$1</f>
        <v>0</v>
      </c>
      <c r="ED88" s="20">
        <f>+MOP_Mes_Corriente!ED89*MOP_Mes_Constante!$EC$1</f>
        <v>0</v>
      </c>
      <c r="EE88" s="20">
        <f>+MOP_Mes_Corriente!EE89*MOP_Mes_Constante!$EC$1</f>
        <v>0</v>
      </c>
      <c r="EF88" s="20">
        <f>+MOP_Mes_Corriente!EF89*MOP_Mes_Constante!$EC$1</f>
        <v>0</v>
      </c>
      <c r="EG88" s="20">
        <f>+MOP_Mes_Corriente!EG89*MOP_Mes_Constante!$EC$1</f>
        <v>0</v>
      </c>
      <c r="EH88" s="20">
        <f>+MOP_Mes_Corriente!EH89*MOP_Mes_Constante!$EC$1</f>
        <v>0</v>
      </c>
      <c r="EI88" s="20">
        <f>+MOP_Mes_Corriente!EI89*MOP_Mes_Constante!$EC$1</f>
        <v>0</v>
      </c>
      <c r="EJ88" s="20">
        <f>+MOP_Mes_Corriente!EJ89*MOP_Mes_Constante!$EC$1</f>
        <v>0</v>
      </c>
      <c r="EK88" s="20">
        <f>+MOP_Mes_Corriente!EK89*MOP_Mes_Constante!$EC$1</f>
        <v>0</v>
      </c>
      <c r="EL88" s="20">
        <f>+MOP_Mes_Corriente!EL89*MOP_Mes_Constante!$EC$1</f>
        <v>0</v>
      </c>
      <c r="EM88" s="20">
        <f>+MOP_Mes_Corriente!EM89*MOP_Mes_Constante!$EC$1</f>
        <v>0</v>
      </c>
      <c r="EN88" s="20">
        <f>+MOP_Mes_Corriente!EN89*MOP_Mes_Constante!$EC$1</f>
        <v>0</v>
      </c>
      <c r="EO88" s="20">
        <f t="shared" si="124"/>
        <v>0</v>
      </c>
      <c r="EP88" s="20">
        <f>+MOP_Mes_Corriente!EP89*MOP_Mes_Constante!$EP$1</f>
        <v>0</v>
      </c>
      <c r="EQ88" s="20">
        <f>+MOP_Mes_Corriente!EQ89*MOP_Mes_Constante!$EP$1</f>
        <v>0</v>
      </c>
      <c r="ER88" s="20">
        <f>+MOP_Mes_Corriente!ER89*MOP_Mes_Constante!$EP$1</f>
        <v>0</v>
      </c>
      <c r="ES88" s="20">
        <f>+MOP_Mes_Corriente!ES89*MOP_Mes_Constante!$EP$1</f>
        <v>0</v>
      </c>
      <c r="ET88" s="20">
        <f>+MOP_Mes_Corriente!ET89*MOP_Mes_Constante!$EP$1</f>
        <v>0</v>
      </c>
      <c r="EU88" s="20">
        <f>+MOP_Mes_Corriente!EU89*MOP_Mes_Constante!$EP$1</f>
        <v>0</v>
      </c>
      <c r="EV88" s="20">
        <f>+MOP_Mes_Corriente!EV89*MOP_Mes_Constante!$EP$1</f>
        <v>0</v>
      </c>
      <c r="EW88" s="20">
        <f>+MOP_Mes_Corriente!EW89*MOP_Mes_Constante!$EP$1</f>
        <v>0</v>
      </c>
      <c r="EX88" s="20">
        <f>+MOP_Mes_Corriente!EX89*MOP_Mes_Constante!$EP$1</f>
        <v>0</v>
      </c>
      <c r="EY88" s="20">
        <f>+MOP_Mes_Corriente!EY89*MOP_Mes_Constante!$EP$1</f>
        <v>0</v>
      </c>
      <c r="EZ88" s="20">
        <f>+MOP_Mes_Corriente!EZ89*MOP_Mes_Constante!$EP$1</f>
        <v>0</v>
      </c>
      <c r="FA88" s="20">
        <f>+MOP_Mes_Corriente!FA89*MOP_Mes_Constante!$EP$1</f>
        <v>0</v>
      </c>
      <c r="FB88" s="20">
        <f t="shared" si="125"/>
        <v>0</v>
      </c>
      <c r="FC88" s="20">
        <f>+MOP_Mes_Corriente!FC89*MOP_Mes_Constante!$FC$1</f>
        <v>0</v>
      </c>
      <c r="FD88" s="20">
        <f>+MOP_Mes_Corriente!FD89*MOP_Mes_Constante!$FC$1</f>
        <v>0</v>
      </c>
      <c r="FE88" s="20">
        <f>+MOP_Mes_Corriente!FE89*MOP_Mes_Constante!$FC$1</f>
        <v>0</v>
      </c>
      <c r="FF88" s="20">
        <f>+MOP_Mes_Corriente!FF89*MOP_Mes_Constante!$FC$1</f>
        <v>0</v>
      </c>
      <c r="FG88" s="20">
        <f>+MOP_Mes_Corriente!FG89*MOP_Mes_Constante!$FC$1</f>
        <v>0</v>
      </c>
      <c r="FH88" s="20">
        <f>+MOP_Mes_Corriente!FH89*MOP_Mes_Constante!$FC$1</f>
        <v>0</v>
      </c>
      <c r="FI88" s="20">
        <f>+MOP_Mes_Corriente!FI89*MOP_Mes_Constante!$FC$1</f>
        <v>0</v>
      </c>
      <c r="FJ88" s="10"/>
      <c r="FK88" s="10"/>
      <c r="FL88" s="10"/>
      <c r="FM88" s="10"/>
      <c r="FN88" s="10"/>
      <c r="FO88" s="20">
        <f t="shared" si="126"/>
        <v>0</v>
      </c>
    </row>
    <row r="89" spans="1:171" ht="27.75" customHeight="1">
      <c r="A89" s="10"/>
      <c r="B89" s="19" t="s">
        <v>45</v>
      </c>
      <c r="C89" s="20">
        <f>+MOP_Mes_Corriente!C90*MOP_Mes_Constante!$C$1</f>
        <v>0</v>
      </c>
      <c r="D89" s="20">
        <f>+MOP_Mes_Corriente!D90*MOP_Mes_Constante!$C$1</f>
        <v>0</v>
      </c>
      <c r="E89" s="20">
        <f>+MOP_Mes_Corriente!E90*MOP_Mes_Constante!$C$1</f>
        <v>0</v>
      </c>
      <c r="F89" s="20">
        <f>+MOP_Mes_Corriente!F90*MOP_Mes_Constante!$C$1</f>
        <v>0</v>
      </c>
      <c r="G89" s="20">
        <f>+MOP_Mes_Corriente!G90*MOP_Mes_Constante!$C$1</f>
        <v>0</v>
      </c>
      <c r="H89" s="20">
        <f>+MOP_Mes_Corriente!H90*MOP_Mes_Constante!$C$1</f>
        <v>0</v>
      </c>
      <c r="I89" s="20">
        <f>+MOP_Mes_Corriente!I90*MOP_Mes_Constante!$C$1</f>
        <v>0</v>
      </c>
      <c r="J89" s="20">
        <f>+MOP_Mes_Corriente!J90*MOP_Mes_Constante!$C$1</f>
        <v>0</v>
      </c>
      <c r="K89" s="20">
        <f>+MOP_Mes_Corriente!K90*MOP_Mes_Constante!$C$1</f>
        <v>0</v>
      </c>
      <c r="L89" s="20">
        <f>+MOP_Mes_Corriente!L90*MOP_Mes_Constante!$C$1</f>
        <v>0</v>
      </c>
      <c r="M89" s="20">
        <f>+MOP_Mes_Corriente!M90*MOP_Mes_Constante!$C$1</f>
        <v>0</v>
      </c>
      <c r="N89" s="20">
        <f>+MOP_Mes_Corriente!N90*MOP_Mes_Constante!$C$1</f>
        <v>0</v>
      </c>
      <c r="O89" s="20">
        <f t="shared" si="114"/>
        <v>0</v>
      </c>
      <c r="P89" s="20">
        <f>+MOP_Mes_Corriente!P90*MOP_Mes_Constante!$P$1</f>
        <v>0</v>
      </c>
      <c r="Q89" s="20">
        <f>+MOP_Mes_Corriente!Q90*MOP_Mes_Constante!$P$1</f>
        <v>0</v>
      </c>
      <c r="R89" s="20">
        <f>+MOP_Mes_Corriente!R90*MOP_Mes_Constante!$P$1</f>
        <v>0</v>
      </c>
      <c r="S89" s="20">
        <f>+MOP_Mes_Corriente!S90*MOP_Mes_Constante!$P$1</f>
        <v>0</v>
      </c>
      <c r="T89" s="20">
        <f>+MOP_Mes_Corriente!T90*MOP_Mes_Constante!$P$1</f>
        <v>0</v>
      </c>
      <c r="U89" s="20">
        <f>+MOP_Mes_Corriente!U90*MOP_Mes_Constante!$P$1</f>
        <v>0</v>
      </c>
      <c r="V89" s="20">
        <f>+MOP_Mes_Corriente!V90*MOP_Mes_Constante!$P$1</f>
        <v>0</v>
      </c>
      <c r="W89" s="20">
        <f>+MOP_Mes_Corriente!W90*MOP_Mes_Constante!$P$1</f>
        <v>0</v>
      </c>
      <c r="X89" s="20">
        <f>+MOP_Mes_Corriente!X90*MOP_Mes_Constante!$P$1</f>
        <v>0</v>
      </c>
      <c r="Y89" s="20">
        <f>+MOP_Mes_Corriente!Y90*MOP_Mes_Constante!$P$1</f>
        <v>0</v>
      </c>
      <c r="Z89" s="20">
        <f>+MOP_Mes_Corriente!Z90*MOP_Mes_Constante!$P$1</f>
        <v>0</v>
      </c>
      <c r="AA89" s="20">
        <f>+MOP_Mes_Corriente!AA90*MOP_Mes_Constante!$P$1</f>
        <v>0</v>
      </c>
      <c r="AB89" s="20">
        <f t="shared" si="115"/>
        <v>0</v>
      </c>
      <c r="AC89" s="20">
        <f>+MOP_Mes_Corriente!AC90*MOP_Mes_Constante!$AC$1</f>
        <v>0</v>
      </c>
      <c r="AD89" s="20">
        <f>+MOP_Mes_Corriente!AD90*MOP_Mes_Constante!$AC$1</f>
        <v>0</v>
      </c>
      <c r="AE89" s="20">
        <f>+MOP_Mes_Corriente!AE90*MOP_Mes_Constante!$AC$1</f>
        <v>0</v>
      </c>
      <c r="AF89" s="20">
        <f>+MOP_Mes_Corriente!AF90*MOP_Mes_Constante!$AC$1</f>
        <v>0</v>
      </c>
      <c r="AG89" s="20">
        <f>+MOP_Mes_Corriente!AG90*MOP_Mes_Constante!$AC$1</f>
        <v>0</v>
      </c>
      <c r="AH89" s="20">
        <f>+MOP_Mes_Corriente!AH90*MOP_Mes_Constante!$AC$1</f>
        <v>0</v>
      </c>
      <c r="AI89" s="20">
        <f>+MOP_Mes_Corriente!AI90*MOP_Mes_Constante!$AC$1</f>
        <v>0</v>
      </c>
      <c r="AJ89" s="20">
        <f>+MOP_Mes_Corriente!AJ90*MOP_Mes_Constante!$AC$1</f>
        <v>0</v>
      </c>
      <c r="AK89" s="20">
        <f>+MOP_Mes_Corriente!AK90*MOP_Mes_Constante!$AC$1</f>
        <v>0</v>
      </c>
      <c r="AL89" s="20">
        <f>+MOP_Mes_Corriente!AL90*MOP_Mes_Constante!$AC$1</f>
        <v>0</v>
      </c>
      <c r="AM89" s="20">
        <f>+MOP_Mes_Corriente!AM90*MOP_Mes_Constante!$AC$1</f>
        <v>0</v>
      </c>
      <c r="AN89" s="20">
        <f>+MOP_Mes_Corriente!AN90*MOP_Mes_Constante!$AC$1</f>
        <v>0</v>
      </c>
      <c r="AO89" s="20">
        <f t="shared" si="116"/>
        <v>0</v>
      </c>
      <c r="AP89" s="20">
        <f>+MOP_Mes_Corriente!AP90*MOP_Mes_Constante!$AP$1</f>
        <v>0</v>
      </c>
      <c r="AQ89" s="20">
        <f>+MOP_Mes_Corriente!AQ90*MOP_Mes_Constante!$AP$1</f>
        <v>0</v>
      </c>
      <c r="AR89" s="20">
        <f>+MOP_Mes_Corriente!AR90*MOP_Mes_Constante!$AP$1</f>
        <v>0</v>
      </c>
      <c r="AS89" s="20">
        <f>+MOP_Mes_Corriente!AS90*MOP_Mes_Constante!$AP$1</f>
        <v>0</v>
      </c>
      <c r="AT89" s="20">
        <f>+MOP_Mes_Corriente!AT90*MOP_Mes_Constante!$AP$1</f>
        <v>0</v>
      </c>
      <c r="AU89" s="20">
        <f>+MOP_Mes_Corriente!AU90*MOP_Mes_Constante!$AP$1</f>
        <v>0</v>
      </c>
      <c r="AV89" s="20">
        <f>+MOP_Mes_Corriente!AV90*MOP_Mes_Constante!$AP$1</f>
        <v>0</v>
      </c>
      <c r="AW89" s="20">
        <f>+MOP_Mes_Corriente!AW90*MOP_Mes_Constante!$AP$1</f>
        <v>0</v>
      </c>
      <c r="AX89" s="20">
        <f>+MOP_Mes_Corriente!AX90*MOP_Mes_Constante!$AP$1</f>
        <v>0</v>
      </c>
      <c r="AY89" s="20">
        <f>+MOP_Mes_Corriente!AY90*MOP_Mes_Constante!$AP$1</f>
        <v>0</v>
      </c>
      <c r="AZ89" s="20">
        <f>+MOP_Mes_Corriente!AZ90*MOP_Mes_Constante!$AP$1</f>
        <v>0</v>
      </c>
      <c r="BA89" s="20">
        <f>+MOP_Mes_Corriente!BA90*MOP_Mes_Constante!$AP$1</f>
        <v>0</v>
      </c>
      <c r="BB89" s="20">
        <f t="shared" si="117"/>
        <v>0</v>
      </c>
      <c r="BC89" s="20">
        <f>+MOP_Mes_Corriente!BC90*MOP_Mes_Constante!$BC$1</f>
        <v>0</v>
      </c>
      <c r="BD89" s="20">
        <f>+MOP_Mes_Corriente!BD90*MOP_Mes_Constante!$BC$1</f>
        <v>0</v>
      </c>
      <c r="BE89" s="20">
        <f>+MOP_Mes_Corriente!BE90*MOP_Mes_Constante!$BC$1</f>
        <v>0</v>
      </c>
      <c r="BF89" s="20">
        <f>+MOP_Mes_Corriente!BF90*MOP_Mes_Constante!$BC$1</f>
        <v>0</v>
      </c>
      <c r="BG89" s="20">
        <f>+MOP_Mes_Corriente!BG90*MOP_Mes_Constante!$BC$1</f>
        <v>0</v>
      </c>
      <c r="BH89" s="20">
        <f>+MOP_Mes_Corriente!BH90*MOP_Mes_Constante!$BC$1</f>
        <v>0</v>
      </c>
      <c r="BI89" s="20">
        <f>+MOP_Mes_Corriente!BI90*MOP_Mes_Constante!$BC$1</f>
        <v>0</v>
      </c>
      <c r="BJ89" s="20">
        <f>+MOP_Mes_Corriente!BJ90*MOP_Mes_Constante!$BC$1</f>
        <v>0</v>
      </c>
      <c r="BK89" s="20">
        <f>+MOP_Mes_Corriente!BK90*MOP_Mes_Constante!$BC$1</f>
        <v>0</v>
      </c>
      <c r="BL89" s="20">
        <f>+MOP_Mes_Corriente!BL90*MOP_Mes_Constante!$BC$1</f>
        <v>0</v>
      </c>
      <c r="BM89" s="20">
        <f>+MOP_Mes_Corriente!BM90*MOP_Mes_Constante!$BC$1</f>
        <v>0</v>
      </c>
      <c r="BN89" s="20">
        <f>+MOP_Mes_Corriente!BN90*MOP_Mes_Constante!$BC$1</f>
        <v>0</v>
      </c>
      <c r="BO89" s="20">
        <f t="shared" si="118"/>
        <v>0</v>
      </c>
      <c r="BP89" s="20">
        <f>+MOP_Mes_Corriente!BP90*MOP_Mes_Constante!$BP$1</f>
        <v>0</v>
      </c>
      <c r="BQ89" s="20">
        <f>+MOP_Mes_Corriente!BQ90*MOP_Mes_Constante!$BP$1</f>
        <v>0</v>
      </c>
      <c r="BR89" s="20">
        <f>+MOP_Mes_Corriente!BR90*MOP_Mes_Constante!$BP$1</f>
        <v>0</v>
      </c>
      <c r="BS89" s="20">
        <f>+MOP_Mes_Corriente!BS90*MOP_Mes_Constante!$BP$1</f>
        <v>0</v>
      </c>
      <c r="BT89" s="20">
        <f>+MOP_Mes_Corriente!BT90*MOP_Mes_Constante!$BP$1</f>
        <v>0</v>
      </c>
      <c r="BU89" s="20">
        <f>+MOP_Mes_Corriente!BU90*MOP_Mes_Constante!$BP$1</f>
        <v>0</v>
      </c>
      <c r="BV89" s="20">
        <f>+MOP_Mes_Corriente!BV90*MOP_Mes_Constante!$BP$1</f>
        <v>0</v>
      </c>
      <c r="BW89" s="20">
        <f>+MOP_Mes_Corriente!BW90*MOP_Mes_Constante!$BP$1</f>
        <v>0</v>
      </c>
      <c r="BX89" s="20">
        <f>+MOP_Mes_Corriente!BX90*MOP_Mes_Constante!$BP$1</f>
        <v>0</v>
      </c>
      <c r="BY89" s="20">
        <f>+MOP_Mes_Corriente!BY90*MOP_Mes_Constante!$BP$1</f>
        <v>0</v>
      </c>
      <c r="BZ89" s="20">
        <f>+MOP_Mes_Corriente!BZ90*MOP_Mes_Constante!$BP$1</f>
        <v>0</v>
      </c>
      <c r="CA89" s="20">
        <f>+MOP_Mes_Corriente!CA90*MOP_Mes_Constante!$BP$1</f>
        <v>0</v>
      </c>
      <c r="CB89" s="20">
        <f t="shared" si="119"/>
        <v>0</v>
      </c>
      <c r="CC89" s="20">
        <f>+MOP_Mes_Corriente!CC90*MOP_Mes_Constante!$CC$1</f>
        <v>0</v>
      </c>
      <c r="CD89" s="20">
        <f>+MOP_Mes_Corriente!CD90*MOP_Mes_Constante!$CC$1</f>
        <v>0</v>
      </c>
      <c r="CE89" s="20">
        <f>+MOP_Mes_Corriente!CE90*MOP_Mes_Constante!$CC$1</f>
        <v>0</v>
      </c>
      <c r="CF89" s="20">
        <f>+MOP_Mes_Corriente!CF90*MOP_Mes_Constante!$CC$1</f>
        <v>0</v>
      </c>
      <c r="CG89" s="20">
        <f>+MOP_Mes_Corriente!CG90*MOP_Mes_Constante!$CC$1</f>
        <v>0</v>
      </c>
      <c r="CH89" s="20">
        <f>+MOP_Mes_Corriente!CH90*MOP_Mes_Constante!$CC$1</f>
        <v>0</v>
      </c>
      <c r="CI89" s="20">
        <f>+MOP_Mes_Corriente!CI90*MOP_Mes_Constante!$CC$1</f>
        <v>0</v>
      </c>
      <c r="CJ89" s="20">
        <f>+MOP_Mes_Corriente!CJ90*MOP_Mes_Constante!$CC$1</f>
        <v>0</v>
      </c>
      <c r="CK89" s="20">
        <f>+MOP_Mes_Corriente!CK90*MOP_Mes_Constante!$CC$1</f>
        <v>0</v>
      </c>
      <c r="CL89" s="20">
        <f>+MOP_Mes_Corriente!CL90*MOP_Mes_Constante!$CC$1</f>
        <v>0</v>
      </c>
      <c r="CM89" s="20">
        <f>+MOP_Mes_Corriente!CM90*MOP_Mes_Constante!$CC$1</f>
        <v>0</v>
      </c>
      <c r="CN89" s="20">
        <f>+MOP_Mes_Corriente!CN90*MOP_Mes_Constante!$CC$1</f>
        <v>0</v>
      </c>
      <c r="CO89" s="20">
        <f t="shared" si="120"/>
        <v>0</v>
      </c>
      <c r="CP89" s="20">
        <f>+MOP_Mes_Corriente!CP90*MOP_Mes_Constante!$CP$1</f>
        <v>0</v>
      </c>
      <c r="CQ89" s="20">
        <f>+MOP_Mes_Corriente!CQ90*MOP_Mes_Constante!$CP$1</f>
        <v>0</v>
      </c>
      <c r="CR89" s="20">
        <f>+MOP_Mes_Corriente!CR90*MOP_Mes_Constante!$CP$1</f>
        <v>0</v>
      </c>
      <c r="CS89" s="20">
        <f>+MOP_Mes_Corriente!CS90*MOP_Mes_Constante!$CP$1</f>
        <v>0</v>
      </c>
      <c r="CT89" s="20">
        <f>+MOP_Mes_Corriente!CT90*MOP_Mes_Constante!$CP$1</f>
        <v>0</v>
      </c>
      <c r="CU89" s="20">
        <f>+MOP_Mes_Corriente!CU90*MOP_Mes_Constante!$CP$1</f>
        <v>0</v>
      </c>
      <c r="CV89" s="20">
        <f>+MOP_Mes_Corriente!CV90*MOP_Mes_Constante!$CP$1</f>
        <v>0</v>
      </c>
      <c r="CW89" s="20">
        <f>+MOP_Mes_Corriente!CW90*MOP_Mes_Constante!$CP$1</f>
        <v>0</v>
      </c>
      <c r="CX89" s="20">
        <f>+MOP_Mes_Corriente!CX90*MOP_Mes_Constante!$CP$1</f>
        <v>0</v>
      </c>
      <c r="CY89" s="20">
        <f>+MOP_Mes_Corriente!CY90*MOP_Mes_Constante!$CP$1</f>
        <v>0</v>
      </c>
      <c r="CZ89" s="20">
        <f>+MOP_Mes_Corriente!CZ90*MOP_Mes_Constante!$CP$1</f>
        <v>0</v>
      </c>
      <c r="DA89" s="20">
        <f>+MOP_Mes_Corriente!DA90*MOP_Mes_Constante!$CP$1</f>
        <v>0</v>
      </c>
      <c r="DB89" s="20">
        <f t="shared" si="121"/>
        <v>0</v>
      </c>
      <c r="DC89" s="20">
        <f>+MOP_Mes_Corriente!DC90*MOP_Mes_Constante!$DC$1</f>
        <v>0</v>
      </c>
      <c r="DD89" s="20">
        <f>+MOP_Mes_Corriente!DD90*MOP_Mes_Constante!$DC$1</f>
        <v>0</v>
      </c>
      <c r="DE89" s="20">
        <f>+MOP_Mes_Corriente!DE90*MOP_Mes_Constante!$DC$1</f>
        <v>0</v>
      </c>
      <c r="DF89" s="20">
        <f>+MOP_Mes_Corriente!DF90*MOP_Mes_Constante!$DC$1</f>
        <v>0</v>
      </c>
      <c r="DG89" s="20">
        <f>+MOP_Mes_Corriente!DG90*MOP_Mes_Constante!$DC$1</f>
        <v>0</v>
      </c>
      <c r="DH89" s="20">
        <f>+MOP_Mes_Corriente!DH90*MOP_Mes_Constante!$DC$1</f>
        <v>0</v>
      </c>
      <c r="DI89" s="20">
        <f>+MOP_Mes_Corriente!DI90*MOP_Mes_Constante!$DC$1</f>
        <v>0</v>
      </c>
      <c r="DJ89" s="20">
        <f>+MOP_Mes_Corriente!DJ90*MOP_Mes_Constante!$DC$1</f>
        <v>0</v>
      </c>
      <c r="DK89" s="20">
        <f>+MOP_Mes_Corriente!DK90*MOP_Mes_Constante!$DC$1</f>
        <v>0</v>
      </c>
      <c r="DL89" s="20">
        <f>+MOP_Mes_Corriente!DL90*MOP_Mes_Constante!$DC$1</f>
        <v>0</v>
      </c>
      <c r="DM89" s="20">
        <f>+MOP_Mes_Corriente!DM90*MOP_Mes_Constante!$DC$1</f>
        <v>0</v>
      </c>
      <c r="DN89" s="20">
        <f>+MOP_Mes_Corriente!DN90*MOP_Mes_Constante!$DC$1</f>
        <v>0</v>
      </c>
      <c r="DO89" s="20">
        <f t="shared" si="122"/>
        <v>0</v>
      </c>
      <c r="DP89" s="20">
        <f>+MOP_Mes_Corriente!DP90*MOP_Mes_Constante!$DP$1</f>
        <v>19332198.819477435</v>
      </c>
      <c r="DQ89" s="20">
        <f>+MOP_Mes_Corriente!DQ90*MOP_Mes_Constante!$DP$1</f>
        <v>19332198.819477435</v>
      </c>
      <c r="DR89" s="20">
        <f>+MOP_Mes_Corriente!DR90*MOP_Mes_Constante!$DP$1</f>
        <v>19332198.819477435</v>
      </c>
      <c r="DS89" s="20">
        <f>+MOP_Mes_Corriente!DS90*MOP_Mes_Constante!$DP$1</f>
        <v>19332198.819477435</v>
      </c>
      <c r="DT89" s="20">
        <f>+MOP_Mes_Corriente!DT90*MOP_Mes_Constante!$DP$1</f>
        <v>19332198.819477435</v>
      </c>
      <c r="DU89" s="20">
        <f>+MOP_Mes_Corriente!DU90*MOP_Mes_Constante!$DP$1</f>
        <v>19332198.819477435</v>
      </c>
      <c r="DV89" s="20">
        <f>+MOP_Mes_Corriente!DV90*MOP_Mes_Constante!$DP$1</f>
        <v>19332198.819477435</v>
      </c>
      <c r="DW89" s="20">
        <f>+MOP_Mes_Corriente!DW90*MOP_Mes_Constante!$DP$1</f>
        <v>19332198.819477435</v>
      </c>
      <c r="DX89" s="20">
        <f>+MOP_Mes_Corriente!DX90*MOP_Mes_Constante!$DP$1</f>
        <v>19332198.819477435</v>
      </c>
      <c r="DY89" s="20">
        <f>+MOP_Mes_Corriente!DY90*MOP_Mes_Constante!$DP$1</f>
        <v>19332198.819477435</v>
      </c>
      <c r="DZ89" s="20">
        <f>+MOP_Mes_Corriente!DZ90*MOP_Mes_Constante!$DP$1</f>
        <v>19332198.819477435</v>
      </c>
      <c r="EA89" s="20">
        <f>+MOP_Mes_Corriente!EA90*MOP_Mes_Constante!$DP$1</f>
        <v>19332198.819477435</v>
      </c>
      <c r="EB89" s="20">
        <f t="shared" si="123"/>
        <v>19332198.819477435</v>
      </c>
      <c r="EC89" s="20">
        <f>+MOP_Mes_Corriente!EC90*MOP_Mes_Constante!$EC$1</f>
        <v>0</v>
      </c>
      <c r="ED89" s="20">
        <f>+MOP_Mes_Corriente!ED90*MOP_Mes_Constante!$EC$1</f>
        <v>0</v>
      </c>
      <c r="EE89" s="20">
        <f>+MOP_Mes_Corriente!EE90*MOP_Mes_Constante!$EC$1</f>
        <v>0</v>
      </c>
      <c r="EF89" s="20">
        <f>+MOP_Mes_Corriente!EF90*MOP_Mes_Constante!$EC$1</f>
        <v>0</v>
      </c>
      <c r="EG89" s="20">
        <f>+MOP_Mes_Corriente!EG90*MOP_Mes_Constante!$EC$1</f>
        <v>0</v>
      </c>
      <c r="EH89" s="20">
        <f>+MOP_Mes_Corriente!EH90*MOP_Mes_Constante!$EC$1</f>
        <v>0</v>
      </c>
      <c r="EI89" s="20">
        <f>+MOP_Mes_Corriente!EI90*MOP_Mes_Constante!$EC$1</f>
        <v>0</v>
      </c>
      <c r="EJ89" s="20">
        <f>+MOP_Mes_Corriente!EJ90*MOP_Mes_Constante!$EC$1</f>
        <v>0</v>
      </c>
      <c r="EK89" s="20">
        <f>+MOP_Mes_Corriente!EK90*MOP_Mes_Constante!$EC$1</f>
        <v>0</v>
      </c>
      <c r="EL89" s="20">
        <f>+MOP_Mes_Corriente!EL90*MOP_Mes_Constante!$EC$1</f>
        <v>0</v>
      </c>
      <c r="EM89" s="20">
        <f>+MOP_Mes_Corriente!EM90*MOP_Mes_Constante!$EC$1</f>
        <v>0</v>
      </c>
      <c r="EN89" s="20">
        <f>+MOP_Mes_Corriente!EN90*MOP_Mes_Constante!$EC$1</f>
        <v>0</v>
      </c>
      <c r="EO89" s="20">
        <f t="shared" si="124"/>
        <v>0</v>
      </c>
      <c r="EP89" s="20">
        <f>+MOP_Mes_Corriente!EP90*MOP_Mes_Constante!$EP$1</f>
        <v>0</v>
      </c>
      <c r="EQ89" s="20">
        <f>+MOP_Mes_Corriente!EQ90*MOP_Mes_Constante!$EP$1</f>
        <v>0</v>
      </c>
      <c r="ER89" s="20">
        <f>+MOP_Mes_Corriente!ER90*MOP_Mes_Constante!$EP$1</f>
        <v>0</v>
      </c>
      <c r="ES89" s="20">
        <f>+MOP_Mes_Corriente!ES90*MOP_Mes_Constante!$EP$1</f>
        <v>0</v>
      </c>
      <c r="ET89" s="20">
        <f>+MOP_Mes_Corriente!ET90*MOP_Mes_Constante!$EP$1</f>
        <v>0</v>
      </c>
      <c r="EU89" s="20">
        <f>+MOP_Mes_Corriente!EU90*MOP_Mes_Constante!$EP$1</f>
        <v>0</v>
      </c>
      <c r="EV89" s="20">
        <f>+MOP_Mes_Corriente!EV90*MOP_Mes_Constante!$EP$1</f>
        <v>0</v>
      </c>
      <c r="EW89" s="20">
        <f>+MOP_Mes_Corriente!EW90*MOP_Mes_Constante!$EP$1</f>
        <v>0</v>
      </c>
      <c r="EX89" s="20">
        <f>+MOP_Mes_Corriente!EX90*MOP_Mes_Constante!$EP$1</f>
        <v>0</v>
      </c>
      <c r="EY89" s="20">
        <f>+MOP_Mes_Corriente!EY90*MOP_Mes_Constante!$EP$1</f>
        <v>0</v>
      </c>
      <c r="EZ89" s="20">
        <f>+MOP_Mes_Corriente!EZ90*MOP_Mes_Constante!$EP$1</f>
        <v>0</v>
      </c>
      <c r="FA89" s="20">
        <f>+MOP_Mes_Corriente!FA90*MOP_Mes_Constante!$EP$1</f>
        <v>0</v>
      </c>
      <c r="FB89" s="20">
        <f t="shared" si="125"/>
        <v>0</v>
      </c>
      <c r="FC89" s="20">
        <f>+MOP_Mes_Corriente!FC90*MOP_Mes_Constante!$FC$1</f>
        <v>0</v>
      </c>
      <c r="FD89" s="20">
        <f>+MOP_Mes_Corriente!FD90*MOP_Mes_Constante!$FC$1</f>
        <v>0</v>
      </c>
      <c r="FE89" s="20">
        <f>+MOP_Mes_Corriente!FE90*MOP_Mes_Constante!$FC$1</f>
        <v>0</v>
      </c>
      <c r="FF89" s="20">
        <f>+MOP_Mes_Corriente!FF90*MOP_Mes_Constante!$FC$1</f>
        <v>0</v>
      </c>
      <c r="FG89" s="20">
        <f>+MOP_Mes_Corriente!FG90*MOP_Mes_Constante!$FC$1</f>
        <v>0</v>
      </c>
      <c r="FH89" s="20">
        <f>+MOP_Mes_Corriente!FH90*MOP_Mes_Constante!$FC$1</f>
        <v>0</v>
      </c>
      <c r="FI89" s="20">
        <f>+MOP_Mes_Corriente!FI90*MOP_Mes_Constante!$FC$1</f>
        <v>0</v>
      </c>
      <c r="FJ89" s="10"/>
      <c r="FK89" s="10"/>
      <c r="FL89" s="10"/>
      <c r="FM89" s="10"/>
      <c r="FN89" s="10"/>
      <c r="FO89" s="20">
        <f t="shared" si="126"/>
        <v>0</v>
      </c>
    </row>
    <row r="90" spans="1:171" ht="27.75" customHeight="1">
      <c r="A90" s="10"/>
      <c r="B90" s="19" t="s">
        <v>46</v>
      </c>
      <c r="C90" s="20">
        <f>+MOP_Mes_Corriente!C91*MOP_Mes_Constante!$C$1</f>
        <v>0</v>
      </c>
      <c r="D90" s="20">
        <f>+MOP_Mes_Corriente!D91*MOP_Mes_Constante!$C$1</f>
        <v>0</v>
      </c>
      <c r="E90" s="20">
        <f>+MOP_Mes_Corriente!E91*MOP_Mes_Constante!$C$1</f>
        <v>0</v>
      </c>
      <c r="F90" s="20">
        <f>+MOP_Mes_Corriente!F91*MOP_Mes_Constante!$C$1</f>
        <v>0</v>
      </c>
      <c r="G90" s="20">
        <f>+MOP_Mes_Corriente!G91*MOP_Mes_Constante!$C$1</f>
        <v>0</v>
      </c>
      <c r="H90" s="20">
        <f>+MOP_Mes_Corriente!H91*MOP_Mes_Constante!$C$1</f>
        <v>0</v>
      </c>
      <c r="I90" s="20">
        <f>+MOP_Mes_Corriente!I91*MOP_Mes_Constante!$C$1</f>
        <v>0</v>
      </c>
      <c r="J90" s="20">
        <f>+MOP_Mes_Corriente!J91*MOP_Mes_Constante!$C$1</f>
        <v>0</v>
      </c>
      <c r="K90" s="20">
        <f>+MOP_Mes_Corriente!K91*MOP_Mes_Constante!$C$1</f>
        <v>0</v>
      </c>
      <c r="L90" s="20">
        <f>+MOP_Mes_Corriente!L91*MOP_Mes_Constante!$C$1</f>
        <v>0</v>
      </c>
      <c r="M90" s="20">
        <f>+MOP_Mes_Corriente!M91*MOP_Mes_Constante!$C$1</f>
        <v>0</v>
      </c>
      <c r="N90" s="20">
        <f>+MOP_Mes_Corriente!N91*MOP_Mes_Constante!$C$1</f>
        <v>0</v>
      </c>
      <c r="O90" s="20">
        <f t="shared" si="114"/>
        <v>0</v>
      </c>
      <c r="P90" s="20">
        <f>+MOP_Mes_Corriente!P91*MOP_Mes_Constante!$P$1</f>
        <v>0</v>
      </c>
      <c r="Q90" s="20">
        <f>+MOP_Mes_Corriente!Q91*MOP_Mes_Constante!$P$1</f>
        <v>0</v>
      </c>
      <c r="R90" s="20">
        <f>+MOP_Mes_Corriente!R91*MOP_Mes_Constante!$P$1</f>
        <v>0</v>
      </c>
      <c r="S90" s="20">
        <f>+MOP_Mes_Corriente!S91*MOP_Mes_Constante!$P$1</f>
        <v>0</v>
      </c>
      <c r="T90" s="20">
        <f>+MOP_Mes_Corriente!T91*MOP_Mes_Constante!$P$1</f>
        <v>0</v>
      </c>
      <c r="U90" s="20">
        <f>+MOP_Mes_Corriente!U91*MOP_Mes_Constante!$P$1</f>
        <v>0</v>
      </c>
      <c r="V90" s="20">
        <f>+MOP_Mes_Corriente!V91*MOP_Mes_Constante!$P$1</f>
        <v>0</v>
      </c>
      <c r="W90" s="20">
        <f>+MOP_Mes_Corriente!W91*MOP_Mes_Constante!$P$1</f>
        <v>0</v>
      </c>
      <c r="X90" s="20">
        <f>+MOP_Mes_Corriente!X91*MOP_Mes_Constante!$P$1</f>
        <v>0</v>
      </c>
      <c r="Y90" s="20">
        <f>+MOP_Mes_Corriente!Y91*MOP_Mes_Constante!$P$1</f>
        <v>0</v>
      </c>
      <c r="Z90" s="20">
        <f>+MOP_Mes_Corriente!Z91*MOP_Mes_Constante!$P$1</f>
        <v>0</v>
      </c>
      <c r="AA90" s="20">
        <f>+MOP_Mes_Corriente!AA91*MOP_Mes_Constante!$P$1</f>
        <v>0</v>
      </c>
      <c r="AB90" s="20">
        <f t="shared" si="115"/>
        <v>0</v>
      </c>
      <c r="AC90" s="20">
        <f>+MOP_Mes_Corriente!AC91*MOP_Mes_Constante!$AC$1</f>
        <v>0</v>
      </c>
      <c r="AD90" s="20">
        <f>+MOP_Mes_Corriente!AD91*MOP_Mes_Constante!$AC$1</f>
        <v>0</v>
      </c>
      <c r="AE90" s="20">
        <f>+MOP_Mes_Corriente!AE91*MOP_Mes_Constante!$AC$1</f>
        <v>0</v>
      </c>
      <c r="AF90" s="20">
        <f>+MOP_Mes_Corriente!AF91*MOP_Mes_Constante!$AC$1</f>
        <v>0</v>
      </c>
      <c r="AG90" s="20">
        <f>+MOP_Mes_Corriente!AG91*MOP_Mes_Constante!$AC$1</f>
        <v>0</v>
      </c>
      <c r="AH90" s="20">
        <f>+MOP_Mes_Corriente!AH91*MOP_Mes_Constante!$AC$1</f>
        <v>0</v>
      </c>
      <c r="AI90" s="20">
        <f>+MOP_Mes_Corriente!AI91*MOP_Mes_Constante!$AC$1</f>
        <v>0</v>
      </c>
      <c r="AJ90" s="20">
        <f>+MOP_Mes_Corriente!AJ91*MOP_Mes_Constante!$AC$1</f>
        <v>0</v>
      </c>
      <c r="AK90" s="20">
        <f>+MOP_Mes_Corriente!AK91*MOP_Mes_Constante!$AC$1</f>
        <v>0</v>
      </c>
      <c r="AL90" s="20">
        <f>+MOP_Mes_Corriente!AL91*MOP_Mes_Constante!$AC$1</f>
        <v>0</v>
      </c>
      <c r="AM90" s="20">
        <f>+MOP_Mes_Corriente!AM91*MOP_Mes_Constante!$AC$1</f>
        <v>0</v>
      </c>
      <c r="AN90" s="20">
        <f>+MOP_Mes_Corriente!AN91*MOP_Mes_Constante!$AC$1</f>
        <v>0</v>
      </c>
      <c r="AO90" s="20">
        <f t="shared" si="116"/>
        <v>0</v>
      </c>
      <c r="AP90" s="20">
        <f>+MOP_Mes_Corriente!AP91*MOP_Mes_Constante!$AP$1</f>
        <v>0</v>
      </c>
      <c r="AQ90" s="20">
        <f>+MOP_Mes_Corriente!AQ91*MOP_Mes_Constante!$AP$1</f>
        <v>0</v>
      </c>
      <c r="AR90" s="20">
        <f>+MOP_Mes_Corriente!AR91*MOP_Mes_Constante!$AP$1</f>
        <v>0</v>
      </c>
      <c r="AS90" s="20">
        <f>+MOP_Mes_Corriente!AS91*MOP_Mes_Constante!$AP$1</f>
        <v>0</v>
      </c>
      <c r="AT90" s="20">
        <f>+MOP_Mes_Corriente!AT91*MOP_Mes_Constante!$AP$1</f>
        <v>0</v>
      </c>
      <c r="AU90" s="20">
        <f>+MOP_Mes_Corriente!AU91*MOP_Mes_Constante!$AP$1</f>
        <v>0</v>
      </c>
      <c r="AV90" s="20">
        <f>+MOP_Mes_Corriente!AV91*MOP_Mes_Constante!$AP$1</f>
        <v>0</v>
      </c>
      <c r="AW90" s="20">
        <f>+MOP_Mes_Corriente!AW91*MOP_Mes_Constante!$AP$1</f>
        <v>0</v>
      </c>
      <c r="AX90" s="20">
        <f>+MOP_Mes_Corriente!AX91*MOP_Mes_Constante!$AP$1</f>
        <v>0</v>
      </c>
      <c r="AY90" s="20">
        <f>+MOP_Mes_Corriente!AY91*MOP_Mes_Constante!$AP$1</f>
        <v>0</v>
      </c>
      <c r="AZ90" s="20">
        <f>+MOP_Mes_Corriente!AZ91*MOP_Mes_Constante!$AP$1</f>
        <v>0</v>
      </c>
      <c r="BA90" s="20">
        <f>+MOP_Mes_Corriente!BA91*MOP_Mes_Constante!$AP$1</f>
        <v>0</v>
      </c>
      <c r="BB90" s="20">
        <f t="shared" si="117"/>
        <v>0</v>
      </c>
      <c r="BC90" s="20">
        <f>+MOP_Mes_Corriente!BC91*MOP_Mes_Constante!$BC$1</f>
        <v>0</v>
      </c>
      <c r="BD90" s="20">
        <f>+MOP_Mes_Corriente!BD91*MOP_Mes_Constante!$BC$1</f>
        <v>0</v>
      </c>
      <c r="BE90" s="20">
        <f>+MOP_Mes_Corriente!BE91*MOP_Mes_Constante!$BC$1</f>
        <v>0</v>
      </c>
      <c r="BF90" s="20">
        <f>+MOP_Mes_Corriente!BF91*MOP_Mes_Constante!$BC$1</f>
        <v>0</v>
      </c>
      <c r="BG90" s="20">
        <f>+MOP_Mes_Corriente!BG91*MOP_Mes_Constante!$BC$1</f>
        <v>0</v>
      </c>
      <c r="BH90" s="20">
        <f>+MOP_Mes_Corriente!BH91*MOP_Mes_Constante!$BC$1</f>
        <v>0</v>
      </c>
      <c r="BI90" s="20">
        <f>+MOP_Mes_Corriente!BI91*MOP_Mes_Constante!$BC$1</f>
        <v>0</v>
      </c>
      <c r="BJ90" s="20">
        <f>+MOP_Mes_Corriente!BJ91*MOP_Mes_Constante!$BC$1</f>
        <v>0</v>
      </c>
      <c r="BK90" s="20">
        <f>+MOP_Mes_Corriente!BK91*MOP_Mes_Constante!$BC$1</f>
        <v>0</v>
      </c>
      <c r="BL90" s="20">
        <f>+MOP_Mes_Corriente!BL91*MOP_Mes_Constante!$BC$1</f>
        <v>0</v>
      </c>
      <c r="BM90" s="20">
        <f>+MOP_Mes_Corriente!BM91*MOP_Mes_Constante!$BC$1</f>
        <v>0</v>
      </c>
      <c r="BN90" s="20">
        <f>+MOP_Mes_Corriente!BN91*MOP_Mes_Constante!$BC$1</f>
        <v>0</v>
      </c>
      <c r="BO90" s="20">
        <f t="shared" si="118"/>
        <v>0</v>
      </c>
      <c r="BP90" s="20">
        <f>+MOP_Mes_Corriente!BP91*MOP_Mes_Constante!$BP$1</f>
        <v>0</v>
      </c>
      <c r="BQ90" s="20">
        <f>+MOP_Mes_Corriente!BQ91*MOP_Mes_Constante!$BP$1</f>
        <v>0</v>
      </c>
      <c r="BR90" s="20">
        <f>+MOP_Mes_Corriente!BR91*MOP_Mes_Constante!$BP$1</f>
        <v>0</v>
      </c>
      <c r="BS90" s="20">
        <f>+MOP_Mes_Corriente!BS91*MOP_Mes_Constante!$BP$1</f>
        <v>0</v>
      </c>
      <c r="BT90" s="20">
        <f>+MOP_Mes_Corriente!BT91*MOP_Mes_Constante!$BP$1</f>
        <v>0</v>
      </c>
      <c r="BU90" s="20">
        <f>+MOP_Mes_Corriente!BU91*MOP_Mes_Constante!$BP$1</f>
        <v>0</v>
      </c>
      <c r="BV90" s="20">
        <f>+MOP_Mes_Corriente!BV91*MOP_Mes_Constante!$BP$1</f>
        <v>0</v>
      </c>
      <c r="BW90" s="20">
        <f>+MOP_Mes_Corriente!BW91*MOP_Mes_Constante!$BP$1</f>
        <v>0</v>
      </c>
      <c r="BX90" s="20">
        <f>+MOP_Mes_Corriente!BX91*MOP_Mes_Constante!$BP$1</f>
        <v>0</v>
      </c>
      <c r="BY90" s="20">
        <f>+MOP_Mes_Corriente!BY91*MOP_Mes_Constante!$BP$1</f>
        <v>0</v>
      </c>
      <c r="BZ90" s="20">
        <f>+MOP_Mes_Corriente!BZ91*MOP_Mes_Constante!$BP$1</f>
        <v>0</v>
      </c>
      <c r="CA90" s="20">
        <f>+MOP_Mes_Corriente!CA91*MOP_Mes_Constante!$BP$1</f>
        <v>0</v>
      </c>
      <c r="CB90" s="20">
        <f t="shared" si="119"/>
        <v>0</v>
      </c>
      <c r="CC90" s="20">
        <f>+MOP_Mes_Corriente!CC91*MOP_Mes_Constante!$CC$1</f>
        <v>0</v>
      </c>
      <c r="CD90" s="20">
        <f>+MOP_Mes_Corriente!CD91*MOP_Mes_Constante!$CC$1</f>
        <v>0</v>
      </c>
      <c r="CE90" s="20">
        <f>+MOP_Mes_Corriente!CE91*MOP_Mes_Constante!$CC$1</f>
        <v>0</v>
      </c>
      <c r="CF90" s="20">
        <f>+MOP_Mes_Corriente!CF91*MOP_Mes_Constante!$CC$1</f>
        <v>0</v>
      </c>
      <c r="CG90" s="20">
        <f>+MOP_Mes_Corriente!CG91*MOP_Mes_Constante!$CC$1</f>
        <v>0</v>
      </c>
      <c r="CH90" s="20">
        <f>+MOP_Mes_Corriente!CH91*MOP_Mes_Constante!$CC$1</f>
        <v>0</v>
      </c>
      <c r="CI90" s="20">
        <f>+MOP_Mes_Corriente!CI91*MOP_Mes_Constante!$CC$1</f>
        <v>0</v>
      </c>
      <c r="CJ90" s="20">
        <f>+MOP_Mes_Corriente!CJ91*MOP_Mes_Constante!$CC$1</f>
        <v>0</v>
      </c>
      <c r="CK90" s="20">
        <f>+MOP_Mes_Corriente!CK91*MOP_Mes_Constante!$CC$1</f>
        <v>0</v>
      </c>
      <c r="CL90" s="20">
        <f>+MOP_Mes_Corriente!CL91*MOP_Mes_Constante!$CC$1</f>
        <v>0</v>
      </c>
      <c r="CM90" s="20">
        <f>+MOP_Mes_Corriente!CM91*MOP_Mes_Constante!$CC$1</f>
        <v>0</v>
      </c>
      <c r="CN90" s="20">
        <f>+MOP_Mes_Corriente!CN91*MOP_Mes_Constante!$CC$1</f>
        <v>0</v>
      </c>
      <c r="CO90" s="20">
        <f t="shared" si="120"/>
        <v>0</v>
      </c>
      <c r="CP90" s="20">
        <f>+MOP_Mes_Corriente!CP91*MOP_Mes_Constante!$CP$1</f>
        <v>0</v>
      </c>
      <c r="CQ90" s="20">
        <f>+MOP_Mes_Corriente!CQ91*MOP_Mes_Constante!$CP$1</f>
        <v>0</v>
      </c>
      <c r="CR90" s="20">
        <f>+MOP_Mes_Corriente!CR91*MOP_Mes_Constante!$CP$1</f>
        <v>0</v>
      </c>
      <c r="CS90" s="20">
        <f>+MOP_Mes_Corriente!CS91*MOP_Mes_Constante!$CP$1</f>
        <v>0</v>
      </c>
      <c r="CT90" s="20">
        <f>+MOP_Mes_Corriente!CT91*MOP_Mes_Constante!$CP$1</f>
        <v>0</v>
      </c>
      <c r="CU90" s="20">
        <f>+MOP_Mes_Corriente!CU91*MOP_Mes_Constante!$CP$1</f>
        <v>0</v>
      </c>
      <c r="CV90" s="20">
        <f>+MOP_Mes_Corriente!CV91*MOP_Mes_Constante!$CP$1</f>
        <v>0</v>
      </c>
      <c r="CW90" s="20">
        <f>+MOP_Mes_Corriente!CW91*MOP_Mes_Constante!$CP$1</f>
        <v>0</v>
      </c>
      <c r="CX90" s="20">
        <f>+MOP_Mes_Corriente!CX91*MOP_Mes_Constante!$CP$1</f>
        <v>0</v>
      </c>
      <c r="CY90" s="20">
        <f>+MOP_Mes_Corriente!CY91*MOP_Mes_Constante!$CP$1</f>
        <v>0</v>
      </c>
      <c r="CZ90" s="20">
        <f>+MOP_Mes_Corriente!CZ91*MOP_Mes_Constante!$CP$1</f>
        <v>0</v>
      </c>
      <c r="DA90" s="20">
        <f>+MOP_Mes_Corriente!DA91*MOP_Mes_Constante!$CP$1</f>
        <v>0</v>
      </c>
      <c r="DB90" s="20">
        <f t="shared" si="121"/>
        <v>0</v>
      </c>
      <c r="DC90" s="20">
        <f>+MOP_Mes_Corriente!DC91*MOP_Mes_Constante!$DC$1</f>
        <v>0</v>
      </c>
      <c r="DD90" s="20">
        <f>+MOP_Mes_Corriente!DD91*MOP_Mes_Constante!$DC$1</f>
        <v>0</v>
      </c>
      <c r="DE90" s="20">
        <f>+MOP_Mes_Corriente!DE91*MOP_Mes_Constante!$DC$1</f>
        <v>0</v>
      </c>
      <c r="DF90" s="20">
        <f>+MOP_Mes_Corriente!DF91*MOP_Mes_Constante!$DC$1</f>
        <v>0</v>
      </c>
      <c r="DG90" s="20">
        <f>+MOP_Mes_Corriente!DG91*MOP_Mes_Constante!$DC$1</f>
        <v>0</v>
      </c>
      <c r="DH90" s="20">
        <f>+MOP_Mes_Corriente!DH91*MOP_Mes_Constante!$DC$1</f>
        <v>0</v>
      </c>
      <c r="DI90" s="20">
        <f>+MOP_Mes_Corriente!DI91*MOP_Mes_Constante!$DC$1</f>
        <v>0</v>
      </c>
      <c r="DJ90" s="20">
        <f>+MOP_Mes_Corriente!DJ91*MOP_Mes_Constante!$DC$1</f>
        <v>0</v>
      </c>
      <c r="DK90" s="20">
        <f>+MOP_Mes_Corriente!DK91*MOP_Mes_Constante!$DC$1</f>
        <v>0</v>
      </c>
      <c r="DL90" s="20">
        <f>+MOP_Mes_Corriente!DL91*MOP_Mes_Constante!$DC$1</f>
        <v>0</v>
      </c>
      <c r="DM90" s="20">
        <f>+MOP_Mes_Corriente!DM91*MOP_Mes_Constante!$DC$1</f>
        <v>0</v>
      </c>
      <c r="DN90" s="20">
        <f>+MOP_Mes_Corriente!DN91*MOP_Mes_Constante!$DC$1</f>
        <v>0</v>
      </c>
      <c r="DO90" s="20">
        <f t="shared" si="122"/>
        <v>0</v>
      </c>
      <c r="DP90" s="20">
        <f>+MOP_Mes_Corriente!DP91*MOP_Mes_Constante!$DP$1</f>
        <v>0</v>
      </c>
      <c r="DQ90" s="20">
        <f>+MOP_Mes_Corriente!DQ91*MOP_Mes_Constante!$DP$1</f>
        <v>0</v>
      </c>
      <c r="DR90" s="20">
        <f>+MOP_Mes_Corriente!DR91*MOP_Mes_Constante!$DP$1</f>
        <v>0</v>
      </c>
      <c r="DS90" s="20">
        <f>+MOP_Mes_Corriente!DS91*MOP_Mes_Constante!$DP$1</f>
        <v>0</v>
      </c>
      <c r="DT90" s="20">
        <f>+MOP_Mes_Corriente!DT91*MOP_Mes_Constante!$DP$1</f>
        <v>0</v>
      </c>
      <c r="DU90" s="20">
        <f>+MOP_Mes_Corriente!DU91*MOP_Mes_Constante!$DP$1</f>
        <v>0</v>
      </c>
      <c r="DV90" s="20">
        <f>+MOP_Mes_Corriente!DV91*MOP_Mes_Constante!$DP$1</f>
        <v>0</v>
      </c>
      <c r="DW90" s="20">
        <f>+MOP_Mes_Corriente!DW91*MOP_Mes_Constante!$DP$1</f>
        <v>0</v>
      </c>
      <c r="DX90" s="20">
        <f>+MOP_Mes_Corriente!DX91*MOP_Mes_Constante!$DP$1</f>
        <v>0</v>
      </c>
      <c r="DY90" s="20">
        <f>+MOP_Mes_Corriente!DY91*MOP_Mes_Constante!$DP$1</f>
        <v>0</v>
      </c>
      <c r="DZ90" s="20">
        <f>+MOP_Mes_Corriente!DZ91*MOP_Mes_Constante!$DP$1</f>
        <v>0</v>
      </c>
      <c r="EA90" s="20">
        <f>+MOP_Mes_Corriente!EA91*MOP_Mes_Constante!$DP$1</f>
        <v>0</v>
      </c>
      <c r="EB90" s="20">
        <f t="shared" si="123"/>
        <v>0</v>
      </c>
      <c r="EC90" s="20">
        <f>+MOP_Mes_Corriente!EC91*MOP_Mes_Constante!$EC$1</f>
        <v>0</v>
      </c>
      <c r="ED90" s="20">
        <f>+MOP_Mes_Corriente!ED91*MOP_Mes_Constante!$EC$1</f>
        <v>0</v>
      </c>
      <c r="EE90" s="20">
        <f>+MOP_Mes_Corriente!EE91*MOP_Mes_Constante!$EC$1</f>
        <v>0</v>
      </c>
      <c r="EF90" s="20">
        <f>+MOP_Mes_Corriente!EF91*MOP_Mes_Constante!$EC$1</f>
        <v>0</v>
      </c>
      <c r="EG90" s="20">
        <f>+MOP_Mes_Corriente!EG91*MOP_Mes_Constante!$EC$1</f>
        <v>0</v>
      </c>
      <c r="EH90" s="20">
        <f>+MOP_Mes_Corriente!EH91*MOP_Mes_Constante!$EC$1</f>
        <v>0</v>
      </c>
      <c r="EI90" s="20">
        <f>+MOP_Mes_Corriente!EI91*MOP_Mes_Constante!$EC$1</f>
        <v>0</v>
      </c>
      <c r="EJ90" s="20">
        <f>+MOP_Mes_Corriente!EJ91*MOP_Mes_Constante!$EC$1</f>
        <v>0</v>
      </c>
      <c r="EK90" s="20">
        <f>+MOP_Mes_Corriente!EK91*MOP_Mes_Constante!$EC$1</f>
        <v>0</v>
      </c>
      <c r="EL90" s="20">
        <f>+MOP_Mes_Corriente!EL91*MOP_Mes_Constante!$EC$1</f>
        <v>0</v>
      </c>
      <c r="EM90" s="20">
        <f>+MOP_Mes_Corriente!EM91*MOP_Mes_Constante!$EC$1</f>
        <v>0</v>
      </c>
      <c r="EN90" s="20">
        <f>+MOP_Mes_Corriente!EN91*MOP_Mes_Constante!$EC$1</f>
        <v>0</v>
      </c>
      <c r="EO90" s="20">
        <f t="shared" si="124"/>
        <v>0</v>
      </c>
      <c r="EP90" s="20">
        <f>+MOP_Mes_Corriente!EP91*MOP_Mes_Constante!$EP$1</f>
        <v>0</v>
      </c>
      <c r="EQ90" s="20">
        <f>+MOP_Mes_Corriente!EQ91*MOP_Mes_Constante!$EP$1</f>
        <v>0</v>
      </c>
      <c r="ER90" s="20">
        <f>+MOP_Mes_Corriente!ER91*MOP_Mes_Constante!$EP$1</f>
        <v>0</v>
      </c>
      <c r="ES90" s="20">
        <f>+MOP_Mes_Corriente!ES91*MOP_Mes_Constante!$EP$1</f>
        <v>0</v>
      </c>
      <c r="ET90" s="20">
        <f>+MOP_Mes_Corriente!ET91*MOP_Mes_Constante!$EP$1</f>
        <v>0</v>
      </c>
      <c r="EU90" s="20">
        <f>+MOP_Mes_Corriente!EU91*MOP_Mes_Constante!$EP$1</f>
        <v>0</v>
      </c>
      <c r="EV90" s="20">
        <f>+MOP_Mes_Corriente!EV91*MOP_Mes_Constante!$EP$1</f>
        <v>0</v>
      </c>
      <c r="EW90" s="20">
        <f>+MOP_Mes_Corriente!EW91*MOP_Mes_Constante!$EP$1</f>
        <v>0</v>
      </c>
      <c r="EX90" s="20">
        <f>+MOP_Mes_Corriente!EX91*MOP_Mes_Constante!$EP$1</f>
        <v>0</v>
      </c>
      <c r="EY90" s="20">
        <f>+MOP_Mes_Corriente!EY91*MOP_Mes_Constante!$EP$1</f>
        <v>0</v>
      </c>
      <c r="EZ90" s="20">
        <f>+MOP_Mes_Corriente!EZ91*MOP_Mes_Constante!$EP$1</f>
        <v>0</v>
      </c>
      <c r="FA90" s="20">
        <f>+MOP_Mes_Corriente!FA91*MOP_Mes_Constante!$EP$1</f>
        <v>0</v>
      </c>
      <c r="FB90" s="20">
        <f t="shared" si="125"/>
        <v>0</v>
      </c>
      <c r="FC90" s="20">
        <f>+MOP_Mes_Corriente!FC91*MOP_Mes_Constante!$FC$1</f>
        <v>0</v>
      </c>
      <c r="FD90" s="20">
        <f>+MOP_Mes_Corriente!FD91*MOP_Mes_Constante!$FC$1</f>
        <v>0</v>
      </c>
      <c r="FE90" s="20">
        <f>+MOP_Mes_Corriente!FE91*MOP_Mes_Constante!$FC$1</f>
        <v>0</v>
      </c>
      <c r="FF90" s="20">
        <f>+MOP_Mes_Corriente!FF91*MOP_Mes_Constante!$FC$1</f>
        <v>0</v>
      </c>
      <c r="FG90" s="20">
        <f>+MOP_Mes_Corriente!FG91*MOP_Mes_Constante!$FC$1</f>
        <v>0</v>
      </c>
      <c r="FH90" s="20">
        <f>+MOP_Mes_Corriente!FH91*MOP_Mes_Constante!$FC$1</f>
        <v>0</v>
      </c>
      <c r="FI90" s="20">
        <f>+MOP_Mes_Corriente!FI91*MOP_Mes_Constante!$FC$1</f>
        <v>0</v>
      </c>
      <c r="FJ90" s="10"/>
      <c r="FK90" s="10"/>
      <c r="FL90" s="10"/>
      <c r="FM90" s="10"/>
      <c r="FN90" s="10"/>
      <c r="FO90" s="20">
        <f t="shared" si="126"/>
        <v>0</v>
      </c>
    </row>
    <row r="91" spans="1:171" ht="27.75" customHeight="1">
      <c r="A91" s="10"/>
      <c r="B91" s="19" t="s">
        <v>47</v>
      </c>
      <c r="C91" s="20">
        <f>+MOP_Mes_Corriente!C92*MOP_Mes_Constante!$C$1</f>
        <v>0</v>
      </c>
      <c r="D91" s="20">
        <f>+MOP_Mes_Corriente!D92*MOP_Mes_Constante!$C$1</f>
        <v>0</v>
      </c>
      <c r="E91" s="20">
        <f>+MOP_Mes_Corriente!E92*MOP_Mes_Constante!$C$1</f>
        <v>0</v>
      </c>
      <c r="F91" s="20">
        <f>+MOP_Mes_Corriente!F92*MOP_Mes_Constante!$C$1</f>
        <v>0</v>
      </c>
      <c r="G91" s="20">
        <f>+MOP_Mes_Corriente!G92*MOP_Mes_Constante!$C$1</f>
        <v>0</v>
      </c>
      <c r="H91" s="20">
        <f>+MOP_Mes_Corriente!H92*MOP_Mes_Constante!$C$1</f>
        <v>0</v>
      </c>
      <c r="I91" s="20">
        <f>+MOP_Mes_Corriente!I92*MOP_Mes_Constante!$C$1</f>
        <v>0</v>
      </c>
      <c r="J91" s="20">
        <f>+MOP_Mes_Corriente!J92*MOP_Mes_Constante!$C$1</f>
        <v>0</v>
      </c>
      <c r="K91" s="20">
        <f>+MOP_Mes_Corriente!K92*MOP_Mes_Constante!$C$1</f>
        <v>0</v>
      </c>
      <c r="L91" s="20">
        <f>+MOP_Mes_Corriente!L92*MOP_Mes_Constante!$C$1</f>
        <v>0</v>
      </c>
      <c r="M91" s="20">
        <f>+MOP_Mes_Corriente!M92*MOP_Mes_Constante!$C$1</f>
        <v>0</v>
      </c>
      <c r="N91" s="20">
        <f>+MOP_Mes_Corriente!N92*MOP_Mes_Constante!$C$1</f>
        <v>0</v>
      </c>
      <c r="O91" s="20">
        <f t="shared" si="114"/>
        <v>0</v>
      </c>
      <c r="P91" s="20">
        <f>+MOP_Mes_Corriente!P92*MOP_Mes_Constante!$P$1</f>
        <v>0</v>
      </c>
      <c r="Q91" s="20">
        <f>+MOP_Mes_Corriente!Q92*MOP_Mes_Constante!$P$1</f>
        <v>0</v>
      </c>
      <c r="R91" s="20">
        <f>+MOP_Mes_Corriente!R92*MOP_Mes_Constante!$P$1</f>
        <v>0</v>
      </c>
      <c r="S91" s="20">
        <f>+MOP_Mes_Corriente!S92*MOP_Mes_Constante!$P$1</f>
        <v>0</v>
      </c>
      <c r="T91" s="20">
        <f>+MOP_Mes_Corriente!T92*MOP_Mes_Constante!$P$1</f>
        <v>0</v>
      </c>
      <c r="U91" s="20">
        <f>+MOP_Mes_Corriente!U92*MOP_Mes_Constante!$P$1</f>
        <v>0</v>
      </c>
      <c r="V91" s="20">
        <f>+MOP_Mes_Corriente!V92*MOP_Mes_Constante!$P$1</f>
        <v>0</v>
      </c>
      <c r="W91" s="20">
        <f>+MOP_Mes_Corriente!W92*MOP_Mes_Constante!$P$1</f>
        <v>0</v>
      </c>
      <c r="X91" s="20">
        <f>+MOP_Mes_Corriente!X92*MOP_Mes_Constante!$P$1</f>
        <v>0</v>
      </c>
      <c r="Y91" s="20">
        <f>+MOP_Mes_Corriente!Y92*MOP_Mes_Constante!$P$1</f>
        <v>0</v>
      </c>
      <c r="Z91" s="20">
        <f>+MOP_Mes_Corriente!Z92*MOP_Mes_Constante!$P$1</f>
        <v>0</v>
      </c>
      <c r="AA91" s="20">
        <f>+MOP_Mes_Corriente!AA92*MOP_Mes_Constante!$P$1</f>
        <v>0</v>
      </c>
      <c r="AB91" s="20">
        <f t="shared" si="115"/>
        <v>0</v>
      </c>
      <c r="AC91" s="20">
        <f>+MOP_Mes_Corriente!AC92*MOP_Mes_Constante!$AC$1</f>
        <v>0</v>
      </c>
      <c r="AD91" s="20">
        <f>+MOP_Mes_Corriente!AD92*MOP_Mes_Constante!$AC$1</f>
        <v>0</v>
      </c>
      <c r="AE91" s="20">
        <f>+MOP_Mes_Corriente!AE92*MOP_Mes_Constante!$AC$1</f>
        <v>0</v>
      </c>
      <c r="AF91" s="20">
        <f>+MOP_Mes_Corriente!AF92*MOP_Mes_Constante!$AC$1</f>
        <v>0</v>
      </c>
      <c r="AG91" s="20">
        <f>+MOP_Mes_Corriente!AG92*MOP_Mes_Constante!$AC$1</f>
        <v>0</v>
      </c>
      <c r="AH91" s="20">
        <f>+MOP_Mes_Corriente!AH92*MOP_Mes_Constante!$AC$1</f>
        <v>0</v>
      </c>
      <c r="AI91" s="20">
        <f>+MOP_Mes_Corriente!AI92*MOP_Mes_Constante!$AC$1</f>
        <v>0</v>
      </c>
      <c r="AJ91" s="20">
        <f>+MOP_Mes_Corriente!AJ92*MOP_Mes_Constante!$AC$1</f>
        <v>0</v>
      </c>
      <c r="AK91" s="20">
        <f>+MOP_Mes_Corriente!AK92*MOP_Mes_Constante!$AC$1</f>
        <v>0</v>
      </c>
      <c r="AL91" s="20">
        <f>+MOP_Mes_Corriente!AL92*MOP_Mes_Constante!$AC$1</f>
        <v>0</v>
      </c>
      <c r="AM91" s="20">
        <f>+MOP_Mes_Corriente!AM92*MOP_Mes_Constante!$AC$1</f>
        <v>0</v>
      </c>
      <c r="AN91" s="20">
        <f>+MOP_Mes_Corriente!AN92*MOP_Mes_Constante!$AC$1</f>
        <v>0</v>
      </c>
      <c r="AO91" s="20">
        <f t="shared" si="116"/>
        <v>0</v>
      </c>
      <c r="AP91" s="20">
        <f>+MOP_Mes_Corriente!AP92*MOP_Mes_Constante!$AP$1</f>
        <v>0</v>
      </c>
      <c r="AQ91" s="20">
        <f>+MOP_Mes_Corriente!AQ92*MOP_Mes_Constante!$AP$1</f>
        <v>0</v>
      </c>
      <c r="AR91" s="20">
        <f>+MOP_Mes_Corriente!AR92*MOP_Mes_Constante!$AP$1</f>
        <v>0</v>
      </c>
      <c r="AS91" s="20">
        <f>+MOP_Mes_Corriente!AS92*MOP_Mes_Constante!$AP$1</f>
        <v>0</v>
      </c>
      <c r="AT91" s="20">
        <f>+MOP_Mes_Corriente!AT92*MOP_Mes_Constante!$AP$1</f>
        <v>0</v>
      </c>
      <c r="AU91" s="20">
        <f>+MOP_Mes_Corriente!AU92*MOP_Mes_Constante!$AP$1</f>
        <v>0</v>
      </c>
      <c r="AV91" s="20">
        <f>+MOP_Mes_Corriente!AV92*MOP_Mes_Constante!$AP$1</f>
        <v>0</v>
      </c>
      <c r="AW91" s="20">
        <f>+MOP_Mes_Corriente!AW92*MOP_Mes_Constante!$AP$1</f>
        <v>0</v>
      </c>
      <c r="AX91" s="20">
        <f>+MOP_Mes_Corriente!AX92*MOP_Mes_Constante!$AP$1</f>
        <v>0</v>
      </c>
      <c r="AY91" s="20">
        <f>+MOP_Mes_Corriente!AY92*MOP_Mes_Constante!$AP$1</f>
        <v>0</v>
      </c>
      <c r="AZ91" s="20">
        <f>+MOP_Mes_Corriente!AZ92*MOP_Mes_Constante!$AP$1</f>
        <v>0</v>
      </c>
      <c r="BA91" s="20">
        <f>+MOP_Mes_Corriente!BA92*MOP_Mes_Constante!$AP$1</f>
        <v>0</v>
      </c>
      <c r="BB91" s="20">
        <f t="shared" si="117"/>
        <v>0</v>
      </c>
      <c r="BC91" s="20">
        <f>+MOP_Mes_Corriente!BC92*MOP_Mes_Constante!$BC$1</f>
        <v>0</v>
      </c>
      <c r="BD91" s="20">
        <f>+MOP_Mes_Corriente!BD92*MOP_Mes_Constante!$BC$1</f>
        <v>0</v>
      </c>
      <c r="BE91" s="20">
        <f>+MOP_Mes_Corriente!BE92*MOP_Mes_Constante!$BC$1</f>
        <v>0</v>
      </c>
      <c r="BF91" s="20">
        <f>+MOP_Mes_Corriente!BF92*MOP_Mes_Constante!$BC$1</f>
        <v>0</v>
      </c>
      <c r="BG91" s="20">
        <f>+MOP_Mes_Corriente!BG92*MOP_Mes_Constante!$BC$1</f>
        <v>0</v>
      </c>
      <c r="BH91" s="20">
        <f>+MOP_Mes_Corriente!BH92*MOP_Mes_Constante!$BC$1</f>
        <v>0</v>
      </c>
      <c r="BI91" s="20">
        <f>+MOP_Mes_Corriente!BI92*MOP_Mes_Constante!$BC$1</f>
        <v>0</v>
      </c>
      <c r="BJ91" s="20">
        <f>+MOP_Mes_Corriente!BJ92*MOP_Mes_Constante!$BC$1</f>
        <v>0</v>
      </c>
      <c r="BK91" s="20">
        <f>+MOP_Mes_Corriente!BK92*MOP_Mes_Constante!$BC$1</f>
        <v>0</v>
      </c>
      <c r="BL91" s="20">
        <f>+MOP_Mes_Corriente!BL92*MOP_Mes_Constante!$BC$1</f>
        <v>0</v>
      </c>
      <c r="BM91" s="20">
        <f>+MOP_Mes_Corriente!BM92*MOP_Mes_Constante!$BC$1</f>
        <v>0</v>
      </c>
      <c r="BN91" s="20">
        <f>+MOP_Mes_Corriente!BN92*MOP_Mes_Constante!$BC$1</f>
        <v>0</v>
      </c>
      <c r="BO91" s="20">
        <f t="shared" si="118"/>
        <v>0</v>
      </c>
      <c r="BP91" s="20">
        <f>+MOP_Mes_Corriente!BP92*MOP_Mes_Constante!$BP$1</f>
        <v>0</v>
      </c>
      <c r="BQ91" s="20">
        <f>+MOP_Mes_Corriente!BQ92*MOP_Mes_Constante!$BP$1</f>
        <v>0</v>
      </c>
      <c r="BR91" s="20">
        <f>+MOP_Mes_Corriente!BR92*MOP_Mes_Constante!$BP$1</f>
        <v>0</v>
      </c>
      <c r="BS91" s="20">
        <f>+MOP_Mes_Corriente!BS92*MOP_Mes_Constante!$BP$1</f>
        <v>0</v>
      </c>
      <c r="BT91" s="20">
        <f>+MOP_Mes_Corriente!BT92*MOP_Mes_Constante!$BP$1</f>
        <v>0</v>
      </c>
      <c r="BU91" s="20">
        <f>+MOP_Mes_Corriente!BU92*MOP_Mes_Constante!$BP$1</f>
        <v>0</v>
      </c>
      <c r="BV91" s="20">
        <f>+MOP_Mes_Corriente!BV92*MOP_Mes_Constante!$BP$1</f>
        <v>0</v>
      </c>
      <c r="BW91" s="20">
        <f>+MOP_Mes_Corriente!BW92*MOP_Mes_Constante!$BP$1</f>
        <v>0</v>
      </c>
      <c r="BX91" s="20">
        <f>+MOP_Mes_Corriente!BX92*MOP_Mes_Constante!$BP$1</f>
        <v>0</v>
      </c>
      <c r="BY91" s="20">
        <f>+MOP_Mes_Corriente!BY92*MOP_Mes_Constante!$BP$1</f>
        <v>0</v>
      </c>
      <c r="BZ91" s="20">
        <f>+MOP_Mes_Corriente!BZ92*MOP_Mes_Constante!$BP$1</f>
        <v>0</v>
      </c>
      <c r="CA91" s="20">
        <f>+MOP_Mes_Corriente!CA92*MOP_Mes_Constante!$BP$1</f>
        <v>0</v>
      </c>
      <c r="CB91" s="20">
        <f t="shared" si="119"/>
        <v>0</v>
      </c>
      <c r="CC91" s="20">
        <f>+MOP_Mes_Corriente!CC92*MOP_Mes_Constante!$CC$1</f>
        <v>0</v>
      </c>
      <c r="CD91" s="20">
        <f>+MOP_Mes_Corriente!CD92*MOP_Mes_Constante!$CC$1</f>
        <v>0</v>
      </c>
      <c r="CE91" s="20">
        <f>+MOP_Mes_Corriente!CE92*MOP_Mes_Constante!$CC$1</f>
        <v>0</v>
      </c>
      <c r="CF91" s="20">
        <f>+MOP_Mes_Corriente!CF92*MOP_Mes_Constante!$CC$1</f>
        <v>0</v>
      </c>
      <c r="CG91" s="20">
        <f>+MOP_Mes_Corriente!CG92*MOP_Mes_Constante!$CC$1</f>
        <v>0</v>
      </c>
      <c r="CH91" s="20">
        <f>+MOP_Mes_Corriente!CH92*MOP_Mes_Constante!$CC$1</f>
        <v>0</v>
      </c>
      <c r="CI91" s="20">
        <f>+MOP_Mes_Corriente!CI92*MOP_Mes_Constante!$CC$1</f>
        <v>0</v>
      </c>
      <c r="CJ91" s="20">
        <f>+MOP_Mes_Corriente!CJ92*MOP_Mes_Constante!$CC$1</f>
        <v>0</v>
      </c>
      <c r="CK91" s="20">
        <f>+MOP_Mes_Corriente!CK92*MOP_Mes_Constante!$CC$1</f>
        <v>0</v>
      </c>
      <c r="CL91" s="20">
        <f>+MOP_Mes_Corriente!CL92*MOP_Mes_Constante!$CC$1</f>
        <v>0</v>
      </c>
      <c r="CM91" s="20">
        <f>+MOP_Mes_Corriente!CM92*MOP_Mes_Constante!$CC$1</f>
        <v>0</v>
      </c>
      <c r="CN91" s="20">
        <f>+MOP_Mes_Corriente!CN92*MOP_Mes_Constante!$CC$1</f>
        <v>0</v>
      </c>
      <c r="CO91" s="20">
        <f t="shared" si="120"/>
        <v>0</v>
      </c>
      <c r="CP91" s="20">
        <f>+MOP_Mes_Corriente!CP92*MOP_Mes_Constante!$CP$1</f>
        <v>0</v>
      </c>
      <c r="CQ91" s="20">
        <f>+MOP_Mes_Corriente!CQ92*MOP_Mes_Constante!$CP$1</f>
        <v>0</v>
      </c>
      <c r="CR91" s="20">
        <f>+MOP_Mes_Corriente!CR92*MOP_Mes_Constante!$CP$1</f>
        <v>0</v>
      </c>
      <c r="CS91" s="20">
        <f>+MOP_Mes_Corriente!CS92*MOP_Mes_Constante!$CP$1</f>
        <v>0</v>
      </c>
      <c r="CT91" s="20">
        <f>+MOP_Mes_Corriente!CT92*MOP_Mes_Constante!$CP$1</f>
        <v>0</v>
      </c>
      <c r="CU91" s="20">
        <f>+MOP_Mes_Corriente!CU92*MOP_Mes_Constante!$CP$1</f>
        <v>0</v>
      </c>
      <c r="CV91" s="20">
        <f>+MOP_Mes_Corriente!CV92*MOP_Mes_Constante!$CP$1</f>
        <v>0</v>
      </c>
      <c r="CW91" s="20">
        <f>+MOP_Mes_Corriente!CW92*MOP_Mes_Constante!$CP$1</f>
        <v>0</v>
      </c>
      <c r="CX91" s="20">
        <f>+MOP_Mes_Corriente!CX92*MOP_Mes_Constante!$CP$1</f>
        <v>0</v>
      </c>
      <c r="CY91" s="20">
        <f>+MOP_Mes_Corriente!CY92*MOP_Mes_Constante!$CP$1</f>
        <v>0</v>
      </c>
      <c r="CZ91" s="20">
        <f>+MOP_Mes_Corriente!CZ92*MOP_Mes_Constante!$CP$1</f>
        <v>0</v>
      </c>
      <c r="DA91" s="20">
        <f>+MOP_Mes_Corriente!DA92*MOP_Mes_Constante!$CP$1</f>
        <v>0</v>
      </c>
      <c r="DB91" s="20">
        <f t="shared" si="121"/>
        <v>0</v>
      </c>
      <c r="DC91" s="20">
        <f>+MOP_Mes_Corriente!DC92*MOP_Mes_Constante!$DC$1</f>
        <v>0</v>
      </c>
      <c r="DD91" s="20">
        <f>+MOP_Mes_Corriente!DD92*MOP_Mes_Constante!$DC$1</f>
        <v>0</v>
      </c>
      <c r="DE91" s="20">
        <f>+MOP_Mes_Corriente!DE92*MOP_Mes_Constante!$DC$1</f>
        <v>0</v>
      </c>
      <c r="DF91" s="20">
        <f>+MOP_Mes_Corriente!DF92*MOP_Mes_Constante!$DC$1</f>
        <v>0</v>
      </c>
      <c r="DG91" s="20">
        <f>+MOP_Mes_Corriente!DG92*MOP_Mes_Constante!$DC$1</f>
        <v>0</v>
      </c>
      <c r="DH91" s="20">
        <f>+MOP_Mes_Corriente!DH92*MOP_Mes_Constante!$DC$1</f>
        <v>0</v>
      </c>
      <c r="DI91" s="20">
        <f>+MOP_Mes_Corriente!DI92*MOP_Mes_Constante!$DC$1</f>
        <v>0</v>
      </c>
      <c r="DJ91" s="20">
        <f>+MOP_Mes_Corriente!DJ92*MOP_Mes_Constante!$DC$1</f>
        <v>0</v>
      </c>
      <c r="DK91" s="20">
        <f>+MOP_Mes_Corriente!DK92*MOP_Mes_Constante!$DC$1</f>
        <v>0</v>
      </c>
      <c r="DL91" s="20">
        <f>+MOP_Mes_Corriente!DL92*MOP_Mes_Constante!$DC$1</f>
        <v>0</v>
      </c>
      <c r="DM91" s="20">
        <f>+MOP_Mes_Corriente!DM92*MOP_Mes_Constante!$DC$1</f>
        <v>0</v>
      </c>
      <c r="DN91" s="20">
        <f>+MOP_Mes_Corriente!DN92*MOP_Mes_Constante!$DC$1</f>
        <v>0</v>
      </c>
      <c r="DO91" s="20">
        <f t="shared" si="122"/>
        <v>0</v>
      </c>
      <c r="DP91" s="20">
        <f>+MOP_Mes_Corriente!DP92*MOP_Mes_Constante!$DP$1</f>
        <v>0</v>
      </c>
      <c r="DQ91" s="20">
        <f>+MOP_Mes_Corriente!DQ92*MOP_Mes_Constante!$DP$1</f>
        <v>0</v>
      </c>
      <c r="DR91" s="20">
        <f>+MOP_Mes_Corriente!DR92*MOP_Mes_Constante!$DP$1</f>
        <v>0</v>
      </c>
      <c r="DS91" s="20">
        <f>+MOP_Mes_Corriente!DS92*MOP_Mes_Constante!$DP$1</f>
        <v>0</v>
      </c>
      <c r="DT91" s="20">
        <f>+MOP_Mes_Corriente!DT92*MOP_Mes_Constante!$DP$1</f>
        <v>0</v>
      </c>
      <c r="DU91" s="20">
        <f>+MOP_Mes_Corriente!DU92*MOP_Mes_Constante!$DP$1</f>
        <v>0</v>
      </c>
      <c r="DV91" s="20">
        <f>+MOP_Mes_Corriente!DV92*MOP_Mes_Constante!$DP$1</f>
        <v>0</v>
      </c>
      <c r="DW91" s="20">
        <f>+MOP_Mes_Corriente!DW92*MOP_Mes_Constante!$DP$1</f>
        <v>0</v>
      </c>
      <c r="DX91" s="20">
        <f>+MOP_Mes_Corriente!DX92*MOP_Mes_Constante!$DP$1</f>
        <v>0</v>
      </c>
      <c r="DY91" s="20">
        <f>+MOP_Mes_Corriente!DY92*MOP_Mes_Constante!$DP$1</f>
        <v>0</v>
      </c>
      <c r="DZ91" s="20">
        <f>+MOP_Mes_Corriente!DZ92*MOP_Mes_Constante!$DP$1</f>
        <v>0</v>
      </c>
      <c r="EA91" s="20">
        <f>+MOP_Mes_Corriente!EA92*MOP_Mes_Constante!$DP$1</f>
        <v>0</v>
      </c>
      <c r="EB91" s="20">
        <f t="shared" si="123"/>
        <v>0</v>
      </c>
      <c r="EC91" s="20">
        <f>+MOP_Mes_Corriente!EC92*MOP_Mes_Constante!$EC$1</f>
        <v>0</v>
      </c>
      <c r="ED91" s="20">
        <f>+MOP_Mes_Corriente!ED92*MOP_Mes_Constante!$EC$1</f>
        <v>0</v>
      </c>
      <c r="EE91" s="20">
        <f>+MOP_Mes_Corriente!EE92*MOP_Mes_Constante!$EC$1</f>
        <v>0</v>
      </c>
      <c r="EF91" s="20">
        <f>+MOP_Mes_Corriente!EF92*MOP_Mes_Constante!$EC$1</f>
        <v>0</v>
      </c>
      <c r="EG91" s="20">
        <f>+MOP_Mes_Corriente!EG92*MOP_Mes_Constante!$EC$1</f>
        <v>0</v>
      </c>
      <c r="EH91" s="20">
        <f>+MOP_Mes_Corriente!EH92*MOP_Mes_Constante!$EC$1</f>
        <v>0</v>
      </c>
      <c r="EI91" s="20">
        <f>+MOP_Mes_Corriente!EI92*MOP_Mes_Constante!$EC$1</f>
        <v>0</v>
      </c>
      <c r="EJ91" s="20">
        <f>+MOP_Mes_Corriente!EJ92*MOP_Mes_Constante!$EC$1</f>
        <v>0</v>
      </c>
      <c r="EK91" s="20">
        <f>+MOP_Mes_Corriente!EK92*MOP_Mes_Constante!$EC$1</f>
        <v>0</v>
      </c>
      <c r="EL91" s="20">
        <f>+MOP_Mes_Corriente!EL92*MOP_Mes_Constante!$EC$1</f>
        <v>0</v>
      </c>
      <c r="EM91" s="20">
        <f>+MOP_Mes_Corriente!EM92*MOP_Mes_Constante!$EC$1</f>
        <v>0</v>
      </c>
      <c r="EN91" s="20">
        <f>+MOP_Mes_Corriente!EN92*MOP_Mes_Constante!$EC$1</f>
        <v>0</v>
      </c>
      <c r="EO91" s="20">
        <f t="shared" si="124"/>
        <v>0</v>
      </c>
      <c r="EP91" s="20">
        <f>+MOP_Mes_Corriente!EP92*MOP_Mes_Constante!$EP$1</f>
        <v>0</v>
      </c>
      <c r="EQ91" s="20">
        <f>+MOP_Mes_Corriente!EQ92*MOP_Mes_Constante!$EP$1</f>
        <v>0</v>
      </c>
      <c r="ER91" s="20">
        <f>+MOP_Mes_Corriente!ER92*MOP_Mes_Constante!$EP$1</f>
        <v>0</v>
      </c>
      <c r="ES91" s="20">
        <f>+MOP_Mes_Corriente!ES92*MOP_Mes_Constante!$EP$1</f>
        <v>0</v>
      </c>
      <c r="ET91" s="20">
        <f>+MOP_Mes_Corriente!ET92*MOP_Mes_Constante!$EP$1</f>
        <v>0</v>
      </c>
      <c r="EU91" s="20">
        <f>+MOP_Mes_Corriente!EU92*MOP_Mes_Constante!$EP$1</f>
        <v>0</v>
      </c>
      <c r="EV91" s="20">
        <f>+MOP_Mes_Corriente!EV92*MOP_Mes_Constante!$EP$1</f>
        <v>0</v>
      </c>
      <c r="EW91" s="20">
        <f>+MOP_Mes_Corriente!EW92*MOP_Mes_Constante!$EP$1</f>
        <v>0</v>
      </c>
      <c r="EX91" s="20">
        <f>+MOP_Mes_Corriente!EX92*MOP_Mes_Constante!$EP$1</f>
        <v>0</v>
      </c>
      <c r="EY91" s="20">
        <f>+MOP_Mes_Corriente!EY92*MOP_Mes_Constante!$EP$1</f>
        <v>0</v>
      </c>
      <c r="EZ91" s="20">
        <f>+MOP_Mes_Corriente!EZ92*MOP_Mes_Constante!$EP$1</f>
        <v>0</v>
      </c>
      <c r="FA91" s="20">
        <f>+MOP_Mes_Corriente!FA92*MOP_Mes_Constante!$EP$1</f>
        <v>0</v>
      </c>
      <c r="FB91" s="20">
        <f t="shared" si="125"/>
        <v>0</v>
      </c>
      <c r="FC91" s="20">
        <f>+MOP_Mes_Corriente!FC92*MOP_Mes_Constante!$FC$1</f>
        <v>0</v>
      </c>
      <c r="FD91" s="20">
        <f>+MOP_Mes_Corriente!FD92*MOP_Mes_Constante!$FC$1</f>
        <v>0</v>
      </c>
      <c r="FE91" s="20">
        <f>+MOP_Mes_Corriente!FE92*MOP_Mes_Constante!$FC$1</f>
        <v>0</v>
      </c>
      <c r="FF91" s="20">
        <f>+MOP_Mes_Corriente!FF92*MOP_Mes_Constante!$FC$1</f>
        <v>0</v>
      </c>
      <c r="FG91" s="20">
        <f>+MOP_Mes_Corriente!FG92*MOP_Mes_Constante!$FC$1</f>
        <v>0</v>
      </c>
      <c r="FH91" s="20">
        <f>+MOP_Mes_Corriente!FH92*MOP_Mes_Constante!$FC$1</f>
        <v>0</v>
      </c>
      <c r="FI91" s="20">
        <f>+MOP_Mes_Corriente!FI92*MOP_Mes_Constante!$FC$1</f>
        <v>0</v>
      </c>
      <c r="FJ91" s="10"/>
      <c r="FK91" s="10"/>
      <c r="FL91" s="10"/>
      <c r="FM91" s="10"/>
      <c r="FN91" s="10"/>
      <c r="FO91" s="20">
        <f t="shared" si="126"/>
        <v>0</v>
      </c>
    </row>
    <row r="92" spans="1:171" ht="27.75" customHeight="1">
      <c r="A92" s="10"/>
      <c r="B92" s="19" t="s">
        <v>48</v>
      </c>
      <c r="C92" s="20">
        <f>+MOP_Mes_Corriente!C93*MOP_Mes_Constante!$C$1</f>
        <v>0</v>
      </c>
      <c r="D92" s="20">
        <f>+MOP_Mes_Corriente!D93*MOP_Mes_Constante!$C$1</f>
        <v>0</v>
      </c>
      <c r="E92" s="20">
        <f>+MOP_Mes_Corriente!E93*MOP_Mes_Constante!$C$1</f>
        <v>0</v>
      </c>
      <c r="F92" s="20">
        <f>+MOP_Mes_Corriente!F93*MOP_Mes_Constante!$C$1</f>
        <v>0</v>
      </c>
      <c r="G92" s="20">
        <f>+MOP_Mes_Corriente!G93*MOP_Mes_Constante!$C$1</f>
        <v>0</v>
      </c>
      <c r="H92" s="20">
        <f>+MOP_Mes_Corriente!H93*MOP_Mes_Constante!$C$1</f>
        <v>0</v>
      </c>
      <c r="I92" s="20">
        <f>+MOP_Mes_Corriente!I93*MOP_Mes_Constante!$C$1</f>
        <v>0</v>
      </c>
      <c r="J92" s="20">
        <f>+MOP_Mes_Corriente!J93*MOP_Mes_Constante!$C$1</f>
        <v>0</v>
      </c>
      <c r="K92" s="20">
        <f>+MOP_Mes_Corriente!K93*MOP_Mes_Constante!$C$1</f>
        <v>0</v>
      </c>
      <c r="L92" s="20">
        <f>+MOP_Mes_Corriente!L93*MOP_Mes_Constante!$C$1</f>
        <v>0</v>
      </c>
      <c r="M92" s="20">
        <f>+MOP_Mes_Corriente!M93*MOP_Mes_Constante!$C$1</f>
        <v>0</v>
      </c>
      <c r="N92" s="20">
        <f>+MOP_Mes_Corriente!N93*MOP_Mes_Constante!$C$1</f>
        <v>0</v>
      </c>
      <c r="O92" s="20">
        <f t="shared" si="114"/>
        <v>0</v>
      </c>
      <c r="P92" s="20">
        <f>+MOP_Mes_Corriente!P93*MOP_Mes_Constante!$P$1</f>
        <v>0</v>
      </c>
      <c r="Q92" s="20">
        <f>+MOP_Mes_Corriente!Q93*MOP_Mes_Constante!$P$1</f>
        <v>0</v>
      </c>
      <c r="R92" s="20">
        <f>+MOP_Mes_Corriente!R93*MOP_Mes_Constante!$P$1</f>
        <v>0</v>
      </c>
      <c r="S92" s="20">
        <f>+MOP_Mes_Corriente!S93*MOP_Mes_Constante!$P$1</f>
        <v>0</v>
      </c>
      <c r="T92" s="20">
        <f>+MOP_Mes_Corriente!T93*MOP_Mes_Constante!$P$1</f>
        <v>0</v>
      </c>
      <c r="U92" s="20">
        <f>+MOP_Mes_Corriente!U93*MOP_Mes_Constante!$P$1</f>
        <v>0</v>
      </c>
      <c r="V92" s="20">
        <f>+MOP_Mes_Corriente!V93*MOP_Mes_Constante!$P$1</f>
        <v>0</v>
      </c>
      <c r="W92" s="20">
        <f>+MOP_Mes_Corriente!W93*MOP_Mes_Constante!$P$1</f>
        <v>0</v>
      </c>
      <c r="X92" s="20">
        <f>+MOP_Mes_Corriente!X93*MOP_Mes_Constante!$P$1</f>
        <v>0</v>
      </c>
      <c r="Y92" s="20">
        <f>+MOP_Mes_Corriente!Y93*MOP_Mes_Constante!$P$1</f>
        <v>0</v>
      </c>
      <c r="Z92" s="20">
        <f>+MOP_Mes_Corriente!Z93*MOP_Mes_Constante!$P$1</f>
        <v>0</v>
      </c>
      <c r="AA92" s="20">
        <f>+MOP_Mes_Corriente!AA93*MOP_Mes_Constante!$P$1</f>
        <v>0</v>
      </c>
      <c r="AB92" s="20">
        <f t="shared" si="115"/>
        <v>0</v>
      </c>
      <c r="AC92" s="20">
        <f>+MOP_Mes_Corriente!AC93*MOP_Mes_Constante!$AC$1</f>
        <v>0</v>
      </c>
      <c r="AD92" s="20">
        <f>+MOP_Mes_Corriente!AD93*MOP_Mes_Constante!$AC$1</f>
        <v>0</v>
      </c>
      <c r="AE92" s="20">
        <f>+MOP_Mes_Corriente!AE93*MOP_Mes_Constante!$AC$1</f>
        <v>0</v>
      </c>
      <c r="AF92" s="20">
        <f>+MOP_Mes_Corriente!AF93*MOP_Mes_Constante!$AC$1</f>
        <v>0</v>
      </c>
      <c r="AG92" s="20">
        <f>+MOP_Mes_Corriente!AG93*MOP_Mes_Constante!$AC$1</f>
        <v>0</v>
      </c>
      <c r="AH92" s="20">
        <f>+MOP_Mes_Corriente!AH93*MOP_Mes_Constante!$AC$1</f>
        <v>0</v>
      </c>
      <c r="AI92" s="20">
        <f>+MOP_Mes_Corriente!AI93*MOP_Mes_Constante!$AC$1</f>
        <v>0</v>
      </c>
      <c r="AJ92" s="20">
        <f>+MOP_Mes_Corriente!AJ93*MOP_Mes_Constante!$AC$1</f>
        <v>0</v>
      </c>
      <c r="AK92" s="20">
        <f>+MOP_Mes_Corriente!AK93*MOP_Mes_Constante!$AC$1</f>
        <v>0</v>
      </c>
      <c r="AL92" s="20">
        <f>+MOP_Mes_Corriente!AL93*MOP_Mes_Constante!$AC$1</f>
        <v>0</v>
      </c>
      <c r="AM92" s="20">
        <f>+MOP_Mes_Corriente!AM93*MOP_Mes_Constante!$AC$1</f>
        <v>0</v>
      </c>
      <c r="AN92" s="20">
        <f>+MOP_Mes_Corriente!AN93*MOP_Mes_Constante!$AC$1</f>
        <v>0</v>
      </c>
      <c r="AO92" s="20">
        <f t="shared" si="116"/>
        <v>0</v>
      </c>
      <c r="AP92" s="20">
        <f>+MOP_Mes_Corriente!AP93*MOP_Mes_Constante!$AP$1</f>
        <v>0</v>
      </c>
      <c r="AQ92" s="20">
        <f>+MOP_Mes_Corriente!AQ93*MOP_Mes_Constante!$AP$1</f>
        <v>0</v>
      </c>
      <c r="AR92" s="20">
        <f>+MOP_Mes_Corriente!AR93*MOP_Mes_Constante!$AP$1</f>
        <v>0</v>
      </c>
      <c r="AS92" s="20">
        <f>+MOP_Mes_Corriente!AS93*MOP_Mes_Constante!$AP$1</f>
        <v>0</v>
      </c>
      <c r="AT92" s="20">
        <f>+MOP_Mes_Corriente!AT93*MOP_Mes_Constante!$AP$1</f>
        <v>0</v>
      </c>
      <c r="AU92" s="20">
        <f>+MOP_Mes_Corriente!AU93*MOP_Mes_Constante!$AP$1</f>
        <v>0</v>
      </c>
      <c r="AV92" s="20">
        <f>+MOP_Mes_Corriente!AV93*MOP_Mes_Constante!$AP$1</f>
        <v>0</v>
      </c>
      <c r="AW92" s="20">
        <f>+MOP_Mes_Corriente!AW93*MOP_Mes_Constante!$AP$1</f>
        <v>0</v>
      </c>
      <c r="AX92" s="20">
        <f>+MOP_Mes_Corriente!AX93*MOP_Mes_Constante!$AP$1</f>
        <v>0</v>
      </c>
      <c r="AY92" s="20">
        <f>+MOP_Mes_Corriente!AY93*MOP_Mes_Constante!$AP$1</f>
        <v>0</v>
      </c>
      <c r="AZ92" s="20">
        <f>+MOP_Mes_Corriente!AZ93*MOP_Mes_Constante!$AP$1</f>
        <v>0</v>
      </c>
      <c r="BA92" s="20">
        <f>+MOP_Mes_Corriente!BA93*MOP_Mes_Constante!$AP$1</f>
        <v>0</v>
      </c>
      <c r="BB92" s="20">
        <f t="shared" si="117"/>
        <v>0</v>
      </c>
      <c r="BC92" s="20">
        <f>+MOP_Mes_Corriente!BC93*MOP_Mes_Constante!$BC$1</f>
        <v>0</v>
      </c>
      <c r="BD92" s="20">
        <f>+MOP_Mes_Corriente!BD93*MOP_Mes_Constante!$BC$1</f>
        <v>0</v>
      </c>
      <c r="BE92" s="20">
        <f>+MOP_Mes_Corriente!BE93*MOP_Mes_Constante!$BC$1</f>
        <v>0</v>
      </c>
      <c r="BF92" s="20">
        <f>+MOP_Mes_Corriente!BF93*MOP_Mes_Constante!$BC$1</f>
        <v>0</v>
      </c>
      <c r="BG92" s="20">
        <f>+MOP_Mes_Corriente!BG93*MOP_Mes_Constante!$BC$1</f>
        <v>0</v>
      </c>
      <c r="BH92" s="20">
        <f>+MOP_Mes_Corriente!BH93*MOP_Mes_Constante!$BC$1</f>
        <v>0</v>
      </c>
      <c r="BI92" s="20">
        <f>+MOP_Mes_Corriente!BI93*MOP_Mes_Constante!$BC$1</f>
        <v>0</v>
      </c>
      <c r="BJ92" s="20">
        <f>+MOP_Mes_Corriente!BJ93*MOP_Mes_Constante!$BC$1</f>
        <v>0</v>
      </c>
      <c r="BK92" s="20">
        <f>+MOP_Mes_Corriente!BK93*MOP_Mes_Constante!$BC$1</f>
        <v>0</v>
      </c>
      <c r="BL92" s="20">
        <f>+MOP_Mes_Corriente!BL93*MOP_Mes_Constante!$BC$1</f>
        <v>0</v>
      </c>
      <c r="BM92" s="20">
        <f>+MOP_Mes_Corriente!BM93*MOP_Mes_Constante!$BC$1</f>
        <v>0</v>
      </c>
      <c r="BN92" s="20">
        <f>+MOP_Mes_Corriente!BN93*MOP_Mes_Constante!$BC$1</f>
        <v>0</v>
      </c>
      <c r="BO92" s="20">
        <f t="shared" si="118"/>
        <v>0</v>
      </c>
      <c r="BP92" s="20">
        <f>+MOP_Mes_Corriente!BP93*MOP_Mes_Constante!$BP$1</f>
        <v>0</v>
      </c>
      <c r="BQ92" s="20">
        <f>+MOP_Mes_Corriente!BQ93*MOP_Mes_Constante!$BP$1</f>
        <v>0</v>
      </c>
      <c r="BR92" s="20">
        <f>+MOP_Mes_Corriente!BR93*MOP_Mes_Constante!$BP$1</f>
        <v>0</v>
      </c>
      <c r="BS92" s="20">
        <f>+MOP_Mes_Corriente!BS93*MOP_Mes_Constante!$BP$1</f>
        <v>0</v>
      </c>
      <c r="BT92" s="20">
        <f>+MOP_Mes_Corriente!BT93*MOP_Mes_Constante!$BP$1</f>
        <v>0</v>
      </c>
      <c r="BU92" s="20">
        <f>+MOP_Mes_Corriente!BU93*MOP_Mes_Constante!$BP$1</f>
        <v>0</v>
      </c>
      <c r="BV92" s="20">
        <f>+MOP_Mes_Corriente!BV93*MOP_Mes_Constante!$BP$1</f>
        <v>0</v>
      </c>
      <c r="BW92" s="20">
        <f>+MOP_Mes_Corriente!BW93*MOP_Mes_Constante!$BP$1</f>
        <v>0</v>
      </c>
      <c r="BX92" s="20">
        <f>+MOP_Mes_Corriente!BX93*MOP_Mes_Constante!$BP$1</f>
        <v>0</v>
      </c>
      <c r="BY92" s="20">
        <f>+MOP_Mes_Corriente!BY93*MOP_Mes_Constante!$BP$1</f>
        <v>0</v>
      </c>
      <c r="BZ92" s="20">
        <f>+MOP_Mes_Corriente!BZ93*MOP_Mes_Constante!$BP$1</f>
        <v>0</v>
      </c>
      <c r="CA92" s="20">
        <f>+MOP_Mes_Corriente!CA93*MOP_Mes_Constante!$BP$1</f>
        <v>0</v>
      </c>
      <c r="CB92" s="20">
        <f t="shared" si="119"/>
        <v>0</v>
      </c>
      <c r="CC92" s="20">
        <f>+MOP_Mes_Corriente!CC93*MOP_Mes_Constante!$CC$1</f>
        <v>0</v>
      </c>
      <c r="CD92" s="20">
        <f>+MOP_Mes_Corriente!CD93*MOP_Mes_Constante!$CC$1</f>
        <v>0</v>
      </c>
      <c r="CE92" s="20">
        <f>+MOP_Mes_Corriente!CE93*MOP_Mes_Constante!$CC$1</f>
        <v>0</v>
      </c>
      <c r="CF92" s="20">
        <f>+MOP_Mes_Corriente!CF93*MOP_Mes_Constante!$CC$1</f>
        <v>0</v>
      </c>
      <c r="CG92" s="20">
        <f>+MOP_Mes_Corriente!CG93*MOP_Mes_Constante!$CC$1</f>
        <v>0</v>
      </c>
      <c r="CH92" s="20">
        <f>+MOP_Mes_Corriente!CH93*MOP_Mes_Constante!$CC$1</f>
        <v>0</v>
      </c>
      <c r="CI92" s="20">
        <f>+MOP_Mes_Corriente!CI93*MOP_Mes_Constante!$CC$1</f>
        <v>0</v>
      </c>
      <c r="CJ92" s="20">
        <f>+MOP_Mes_Corriente!CJ93*MOP_Mes_Constante!$CC$1</f>
        <v>0</v>
      </c>
      <c r="CK92" s="20">
        <f>+MOP_Mes_Corriente!CK93*MOP_Mes_Constante!$CC$1</f>
        <v>0</v>
      </c>
      <c r="CL92" s="20">
        <f>+MOP_Mes_Corriente!CL93*MOP_Mes_Constante!$CC$1</f>
        <v>0</v>
      </c>
      <c r="CM92" s="20">
        <f>+MOP_Mes_Corriente!CM93*MOP_Mes_Constante!$CC$1</f>
        <v>0</v>
      </c>
      <c r="CN92" s="20">
        <f>+MOP_Mes_Corriente!CN93*MOP_Mes_Constante!$CC$1</f>
        <v>0</v>
      </c>
      <c r="CO92" s="20">
        <f t="shared" si="120"/>
        <v>0</v>
      </c>
      <c r="CP92" s="20">
        <f>+MOP_Mes_Corriente!CP93*MOP_Mes_Constante!$CP$1</f>
        <v>0</v>
      </c>
      <c r="CQ92" s="20">
        <f>+MOP_Mes_Corriente!CQ93*MOP_Mes_Constante!$CP$1</f>
        <v>0</v>
      </c>
      <c r="CR92" s="20">
        <f>+MOP_Mes_Corriente!CR93*MOP_Mes_Constante!$CP$1</f>
        <v>0</v>
      </c>
      <c r="CS92" s="20">
        <f>+MOP_Mes_Corriente!CS93*MOP_Mes_Constante!$CP$1</f>
        <v>0</v>
      </c>
      <c r="CT92" s="20">
        <f>+MOP_Mes_Corriente!CT93*MOP_Mes_Constante!$CP$1</f>
        <v>0</v>
      </c>
      <c r="CU92" s="20">
        <f>+MOP_Mes_Corriente!CU93*MOP_Mes_Constante!$CP$1</f>
        <v>0</v>
      </c>
      <c r="CV92" s="20">
        <f>+MOP_Mes_Corriente!CV93*MOP_Mes_Constante!$CP$1</f>
        <v>0</v>
      </c>
      <c r="CW92" s="20">
        <f>+MOP_Mes_Corriente!CW93*MOP_Mes_Constante!$CP$1</f>
        <v>0</v>
      </c>
      <c r="CX92" s="20">
        <f>+MOP_Mes_Corriente!CX93*MOP_Mes_Constante!$CP$1</f>
        <v>0</v>
      </c>
      <c r="CY92" s="20">
        <f>+MOP_Mes_Corriente!CY93*MOP_Mes_Constante!$CP$1</f>
        <v>0</v>
      </c>
      <c r="CZ92" s="20">
        <f>+MOP_Mes_Corriente!CZ93*MOP_Mes_Constante!$CP$1</f>
        <v>0</v>
      </c>
      <c r="DA92" s="20">
        <f>+MOP_Mes_Corriente!DA93*MOP_Mes_Constante!$CP$1</f>
        <v>0</v>
      </c>
      <c r="DB92" s="20">
        <f t="shared" si="121"/>
        <v>0</v>
      </c>
      <c r="DC92" s="20">
        <f>+MOP_Mes_Corriente!DC93*MOP_Mes_Constante!$DC$1</f>
        <v>0</v>
      </c>
      <c r="DD92" s="20">
        <f>+MOP_Mes_Corriente!DD93*MOP_Mes_Constante!$DC$1</f>
        <v>0</v>
      </c>
      <c r="DE92" s="20">
        <f>+MOP_Mes_Corriente!DE93*MOP_Mes_Constante!$DC$1</f>
        <v>0</v>
      </c>
      <c r="DF92" s="20">
        <f>+MOP_Mes_Corriente!DF93*MOP_Mes_Constante!$DC$1</f>
        <v>0</v>
      </c>
      <c r="DG92" s="20">
        <f>+MOP_Mes_Corriente!DG93*MOP_Mes_Constante!$DC$1</f>
        <v>0</v>
      </c>
      <c r="DH92" s="20">
        <f>+MOP_Mes_Corriente!DH93*MOP_Mes_Constante!$DC$1</f>
        <v>0</v>
      </c>
      <c r="DI92" s="20">
        <f>+MOP_Mes_Corriente!DI93*MOP_Mes_Constante!$DC$1</f>
        <v>0</v>
      </c>
      <c r="DJ92" s="20">
        <f>+MOP_Mes_Corriente!DJ93*MOP_Mes_Constante!$DC$1</f>
        <v>0</v>
      </c>
      <c r="DK92" s="20">
        <f>+MOP_Mes_Corriente!DK93*MOP_Mes_Constante!$DC$1</f>
        <v>0</v>
      </c>
      <c r="DL92" s="20">
        <f>+MOP_Mes_Corriente!DL93*MOP_Mes_Constante!$DC$1</f>
        <v>0</v>
      </c>
      <c r="DM92" s="20">
        <f>+MOP_Mes_Corriente!DM93*MOP_Mes_Constante!$DC$1</f>
        <v>0</v>
      </c>
      <c r="DN92" s="20">
        <f>+MOP_Mes_Corriente!DN93*MOP_Mes_Constante!$DC$1</f>
        <v>0</v>
      </c>
      <c r="DO92" s="20">
        <f t="shared" si="122"/>
        <v>0</v>
      </c>
      <c r="DP92" s="20">
        <f>+MOP_Mes_Corriente!DP93*MOP_Mes_Constante!$DP$1</f>
        <v>0</v>
      </c>
      <c r="DQ92" s="20">
        <f>+MOP_Mes_Corriente!DQ93*MOP_Mes_Constante!$DP$1</f>
        <v>0</v>
      </c>
      <c r="DR92" s="20">
        <f>+MOP_Mes_Corriente!DR93*MOP_Mes_Constante!$DP$1</f>
        <v>0</v>
      </c>
      <c r="DS92" s="20">
        <f>+MOP_Mes_Corriente!DS93*MOP_Mes_Constante!$DP$1</f>
        <v>0</v>
      </c>
      <c r="DT92" s="20">
        <f>+MOP_Mes_Corriente!DT93*MOP_Mes_Constante!$DP$1</f>
        <v>0</v>
      </c>
      <c r="DU92" s="20">
        <f>+MOP_Mes_Corriente!DU93*MOP_Mes_Constante!$DP$1</f>
        <v>0</v>
      </c>
      <c r="DV92" s="20">
        <f>+MOP_Mes_Corriente!DV93*MOP_Mes_Constante!$DP$1</f>
        <v>0</v>
      </c>
      <c r="DW92" s="20">
        <f>+MOP_Mes_Corriente!DW93*MOP_Mes_Constante!$DP$1</f>
        <v>0</v>
      </c>
      <c r="DX92" s="20">
        <f>+MOP_Mes_Corriente!DX93*MOP_Mes_Constante!$DP$1</f>
        <v>0</v>
      </c>
      <c r="DY92" s="20">
        <f>+MOP_Mes_Corriente!DY93*MOP_Mes_Constante!$DP$1</f>
        <v>0</v>
      </c>
      <c r="DZ92" s="20">
        <f>+MOP_Mes_Corriente!DZ93*MOP_Mes_Constante!$DP$1</f>
        <v>0</v>
      </c>
      <c r="EA92" s="20">
        <f>+MOP_Mes_Corriente!EA93*MOP_Mes_Constante!$DP$1</f>
        <v>0</v>
      </c>
      <c r="EB92" s="20">
        <f t="shared" si="123"/>
        <v>0</v>
      </c>
      <c r="EC92" s="20">
        <f>+MOP_Mes_Corriente!EC93*MOP_Mes_Constante!$EC$1</f>
        <v>0</v>
      </c>
      <c r="ED92" s="20">
        <f>+MOP_Mes_Corriente!ED93*MOP_Mes_Constante!$EC$1</f>
        <v>0</v>
      </c>
      <c r="EE92" s="20">
        <f>+MOP_Mes_Corriente!EE93*MOP_Mes_Constante!$EC$1</f>
        <v>0</v>
      </c>
      <c r="EF92" s="20">
        <f>+MOP_Mes_Corriente!EF93*MOP_Mes_Constante!$EC$1</f>
        <v>0</v>
      </c>
      <c r="EG92" s="20">
        <f>+MOP_Mes_Corriente!EG93*MOP_Mes_Constante!$EC$1</f>
        <v>0</v>
      </c>
      <c r="EH92" s="20">
        <f>+MOP_Mes_Corriente!EH93*MOP_Mes_Constante!$EC$1</f>
        <v>0</v>
      </c>
      <c r="EI92" s="20">
        <f>+MOP_Mes_Corriente!EI93*MOP_Mes_Constante!$EC$1</f>
        <v>0</v>
      </c>
      <c r="EJ92" s="20">
        <f>+MOP_Mes_Corriente!EJ93*MOP_Mes_Constante!$EC$1</f>
        <v>0</v>
      </c>
      <c r="EK92" s="20">
        <f>+MOP_Mes_Corriente!EK93*MOP_Mes_Constante!$EC$1</f>
        <v>0</v>
      </c>
      <c r="EL92" s="20">
        <f>+MOP_Mes_Corriente!EL93*MOP_Mes_Constante!$EC$1</f>
        <v>0</v>
      </c>
      <c r="EM92" s="20">
        <f>+MOP_Mes_Corriente!EM93*MOP_Mes_Constante!$EC$1</f>
        <v>0</v>
      </c>
      <c r="EN92" s="20">
        <f>+MOP_Mes_Corriente!EN93*MOP_Mes_Constante!$EC$1</f>
        <v>0</v>
      </c>
      <c r="EO92" s="20">
        <f t="shared" si="124"/>
        <v>0</v>
      </c>
      <c r="EP92" s="20">
        <f>+MOP_Mes_Corriente!EP93*MOP_Mes_Constante!$EP$1</f>
        <v>0</v>
      </c>
      <c r="EQ92" s="20">
        <f>+MOP_Mes_Corriente!EQ93*MOP_Mes_Constante!$EP$1</f>
        <v>0</v>
      </c>
      <c r="ER92" s="20">
        <f>+MOP_Mes_Corriente!ER93*MOP_Mes_Constante!$EP$1</f>
        <v>0</v>
      </c>
      <c r="ES92" s="20">
        <f>+MOP_Mes_Corriente!ES93*MOP_Mes_Constante!$EP$1</f>
        <v>0</v>
      </c>
      <c r="ET92" s="20">
        <f>+MOP_Mes_Corriente!ET93*MOP_Mes_Constante!$EP$1</f>
        <v>0</v>
      </c>
      <c r="EU92" s="20">
        <f>+MOP_Mes_Corriente!EU93*MOP_Mes_Constante!$EP$1</f>
        <v>0</v>
      </c>
      <c r="EV92" s="20">
        <f>+MOP_Mes_Corriente!EV93*MOP_Mes_Constante!$EP$1</f>
        <v>0</v>
      </c>
      <c r="EW92" s="20">
        <f>+MOP_Mes_Corriente!EW93*MOP_Mes_Constante!$EP$1</f>
        <v>0</v>
      </c>
      <c r="EX92" s="20">
        <f>+MOP_Mes_Corriente!EX93*MOP_Mes_Constante!$EP$1</f>
        <v>0</v>
      </c>
      <c r="EY92" s="20">
        <f>+MOP_Mes_Corriente!EY93*MOP_Mes_Constante!$EP$1</f>
        <v>0</v>
      </c>
      <c r="EZ92" s="20">
        <f>+MOP_Mes_Corriente!EZ93*MOP_Mes_Constante!$EP$1</f>
        <v>0</v>
      </c>
      <c r="FA92" s="20">
        <f>+MOP_Mes_Corriente!FA93*MOP_Mes_Constante!$EP$1</f>
        <v>0</v>
      </c>
      <c r="FB92" s="20">
        <f t="shared" si="125"/>
        <v>0</v>
      </c>
      <c r="FC92" s="20">
        <f>+MOP_Mes_Corriente!FC93*MOP_Mes_Constante!$FC$1</f>
        <v>0</v>
      </c>
      <c r="FD92" s="20">
        <f>+MOP_Mes_Corriente!FD93*MOP_Mes_Constante!$FC$1</f>
        <v>0</v>
      </c>
      <c r="FE92" s="20">
        <f>+MOP_Mes_Corriente!FE93*MOP_Mes_Constante!$FC$1</f>
        <v>0</v>
      </c>
      <c r="FF92" s="20">
        <f>+MOP_Mes_Corriente!FF93*MOP_Mes_Constante!$FC$1</f>
        <v>0</v>
      </c>
      <c r="FG92" s="20">
        <f>+MOP_Mes_Corriente!FG93*MOP_Mes_Constante!$FC$1</f>
        <v>0</v>
      </c>
      <c r="FH92" s="20">
        <f>+MOP_Mes_Corriente!FH93*MOP_Mes_Constante!$FC$1</f>
        <v>0</v>
      </c>
      <c r="FI92" s="20">
        <f>+MOP_Mes_Corriente!FI93*MOP_Mes_Constante!$FC$1</f>
        <v>0</v>
      </c>
      <c r="FJ92" s="10"/>
      <c r="FK92" s="10"/>
      <c r="FL92" s="10"/>
      <c r="FM92" s="10"/>
      <c r="FN92" s="10"/>
      <c r="FO92" s="20">
        <f t="shared" si="126"/>
        <v>0</v>
      </c>
    </row>
    <row r="93" spans="1:171" ht="21.75" customHeight="1">
      <c r="A93" s="10"/>
      <c r="B93" s="15" t="s">
        <v>49</v>
      </c>
      <c r="C93" s="38">
        <f t="shared" ref="C93:AH93" si="127">SUM(C87:C92)</f>
        <v>0</v>
      </c>
      <c r="D93" s="38">
        <f t="shared" si="127"/>
        <v>0</v>
      </c>
      <c r="E93" s="38">
        <f t="shared" si="127"/>
        <v>0</v>
      </c>
      <c r="F93" s="38">
        <f t="shared" si="127"/>
        <v>0</v>
      </c>
      <c r="G93" s="38">
        <f t="shared" si="127"/>
        <v>0</v>
      </c>
      <c r="H93" s="38">
        <f t="shared" si="127"/>
        <v>0</v>
      </c>
      <c r="I93" s="38">
        <f t="shared" si="127"/>
        <v>0</v>
      </c>
      <c r="J93" s="38">
        <f t="shared" si="127"/>
        <v>0</v>
      </c>
      <c r="K93" s="38">
        <f t="shared" si="127"/>
        <v>0</v>
      </c>
      <c r="L93" s="38">
        <f t="shared" si="127"/>
        <v>0</v>
      </c>
      <c r="M93" s="38">
        <f t="shared" si="127"/>
        <v>0</v>
      </c>
      <c r="N93" s="38">
        <f t="shared" si="127"/>
        <v>0</v>
      </c>
      <c r="O93" s="38">
        <f t="shared" si="127"/>
        <v>0</v>
      </c>
      <c r="P93" s="38">
        <f t="shared" si="127"/>
        <v>0</v>
      </c>
      <c r="Q93" s="38">
        <f t="shared" si="127"/>
        <v>0</v>
      </c>
      <c r="R93" s="38">
        <f t="shared" si="127"/>
        <v>0</v>
      </c>
      <c r="S93" s="38">
        <f t="shared" si="127"/>
        <v>0</v>
      </c>
      <c r="T93" s="38">
        <f t="shared" si="127"/>
        <v>0</v>
      </c>
      <c r="U93" s="38">
        <f t="shared" si="127"/>
        <v>0</v>
      </c>
      <c r="V93" s="38">
        <f t="shared" si="127"/>
        <v>0</v>
      </c>
      <c r="W93" s="38">
        <f t="shared" si="127"/>
        <v>0</v>
      </c>
      <c r="X93" s="38">
        <f t="shared" si="127"/>
        <v>0</v>
      </c>
      <c r="Y93" s="38">
        <f t="shared" si="127"/>
        <v>0</v>
      </c>
      <c r="Z93" s="38">
        <f t="shared" si="127"/>
        <v>0</v>
      </c>
      <c r="AA93" s="38">
        <f t="shared" si="127"/>
        <v>0</v>
      </c>
      <c r="AB93" s="38">
        <f t="shared" si="127"/>
        <v>0</v>
      </c>
      <c r="AC93" s="38">
        <f t="shared" si="127"/>
        <v>0</v>
      </c>
      <c r="AD93" s="38">
        <f t="shared" si="127"/>
        <v>0</v>
      </c>
      <c r="AE93" s="38">
        <f t="shared" si="127"/>
        <v>0</v>
      </c>
      <c r="AF93" s="38">
        <f t="shared" si="127"/>
        <v>0</v>
      </c>
      <c r="AG93" s="38">
        <f t="shared" si="127"/>
        <v>0</v>
      </c>
      <c r="AH93" s="38">
        <f t="shared" si="127"/>
        <v>0</v>
      </c>
      <c r="AI93" s="38">
        <f t="shared" ref="AI93:BN93" si="128">SUM(AI87:AI92)</f>
        <v>0</v>
      </c>
      <c r="AJ93" s="38">
        <f t="shared" si="128"/>
        <v>0</v>
      </c>
      <c r="AK93" s="38">
        <f t="shared" si="128"/>
        <v>0</v>
      </c>
      <c r="AL93" s="38">
        <f t="shared" si="128"/>
        <v>0</v>
      </c>
      <c r="AM93" s="38">
        <f t="shared" si="128"/>
        <v>0</v>
      </c>
      <c r="AN93" s="38">
        <f t="shared" si="128"/>
        <v>0</v>
      </c>
      <c r="AO93" s="38">
        <f t="shared" si="128"/>
        <v>0</v>
      </c>
      <c r="AP93" s="38">
        <f t="shared" si="128"/>
        <v>0</v>
      </c>
      <c r="AQ93" s="38">
        <f t="shared" si="128"/>
        <v>0</v>
      </c>
      <c r="AR93" s="38">
        <f t="shared" si="128"/>
        <v>0</v>
      </c>
      <c r="AS93" s="38">
        <f t="shared" si="128"/>
        <v>0</v>
      </c>
      <c r="AT93" s="38">
        <f t="shared" si="128"/>
        <v>0</v>
      </c>
      <c r="AU93" s="38">
        <f t="shared" si="128"/>
        <v>0</v>
      </c>
      <c r="AV93" s="38">
        <f t="shared" si="128"/>
        <v>0</v>
      </c>
      <c r="AW93" s="38">
        <f t="shared" si="128"/>
        <v>0</v>
      </c>
      <c r="AX93" s="38">
        <f t="shared" si="128"/>
        <v>0</v>
      </c>
      <c r="AY93" s="38">
        <f t="shared" si="128"/>
        <v>0</v>
      </c>
      <c r="AZ93" s="38">
        <f t="shared" si="128"/>
        <v>0</v>
      </c>
      <c r="BA93" s="38">
        <f t="shared" si="128"/>
        <v>0</v>
      </c>
      <c r="BB93" s="38">
        <f t="shared" si="128"/>
        <v>0</v>
      </c>
      <c r="BC93" s="38">
        <f t="shared" si="128"/>
        <v>0</v>
      </c>
      <c r="BD93" s="38">
        <f t="shared" si="128"/>
        <v>0</v>
      </c>
      <c r="BE93" s="38">
        <f t="shared" si="128"/>
        <v>0</v>
      </c>
      <c r="BF93" s="38">
        <f t="shared" si="128"/>
        <v>0</v>
      </c>
      <c r="BG93" s="38">
        <f t="shared" si="128"/>
        <v>0</v>
      </c>
      <c r="BH93" s="38">
        <f t="shared" si="128"/>
        <v>0</v>
      </c>
      <c r="BI93" s="38">
        <f t="shared" si="128"/>
        <v>0</v>
      </c>
      <c r="BJ93" s="38">
        <f t="shared" si="128"/>
        <v>0</v>
      </c>
      <c r="BK93" s="38">
        <f t="shared" si="128"/>
        <v>0</v>
      </c>
      <c r="BL93" s="38">
        <f t="shared" si="128"/>
        <v>0</v>
      </c>
      <c r="BM93" s="38">
        <f t="shared" si="128"/>
        <v>0</v>
      </c>
      <c r="BN93" s="38">
        <f t="shared" si="128"/>
        <v>0</v>
      </c>
      <c r="BO93" s="38">
        <f t="shared" ref="BO93:CT93" si="129">SUM(BO87:BO92)</f>
        <v>0</v>
      </c>
      <c r="BP93" s="38">
        <f t="shared" si="129"/>
        <v>0</v>
      </c>
      <c r="BQ93" s="38">
        <f t="shared" si="129"/>
        <v>0</v>
      </c>
      <c r="BR93" s="38">
        <f t="shared" si="129"/>
        <v>0</v>
      </c>
      <c r="BS93" s="38">
        <f t="shared" si="129"/>
        <v>0</v>
      </c>
      <c r="BT93" s="38">
        <f t="shared" si="129"/>
        <v>0</v>
      </c>
      <c r="BU93" s="38">
        <f t="shared" si="129"/>
        <v>0</v>
      </c>
      <c r="BV93" s="38">
        <f t="shared" si="129"/>
        <v>0</v>
      </c>
      <c r="BW93" s="38">
        <f t="shared" si="129"/>
        <v>0</v>
      </c>
      <c r="BX93" s="38">
        <f t="shared" si="129"/>
        <v>0</v>
      </c>
      <c r="BY93" s="38">
        <f t="shared" si="129"/>
        <v>0</v>
      </c>
      <c r="BZ93" s="38">
        <f t="shared" si="129"/>
        <v>0</v>
      </c>
      <c r="CA93" s="38">
        <f t="shared" si="129"/>
        <v>0</v>
      </c>
      <c r="CB93" s="38">
        <f t="shared" si="129"/>
        <v>0</v>
      </c>
      <c r="CC93" s="38">
        <f t="shared" si="129"/>
        <v>0</v>
      </c>
      <c r="CD93" s="38">
        <f t="shared" si="129"/>
        <v>0</v>
      </c>
      <c r="CE93" s="38">
        <f t="shared" si="129"/>
        <v>0</v>
      </c>
      <c r="CF93" s="38">
        <f t="shared" si="129"/>
        <v>0</v>
      </c>
      <c r="CG93" s="38">
        <f t="shared" si="129"/>
        <v>0</v>
      </c>
      <c r="CH93" s="38">
        <f t="shared" si="129"/>
        <v>0</v>
      </c>
      <c r="CI93" s="38">
        <f t="shared" si="129"/>
        <v>0</v>
      </c>
      <c r="CJ93" s="38">
        <f t="shared" si="129"/>
        <v>0</v>
      </c>
      <c r="CK93" s="38">
        <f t="shared" si="129"/>
        <v>0</v>
      </c>
      <c r="CL93" s="38">
        <f t="shared" si="129"/>
        <v>0</v>
      </c>
      <c r="CM93" s="38">
        <f t="shared" si="129"/>
        <v>0</v>
      </c>
      <c r="CN93" s="38">
        <f t="shared" si="129"/>
        <v>0</v>
      </c>
      <c r="CO93" s="38">
        <f t="shared" si="129"/>
        <v>0</v>
      </c>
      <c r="CP93" s="38">
        <f t="shared" si="129"/>
        <v>0</v>
      </c>
      <c r="CQ93" s="38">
        <f t="shared" si="129"/>
        <v>0</v>
      </c>
      <c r="CR93" s="38">
        <f t="shared" si="129"/>
        <v>0</v>
      </c>
      <c r="CS93" s="38">
        <f t="shared" si="129"/>
        <v>0</v>
      </c>
      <c r="CT93" s="38">
        <f t="shared" si="129"/>
        <v>0</v>
      </c>
      <c r="CU93" s="38">
        <f t="shared" ref="CU93:DZ93" si="130">SUM(CU87:CU92)</f>
        <v>0</v>
      </c>
      <c r="CV93" s="38">
        <f t="shared" si="130"/>
        <v>0</v>
      </c>
      <c r="CW93" s="38">
        <f t="shared" si="130"/>
        <v>0</v>
      </c>
      <c r="CX93" s="38">
        <f t="shared" si="130"/>
        <v>0</v>
      </c>
      <c r="CY93" s="38">
        <f t="shared" si="130"/>
        <v>0</v>
      </c>
      <c r="CZ93" s="38">
        <f t="shared" si="130"/>
        <v>0</v>
      </c>
      <c r="DA93" s="38">
        <f t="shared" si="130"/>
        <v>0</v>
      </c>
      <c r="DB93" s="38">
        <f t="shared" si="130"/>
        <v>0</v>
      </c>
      <c r="DC93" s="38">
        <f t="shared" si="130"/>
        <v>0</v>
      </c>
      <c r="DD93" s="38">
        <f t="shared" si="130"/>
        <v>0</v>
      </c>
      <c r="DE93" s="38">
        <f t="shared" si="130"/>
        <v>0</v>
      </c>
      <c r="DF93" s="38">
        <f t="shared" si="130"/>
        <v>0</v>
      </c>
      <c r="DG93" s="38">
        <f t="shared" si="130"/>
        <v>0</v>
      </c>
      <c r="DH93" s="38">
        <f t="shared" si="130"/>
        <v>0</v>
      </c>
      <c r="DI93" s="38">
        <f t="shared" si="130"/>
        <v>0</v>
      </c>
      <c r="DJ93" s="38">
        <f t="shared" si="130"/>
        <v>0</v>
      </c>
      <c r="DK93" s="38">
        <f t="shared" si="130"/>
        <v>0</v>
      </c>
      <c r="DL93" s="38">
        <f t="shared" si="130"/>
        <v>0</v>
      </c>
      <c r="DM93" s="38">
        <f t="shared" si="130"/>
        <v>0</v>
      </c>
      <c r="DN93" s="38">
        <f t="shared" si="130"/>
        <v>0</v>
      </c>
      <c r="DO93" s="38">
        <f t="shared" si="130"/>
        <v>0</v>
      </c>
      <c r="DP93" s="38">
        <f t="shared" si="130"/>
        <v>19332198.819477435</v>
      </c>
      <c r="DQ93" s="38">
        <f t="shared" si="130"/>
        <v>19332198.819477435</v>
      </c>
      <c r="DR93" s="38">
        <f t="shared" si="130"/>
        <v>19332198.819477435</v>
      </c>
      <c r="DS93" s="38">
        <f t="shared" si="130"/>
        <v>19332198.819477435</v>
      </c>
      <c r="DT93" s="38">
        <f t="shared" si="130"/>
        <v>19332198.819477435</v>
      </c>
      <c r="DU93" s="38">
        <f t="shared" si="130"/>
        <v>19332198.819477435</v>
      </c>
      <c r="DV93" s="38">
        <f t="shared" si="130"/>
        <v>19332198.819477435</v>
      </c>
      <c r="DW93" s="38">
        <f t="shared" si="130"/>
        <v>19332198.819477435</v>
      </c>
      <c r="DX93" s="38">
        <f t="shared" si="130"/>
        <v>19332198.819477435</v>
      </c>
      <c r="DY93" s="38">
        <f t="shared" si="130"/>
        <v>19332198.819477435</v>
      </c>
      <c r="DZ93" s="38">
        <f t="shared" si="130"/>
        <v>19332198.819477435</v>
      </c>
      <c r="EA93" s="38">
        <f t="shared" ref="EA93:FF93" si="131">SUM(EA87:EA92)</f>
        <v>19332198.819477435</v>
      </c>
      <c r="EB93" s="38">
        <f t="shared" si="131"/>
        <v>19332198.819477435</v>
      </c>
      <c r="EC93" s="38">
        <f t="shared" si="131"/>
        <v>0</v>
      </c>
      <c r="ED93" s="38">
        <f t="shared" si="131"/>
        <v>0</v>
      </c>
      <c r="EE93" s="38">
        <f t="shared" si="131"/>
        <v>0</v>
      </c>
      <c r="EF93" s="38">
        <f t="shared" si="131"/>
        <v>0</v>
      </c>
      <c r="EG93" s="38">
        <f t="shared" si="131"/>
        <v>0</v>
      </c>
      <c r="EH93" s="38">
        <f t="shared" si="131"/>
        <v>0</v>
      </c>
      <c r="EI93" s="38">
        <f t="shared" si="131"/>
        <v>0</v>
      </c>
      <c r="EJ93" s="38">
        <f t="shared" si="131"/>
        <v>0</v>
      </c>
      <c r="EK93" s="38">
        <f t="shared" si="131"/>
        <v>0</v>
      </c>
      <c r="EL93" s="38">
        <f t="shared" si="131"/>
        <v>0</v>
      </c>
      <c r="EM93" s="38">
        <f t="shared" si="131"/>
        <v>0</v>
      </c>
      <c r="EN93" s="38">
        <f t="shared" si="131"/>
        <v>0</v>
      </c>
      <c r="EO93" s="38">
        <f t="shared" si="131"/>
        <v>0</v>
      </c>
      <c r="EP93" s="38">
        <f t="shared" si="131"/>
        <v>0</v>
      </c>
      <c r="EQ93" s="38">
        <f t="shared" si="131"/>
        <v>0</v>
      </c>
      <c r="ER93" s="38">
        <f t="shared" si="131"/>
        <v>0</v>
      </c>
      <c r="ES93" s="38">
        <f t="shared" si="131"/>
        <v>0</v>
      </c>
      <c r="ET93" s="38">
        <f t="shared" si="131"/>
        <v>0</v>
      </c>
      <c r="EU93" s="38">
        <f t="shared" si="131"/>
        <v>0</v>
      </c>
      <c r="EV93" s="38">
        <f t="shared" si="131"/>
        <v>0</v>
      </c>
      <c r="EW93" s="38">
        <f t="shared" si="131"/>
        <v>0</v>
      </c>
      <c r="EX93" s="38">
        <f t="shared" si="131"/>
        <v>0</v>
      </c>
      <c r="EY93" s="38">
        <f t="shared" si="131"/>
        <v>0</v>
      </c>
      <c r="EZ93" s="38">
        <f t="shared" si="131"/>
        <v>0</v>
      </c>
      <c r="FA93" s="38">
        <f t="shared" si="131"/>
        <v>0</v>
      </c>
      <c r="FB93" s="38">
        <f t="shared" si="131"/>
        <v>0</v>
      </c>
      <c r="FC93" s="38">
        <f t="shared" si="131"/>
        <v>0</v>
      </c>
      <c r="FD93" s="38">
        <f t="shared" si="131"/>
        <v>0</v>
      </c>
      <c r="FE93" s="38">
        <f t="shared" si="131"/>
        <v>0</v>
      </c>
      <c r="FF93" s="38">
        <f t="shared" si="131"/>
        <v>0</v>
      </c>
      <c r="FG93" s="38">
        <f t="shared" ref="FG93:GL93" si="132">SUM(FG87:FG92)</f>
        <v>0</v>
      </c>
      <c r="FH93" s="38">
        <f t="shared" si="132"/>
        <v>0</v>
      </c>
      <c r="FI93" s="38">
        <f t="shared" si="132"/>
        <v>0</v>
      </c>
      <c r="FJ93" s="38">
        <f t="shared" si="132"/>
        <v>0</v>
      </c>
      <c r="FK93" s="38">
        <f t="shared" si="132"/>
        <v>0</v>
      </c>
      <c r="FL93" s="38">
        <f t="shared" si="132"/>
        <v>0</v>
      </c>
      <c r="FM93" s="38">
        <f t="shared" si="132"/>
        <v>0</v>
      </c>
      <c r="FN93" s="38">
        <f t="shared" si="132"/>
        <v>0</v>
      </c>
      <c r="FO93" s="38">
        <f t="shared" si="132"/>
        <v>0</v>
      </c>
    </row>
    <row r="94" spans="1:171" ht="14.25" customHeight="1">
      <c r="A94" s="10"/>
      <c r="B94" s="18" t="s">
        <v>63</v>
      </c>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row>
    <row r="95" spans="1:171"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row>
    <row r="96" spans="1:171" ht="15.75" customHeight="1">
      <c r="A96" s="10"/>
      <c r="B96" s="104" t="s">
        <v>64</v>
      </c>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5"/>
      <c r="BS96" s="105"/>
      <c r="BT96" s="105"/>
      <c r="BU96" s="105"/>
      <c r="BV96" s="105"/>
      <c r="BW96" s="105"/>
      <c r="BX96" s="105"/>
      <c r="BY96" s="105"/>
      <c r="BZ96" s="105"/>
      <c r="CA96" s="105"/>
      <c r="CB96" s="105"/>
      <c r="CC96" s="105"/>
      <c r="CD96" s="105"/>
      <c r="CE96" s="105"/>
      <c r="CF96" s="105"/>
      <c r="CG96" s="105"/>
      <c r="CH96" s="105"/>
      <c r="CI96" s="105"/>
      <c r="CJ96" s="105"/>
      <c r="CK96" s="105"/>
      <c r="CL96" s="105"/>
      <c r="CM96" s="105"/>
      <c r="CN96" s="105"/>
      <c r="CO96" s="105"/>
      <c r="CP96" s="105"/>
      <c r="CQ96" s="105"/>
      <c r="CR96" s="105"/>
      <c r="CS96" s="105"/>
      <c r="CT96" s="105"/>
      <c r="CU96" s="105"/>
      <c r="CV96" s="105"/>
      <c r="CW96" s="105"/>
      <c r="CX96" s="105"/>
      <c r="CY96" s="105"/>
      <c r="CZ96" s="105"/>
      <c r="DA96" s="105"/>
      <c r="DB96" s="105"/>
      <c r="DC96" s="105"/>
      <c r="DD96" s="105"/>
      <c r="DE96" s="105"/>
      <c r="DF96" s="105"/>
      <c r="DG96" s="105"/>
      <c r="DH96" s="105"/>
      <c r="DI96" s="105"/>
      <c r="DJ96" s="105"/>
      <c r="DK96" s="105"/>
      <c r="DL96" s="105"/>
      <c r="DM96" s="105"/>
      <c r="DN96" s="105"/>
      <c r="DO96" s="105"/>
      <c r="DP96" s="105"/>
      <c r="DQ96" s="105"/>
      <c r="DR96" s="105"/>
      <c r="DS96" s="105"/>
      <c r="DT96" s="105"/>
      <c r="DU96" s="105"/>
      <c r="DV96" s="105"/>
      <c r="DW96" s="105"/>
      <c r="DX96" s="105"/>
      <c r="DY96" s="105"/>
      <c r="DZ96" s="105"/>
      <c r="EA96" s="105"/>
      <c r="EB96" s="105"/>
      <c r="EC96" s="105"/>
      <c r="ED96" s="105"/>
      <c r="EE96" s="105"/>
      <c r="EF96" s="105"/>
      <c r="EG96" s="105"/>
      <c r="EH96" s="105"/>
      <c r="EI96" s="105"/>
      <c r="EJ96" s="105"/>
      <c r="EK96" s="105"/>
      <c r="EL96" s="105"/>
      <c r="EM96" s="105"/>
      <c r="EN96" s="105"/>
      <c r="EO96" s="105"/>
      <c r="EP96" s="105"/>
      <c r="EQ96" s="105"/>
      <c r="ER96" s="105"/>
      <c r="ES96" s="105"/>
      <c r="ET96" s="105"/>
      <c r="EU96" s="105"/>
      <c r="EV96" s="105"/>
      <c r="EW96" s="105"/>
      <c r="EX96" s="105"/>
      <c r="EY96" s="105"/>
      <c r="EZ96" s="105"/>
      <c r="FA96" s="105"/>
      <c r="FB96" s="105"/>
      <c r="FC96" s="105"/>
      <c r="FD96" s="105"/>
      <c r="FE96" s="105"/>
      <c r="FF96" s="105"/>
      <c r="FG96" s="105"/>
      <c r="FH96" s="105"/>
      <c r="FI96" s="105"/>
      <c r="FJ96" s="105"/>
      <c r="FK96" s="105"/>
      <c r="FL96" s="105"/>
      <c r="FM96" s="105"/>
      <c r="FN96" s="105"/>
      <c r="FO96" s="105"/>
    </row>
    <row r="97" spans="1:171" ht="21.75" customHeight="1">
      <c r="A97" s="10"/>
      <c r="B97" s="14"/>
      <c r="C97" s="102" t="s">
        <v>4</v>
      </c>
      <c r="D97" s="103"/>
      <c r="E97" s="103"/>
      <c r="F97" s="103"/>
      <c r="G97" s="103"/>
      <c r="H97" s="103"/>
      <c r="I97" s="103"/>
      <c r="J97" s="103"/>
      <c r="K97" s="103"/>
      <c r="L97" s="103"/>
      <c r="M97" s="103"/>
      <c r="N97" s="103"/>
      <c r="O97" s="103"/>
      <c r="P97" s="102" t="s">
        <v>5</v>
      </c>
      <c r="Q97" s="103"/>
      <c r="R97" s="103"/>
      <c r="S97" s="103"/>
      <c r="T97" s="103"/>
      <c r="U97" s="103"/>
      <c r="V97" s="103"/>
      <c r="W97" s="103"/>
      <c r="X97" s="103"/>
      <c r="Y97" s="103"/>
      <c r="Z97" s="103"/>
      <c r="AA97" s="103"/>
      <c r="AB97" s="103"/>
      <c r="AC97" s="102" t="s">
        <v>6</v>
      </c>
      <c r="AD97" s="103"/>
      <c r="AE97" s="103"/>
      <c r="AF97" s="103"/>
      <c r="AG97" s="103"/>
      <c r="AH97" s="103"/>
      <c r="AI97" s="103"/>
      <c r="AJ97" s="103"/>
      <c r="AK97" s="103"/>
      <c r="AL97" s="103"/>
      <c r="AM97" s="103"/>
      <c r="AN97" s="103"/>
      <c r="AO97" s="103"/>
      <c r="AP97" s="102" t="s">
        <v>7</v>
      </c>
      <c r="AQ97" s="103"/>
      <c r="AR97" s="103"/>
      <c r="AS97" s="103"/>
      <c r="AT97" s="103"/>
      <c r="AU97" s="103"/>
      <c r="AV97" s="103"/>
      <c r="AW97" s="103"/>
      <c r="AX97" s="103"/>
      <c r="AY97" s="103"/>
      <c r="AZ97" s="103"/>
      <c r="BA97" s="103"/>
      <c r="BB97" s="103"/>
      <c r="BC97" s="102" t="s">
        <v>8</v>
      </c>
      <c r="BD97" s="103"/>
      <c r="BE97" s="103"/>
      <c r="BF97" s="103"/>
      <c r="BG97" s="103"/>
      <c r="BH97" s="103"/>
      <c r="BI97" s="103"/>
      <c r="BJ97" s="103"/>
      <c r="BK97" s="103"/>
      <c r="BL97" s="103"/>
      <c r="BM97" s="103"/>
      <c r="BN97" s="103"/>
      <c r="BO97" s="103"/>
      <c r="BP97" s="102" t="s">
        <v>9</v>
      </c>
      <c r="BQ97" s="103"/>
      <c r="BR97" s="103"/>
      <c r="BS97" s="103"/>
      <c r="BT97" s="103"/>
      <c r="BU97" s="103"/>
      <c r="BV97" s="103"/>
      <c r="BW97" s="103"/>
      <c r="BX97" s="103"/>
      <c r="BY97" s="103"/>
      <c r="BZ97" s="103"/>
      <c r="CA97" s="103"/>
      <c r="CB97" s="103"/>
      <c r="CC97" s="102" t="s">
        <v>10</v>
      </c>
      <c r="CD97" s="103"/>
      <c r="CE97" s="103"/>
      <c r="CF97" s="103"/>
      <c r="CG97" s="103"/>
      <c r="CH97" s="103"/>
      <c r="CI97" s="103"/>
      <c r="CJ97" s="103"/>
      <c r="CK97" s="103"/>
      <c r="CL97" s="103"/>
      <c r="CM97" s="103"/>
      <c r="CN97" s="103"/>
      <c r="CO97" s="103"/>
      <c r="CP97" s="102" t="s">
        <v>57</v>
      </c>
      <c r="CQ97" s="103"/>
      <c r="CR97" s="103"/>
      <c r="CS97" s="103"/>
      <c r="CT97" s="103"/>
      <c r="CU97" s="103"/>
      <c r="CV97" s="103"/>
      <c r="CW97" s="103"/>
      <c r="CX97" s="103"/>
      <c r="CY97" s="103"/>
      <c r="CZ97" s="103"/>
      <c r="DA97" s="103"/>
      <c r="DB97" s="103"/>
      <c r="DC97" s="102" t="s">
        <v>58</v>
      </c>
      <c r="DD97" s="103"/>
      <c r="DE97" s="103"/>
      <c r="DF97" s="103"/>
      <c r="DG97" s="103"/>
      <c r="DH97" s="103"/>
      <c r="DI97" s="103"/>
      <c r="DJ97" s="103"/>
      <c r="DK97" s="103"/>
      <c r="DL97" s="103"/>
      <c r="DM97" s="103"/>
      <c r="DN97" s="103"/>
      <c r="DO97" s="103"/>
      <c r="DP97" s="102" t="s">
        <v>13</v>
      </c>
      <c r="DQ97" s="103"/>
      <c r="DR97" s="103"/>
      <c r="DS97" s="103"/>
      <c r="DT97" s="103"/>
      <c r="DU97" s="103"/>
      <c r="DV97" s="103"/>
      <c r="DW97" s="103"/>
      <c r="DX97" s="103"/>
      <c r="DY97" s="103"/>
      <c r="DZ97" s="103"/>
      <c r="EA97" s="103"/>
      <c r="EB97" s="103"/>
      <c r="EC97" s="102" t="s">
        <v>14</v>
      </c>
      <c r="ED97" s="103"/>
      <c r="EE97" s="103"/>
      <c r="EF97" s="103"/>
      <c r="EG97" s="103"/>
      <c r="EH97" s="103"/>
      <c r="EI97" s="103"/>
      <c r="EJ97" s="103"/>
      <c r="EK97" s="103"/>
      <c r="EL97" s="103"/>
      <c r="EM97" s="103"/>
      <c r="EN97" s="103"/>
      <c r="EO97" s="103"/>
      <c r="EP97" s="102" t="s">
        <v>15</v>
      </c>
      <c r="EQ97" s="103"/>
      <c r="ER97" s="103"/>
      <c r="ES97" s="103"/>
      <c r="ET97" s="103"/>
      <c r="EU97" s="103"/>
      <c r="EV97" s="103"/>
      <c r="EW97" s="103"/>
      <c r="EX97" s="103"/>
      <c r="EY97" s="103"/>
      <c r="EZ97" s="103"/>
      <c r="FA97" s="103"/>
      <c r="FB97" s="103"/>
      <c r="FC97" s="102" t="s">
        <v>16</v>
      </c>
      <c r="FD97" s="103"/>
      <c r="FE97" s="103"/>
      <c r="FF97" s="103"/>
      <c r="FG97" s="103"/>
      <c r="FH97" s="103"/>
      <c r="FI97" s="103"/>
      <c r="FJ97" s="103"/>
      <c r="FK97" s="103"/>
      <c r="FL97" s="103"/>
      <c r="FM97" s="103"/>
      <c r="FN97" s="103"/>
      <c r="FO97" s="103"/>
    </row>
    <row r="98" spans="1:171" ht="27.75" customHeight="1">
      <c r="A98" s="10"/>
      <c r="B98" s="15" t="s">
        <v>17</v>
      </c>
      <c r="C98" s="16" t="s">
        <v>18</v>
      </c>
      <c r="D98" s="16" t="s">
        <v>19</v>
      </c>
      <c r="E98" s="16" t="s">
        <v>20</v>
      </c>
      <c r="F98" s="16" t="s">
        <v>21</v>
      </c>
      <c r="G98" s="16" t="s">
        <v>22</v>
      </c>
      <c r="H98" s="16" t="s">
        <v>23</v>
      </c>
      <c r="I98" s="16" t="s">
        <v>24</v>
      </c>
      <c r="J98" s="16" t="s">
        <v>25</v>
      </c>
      <c r="K98" s="16" t="s">
        <v>26</v>
      </c>
      <c r="L98" s="16" t="s">
        <v>27</v>
      </c>
      <c r="M98" s="16" t="s">
        <v>28</v>
      </c>
      <c r="N98" s="16" t="s">
        <v>29</v>
      </c>
      <c r="O98" s="16" t="s">
        <v>30</v>
      </c>
      <c r="P98" s="16" t="s">
        <v>18</v>
      </c>
      <c r="Q98" s="16" t="s">
        <v>19</v>
      </c>
      <c r="R98" s="16" t="s">
        <v>20</v>
      </c>
      <c r="S98" s="16" t="s">
        <v>21</v>
      </c>
      <c r="T98" s="16" t="s">
        <v>22</v>
      </c>
      <c r="U98" s="16" t="s">
        <v>23</v>
      </c>
      <c r="V98" s="16" t="s">
        <v>24</v>
      </c>
      <c r="W98" s="16" t="s">
        <v>25</v>
      </c>
      <c r="X98" s="16" t="s">
        <v>26</v>
      </c>
      <c r="Y98" s="16" t="s">
        <v>27</v>
      </c>
      <c r="Z98" s="16" t="s">
        <v>28</v>
      </c>
      <c r="AA98" s="16" t="s">
        <v>29</v>
      </c>
      <c r="AB98" s="16" t="s">
        <v>31</v>
      </c>
      <c r="AC98" s="16" t="s">
        <v>18</v>
      </c>
      <c r="AD98" s="16" t="s">
        <v>19</v>
      </c>
      <c r="AE98" s="16" t="s">
        <v>20</v>
      </c>
      <c r="AF98" s="16" t="s">
        <v>21</v>
      </c>
      <c r="AG98" s="16" t="s">
        <v>22</v>
      </c>
      <c r="AH98" s="16" t="s">
        <v>23</v>
      </c>
      <c r="AI98" s="16" t="s">
        <v>24</v>
      </c>
      <c r="AJ98" s="16" t="s">
        <v>25</v>
      </c>
      <c r="AK98" s="16" t="s">
        <v>26</v>
      </c>
      <c r="AL98" s="16" t="s">
        <v>27</v>
      </c>
      <c r="AM98" s="16" t="s">
        <v>28</v>
      </c>
      <c r="AN98" s="16" t="s">
        <v>29</v>
      </c>
      <c r="AO98" s="16" t="s">
        <v>32</v>
      </c>
      <c r="AP98" s="16" t="s">
        <v>18</v>
      </c>
      <c r="AQ98" s="16" t="s">
        <v>19</v>
      </c>
      <c r="AR98" s="16" t="s">
        <v>20</v>
      </c>
      <c r="AS98" s="16" t="s">
        <v>21</v>
      </c>
      <c r="AT98" s="16" t="s">
        <v>22</v>
      </c>
      <c r="AU98" s="16" t="s">
        <v>23</v>
      </c>
      <c r="AV98" s="16" t="s">
        <v>24</v>
      </c>
      <c r="AW98" s="16" t="s">
        <v>25</v>
      </c>
      <c r="AX98" s="16" t="s">
        <v>26</v>
      </c>
      <c r="AY98" s="16" t="s">
        <v>27</v>
      </c>
      <c r="AZ98" s="16" t="s">
        <v>28</v>
      </c>
      <c r="BA98" s="16" t="s">
        <v>29</v>
      </c>
      <c r="BB98" s="16" t="s">
        <v>33</v>
      </c>
      <c r="BC98" s="16" t="s">
        <v>18</v>
      </c>
      <c r="BD98" s="16" t="s">
        <v>19</v>
      </c>
      <c r="BE98" s="16" t="s">
        <v>20</v>
      </c>
      <c r="BF98" s="16" t="s">
        <v>21</v>
      </c>
      <c r="BG98" s="16" t="s">
        <v>22</v>
      </c>
      <c r="BH98" s="16" t="s">
        <v>23</v>
      </c>
      <c r="BI98" s="16" t="s">
        <v>24</v>
      </c>
      <c r="BJ98" s="16" t="s">
        <v>25</v>
      </c>
      <c r="BK98" s="16" t="s">
        <v>26</v>
      </c>
      <c r="BL98" s="16" t="s">
        <v>27</v>
      </c>
      <c r="BM98" s="16" t="s">
        <v>28</v>
      </c>
      <c r="BN98" s="16" t="s">
        <v>29</v>
      </c>
      <c r="BO98" s="16" t="s">
        <v>34</v>
      </c>
      <c r="BP98" s="16" t="s">
        <v>18</v>
      </c>
      <c r="BQ98" s="16" t="s">
        <v>19</v>
      </c>
      <c r="BR98" s="16" t="s">
        <v>20</v>
      </c>
      <c r="BS98" s="16" t="s">
        <v>21</v>
      </c>
      <c r="BT98" s="16" t="s">
        <v>22</v>
      </c>
      <c r="BU98" s="16" t="s">
        <v>23</v>
      </c>
      <c r="BV98" s="16" t="s">
        <v>24</v>
      </c>
      <c r="BW98" s="16" t="s">
        <v>25</v>
      </c>
      <c r="BX98" s="16" t="s">
        <v>26</v>
      </c>
      <c r="BY98" s="16" t="s">
        <v>27</v>
      </c>
      <c r="BZ98" s="16" t="s">
        <v>28</v>
      </c>
      <c r="CA98" s="16" t="s">
        <v>29</v>
      </c>
      <c r="CB98" s="16" t="s">
        <v>35</v>
      </c>
      <c r="CC98" s="16" t="s">
        <v>18</v>
      </c>
      <c r="CD98" s="16" t="s">
        <v>19</v>
      </c>
      <c r="CE98" s="16" t="s">
        <v>20</v>
      </c>
      <c r="CF98" s="16" t="s">
        <v>21</v>
      </c>
      <c r="CG98" s="16" t="s">
        <v>22</v>
      </c>
      <c r="CH98" s="16" t="s">
        <v>23</v>
      </c>
      <c r="CI98" s="16" t="s">
        <v>24</v>
      </c>
      <c r="CJ98" s="16" t="s">
        <v>25</v>
      </c>
      <c r="CK98" s="16" t="s">
        <v>26</v>
      </c>
      <c r="CL98" s="16" t="s">
        <v>27</v>
      </c>
      <c r="CM98" s="16" t="s">
        <v>28</v>
      </c>
      <c r="CN98" s="16" t="s">
        <v>29</v>
      </c>
      <c r="CO98" s="16" t="s">
        <v>36</v>
      </c>
      <c r="CP98" s="16" t="s">
        <v>18</v>
      </c>
      <c r="CQ98" s="16" t="s">
        <v>19</v>
      </c>
      <c r="CR98" s="16" t="s">
        <v>20</v>
      </c>
      <c r="CS98" s="16" t="s">
        <v>21</v>
      </c>
      <c r="CT98" s="16" t="s">
        <v>22</v>
      </c>
      <c r="CU98" s="16" t="s">
        <v>23</v>
      </c>
      <c r="CV98" s="16" t="s">
        <v>24</v>
      </c>
      <c r="CW98" s="16" t="s">
        <v>25</v>
      </c>
      <c r="CX98" s="16" t="s">
        <v>26</v>
      </c>
      <c r="CY98" s="16" t="s">
        <v>27</v>
      </c>
      <c r="CZ98" s="16" t="s">
        <v>28</v>
      </c>
      <c r="DA98" s="16" t="s">
        <v>29</v>
      </c>
      <c r="DB98" s="16" t="s">
        <v>37</v>
      </c>
      <c r="DC98" s="16" t="s">
        <v>18</v>
      </c>
      <c r="DD98" s="16" t="s">
        <v>19</v>
      </c>
      <c r="DE98" s="16" t="s">
        <v>20</v>
      </c>
      <c r="DF98" s="16" t="s">
        <v>21</v>
      </c>
      <c r="DG98" s="16" t="s">
        <v>22</v>
      </c>
      <c r="DH98" s="16" t="s">
        <v>23</v>
      </c>
      <c r="DI98" s="16" t="s">
        <v>24</v>
      </c>
      <c r="DJ98" s="16" t="s">
        <v>25</v>
      </c>
      <c r="DK98" s="16" t="s">
        <v>26</v>
      </c>
      <c r="DL98" s="16" t="s">
        <v>27</v>
      </c>
      <c r="DM98" s="16" t="s">
        <v>28</v>
      </c>
      <c r="DN98" s="16" t="s">
        <v>29</v>
      </c>
      <c r="DO98" s="16" t="s">
        <v>38</v>
      </c>
      <c r="DP98" s="16" t="s">
        <v>18</v>
      </c>
      <c r="DQ98" s="16" t="s">
        <v>19</v>
      </c>
      <c r="DR98" s="16" t="s">
        <v>20</v>
      </c>
      <c r="DS98" s="16" t="s">
        <v>21</v>
      </c>
      <c r="DT98" s="16" t="s">
        <v>22</v>
      </c>
      <c r="DU98" s="16" t="s">
        <v>23</v>
      </c>
      <c r="DV98" s="16" t="s">
        <v>24</v>
      </c>
      <c r="DW98" s="16" t="s">
        <v>25</v>
      </c>
      <c r="DX98" s="16" t="s">
        <v>26</v>
      </c>
      <c r="DY98" s="16" t="s">
        <v>27</v>
      </c>
      <c r="DZ98" s="16" t="s">
        <v>28</v>
      </c>
      <c r="EA98" s="16" t="s">
        <v>29</v>
      </c>
      <c r="EB98" s="16" t="s">
        <v>39</v>
      </c>
      <c r="EC98" s="16" t="s">
        <v>18</v>
      </c>
      <c r="ED98" s="16" t="s">
        <v>19</v>
      </c>
      <c r="EE98" s="16" t="s">
        <v>20</v>
      </c>
      <c r="EF98" s="16" t="s">
        <v>21</v>
      </c>
      <c r="EG98" s="16" t="s">
        <v>22</v>
      </c>
      <c r="EH98" s="16" t="s">
        <v>23</v>
      </c>
      <c r="EI98" s="16" t="s">
        <v>24</v>
      </c>
      <c r="EJ98" s="16" t="s">
        <v>25</v>
      </c>
      <c r="EK98" s="16" t="s">
        <v>26</v>
      </c>
      <c r="EL98" s="16" t="s">
        <v>27</v>
      </c>
      <c r="EM98" s="16" t="s">
        <v>28</v>
      </c>
      <c r="EN98" s="16" t="s">
        <v>29</v>
      </c>
      <c r="EO98" s="16" t="s">
        <v>40</v>
      </c>
      <c r="EP98" s="16" t="s">
        <v>18</v>
      </c>
      <c r="EQ98" s="16" t="s">
        <v>19</v>
      </c>
      <c r="ER98" s="16" t="s">
        <v>20</v>
      </c>
      <c r="ES98" s="16" t="s">
        <v>21</v>
      </c>
      <c r="ET98" s="16" t="s">
        <v>22</v>
      </c>
      <c r="EU98" s="16" t="s">
        <v>23</v>
      </c>
      <c r="EV98" s="16" t="s">
        <v>24</v>
      </c>
      <c r="EW98" s="16" t="s">
        <v>25</v>
      </c>
      <c r="EX98" s="16" t="s">
        <v>26</v>
      </c>
      <c r="EY98" s="16" t="s">
        <v>27</v>
      </c>
      <c r="EZ98" s="16" t="s">
        <v>28</v>
      </c>
      <c r="FA98" s="16" t="s">
        <v>29</v>
      </c>
      <c r="FB98" s="16" t="s">
        <v>41</v>
      </c>
      <c r="FC98" s="16" t="s">
        <v>18</v>
      </c>
      <c r="FD98" s="16" t="s">
        <v>19</v>
      </c>
      <c r="FE98" s="16" t="s">
        <v>20</v>
      </c>
      <c r="FF98" s="16" t="s">
        <v>21</v>
      </c>
      <c r="FG98" s="16" t="s">
        <v>22</v>
      </c>
      <c r="FH98" s="16" t="s">
        <v>23</v>
      </c>
      <c r="FI98" s="16" t="s">
        <v>24</v>
      </c>
      <c r="FJ98" s="16" t="s">
        <v>25</v>
      </c>
      <c r="FK98" s="16" t="s">
        <v>26</v>
      </c>
      <c r="FL98" s="16" t="s">
        <v>27</v>
      </c>
      <c r="FM98" s="16" t="s">
        <v>28</v>
      </c>
      <c r="FN98" s="16" t="s">
        <v>29</v>
      </c>
      <c r="FO98" s="16" t="s">
        <v>42</v>
      </c>
    </row>
    <row r="99" spans="1:171" ht="27.75" customHeight="1">
      <c r="A99" s="10"/>
      <c r="B99" s="19" t="s">
        <v>43</v>
      </c>
      <c r="C99" s="20">
        <f>+MOP_Mes_Corriente!C100*MOP_Mes_Constante!$C$1</f>
        <v>0</v>
      </c>
      <c r="D99" s="20">
        <f>+MOP_Mes_Corriente!D100*MOP_Mes_Constante!$C$1</f>
        <v>0</v>
      </c>
      <c r="E99" s="20">
        <f>+MOP_Mes_Corriente!E100*MOP_Mes_Constante!$C$1</f>
        <v>0</v>
      </c>
      <c r="F99" s="20">
        <f>+MOP_Mes_Corriente!F100*MOP_Mes_Constante!$C$1</f>
        <v>0</v>
      </c>
      <c r="G99" s="20">
        <f>+MOP_Mes_Corriente!G100*MOP_Mes_Constante!$C$1</f>
        <v>0</v>
      </c>
      <c r="H99" s="20">
        <f>+MOP_Mes_Corriente!H100*MOP_Mes_Constante!$C$1</f>
        <v>0</v>
      </c>
      <c r="I99" s="20">
        <f>+MOP_Mes_Corriente!I100*MOP_Mes_Constante!$C$1</f>
        <v>0</v>
      </c>
      <c r="J99" s="20">
        <f>+MOP_Mes_Corriente!J100*MOP_Mes_Constante!$C$1</f>
        <v>0</v>
      </c>
      <c r="K99" s="20">
        <f>+MOP_Mes_Corriente!K100*MOP_Mes_Constante!$C$1</f>
        <v>0</v>
      </c>
      <c r="L99" s="20">
        <f>+MOP_Mes_Corriente!L100*MOP_Mes_Constante!$C$1</f>
        <v>0</v>
      </c>
      <c r="M99" s="20">
        <f>+MOP_Mes_Corriente!M100*MOP_Mes_Constante!$C$1</f>
        <v>0</v>
      </c>
      <c r="N99" s="20">
        <f>+MOP_Mes_Corriente!N100*MOP_Mes_Constante!$C$1</f>
        <v>0</v>
      </c>
      <c r="O99" s="20">
        <f t="shared" ref="O99:O104" si="133">N99</f>
        <v>0</v>
      </c>
      <c r="P99" s="20">
        <f>+MOP_Mes_Corriente!P100*MOP_Mes_Constante!$P$1</f>
        <v>0</v>
      </c>
      <c r="Q99" s="20">
        <f>+MOP_Mes_Corriente!Q100*MOP_Mes_Constante!$P$1</f>
        <v>0</v>
      </c>
      <c r="R99" s="20">
        <f>+MOP_Mes_Corriente!R100*MOP_Mes_Constante!$P$1</f>
        <v>0</v>
      </c>
      <c r="S99" s="20">
        <f>+MOP_Mes_Corriente!S100*MOP_Mes_Constante!$P$1</f>
        <v>0</v>
      </c>
      <c r="T99" s="20">
        <f>+MOP_Mes_Corriente!T100*MOP_Mes_Constante!$P$1</f>
        <v>0</v>
      </c>
      <c r="U99" s="20">
        <f>+MOP_Mes_Corriente!U100*MOP_Mes_Constante!$P$1</f>
        <v>0</v>
      </c>
      <c r="V99" s="20">
        <f>+MOP_Mes_Corriente!V100*MOP_Mes_Constante!$P$1</f>
        <v>0</v>
      </c>
      <c r="W99" s="20">
        <f>+MOP_Mes_Corriente!W100*MOP_Mes_Constante!$P$1</f>
        <v>0</v>
      </c>
      <c r="X99" s="20">
        <f>+MOP_Mes_Corriente!X100*MOP_Mes_Constante!$P$1</f>
        <v>0</v>
      </c>
      <c r="Y99" s="20">
        <f>+MOP_Mes_Corriente!Y100*MOP_Mes_Constante!$P$1</f>
        <v>0</v>
      </c>
      <c r="Z99" s="20">
        <f>+MOP_Mes_Corriente!Z100*MOP_Mes_Constante!$P$1</f>
        <v>0</v>
      </c>
      <c r="AA99" s="20">
        <f>+MOP_Mes_Corriente!AA100*MOP_Mes_Constante!$P$1</f>
        <v>0</v>
      </c>
      <c r="AB99" s="20">
        <f t="shared" ref="AB99:AB104" si="134">AA99</f>
        <v>0</v>
      </c>
      <c r="AC99" s="20">
        <f>+MOP_Mes_Corriente!AC100*MOP_Mes_Constante!$AC$1</f>
        <v>0</v>
      </c>
      <c r="AD99" s="20">
        <f>+MOP_Mes_Corriente!AD100*MOP_Mes_Constante!$AC$1</f>
        <v>0</v>
      </c>
      <c r="AE99" s="20">
        <f>+MOP_Mes_Corriente!AE100*MOP_Mes_Constante!$AC$1</f>
        <v>0</v>
      </c>
      <c r="AF99" s="20">
        <f>+MOP_Mes_Corriente!AF100*MOP_Mes_Constante!$AC$1</f>
        <v>0</v>
      </c>
      <c r="AG99" s="20">
        <f>+MOP_Mes_Corriente!AG100*MOP_Mes_Constante!$AC$1</f>
        <v>0</v>
      </c>
      <c r="AH99" s="20">
        <f>+MOP_Mes_Corriente!AH100*MOP_Mes_Constante!$AC$1</f>
        <v>0</v>
      </c>
      <c r="AI99" s="20">
        <f>+MOP_Mes_Corriente!AI100*MOP_Mes_Constante!$AC$1</f>
        <v>0</v>
      </c>
      <c r="AJ99" s="20">
        <f>+MOP_Mes_Corriente!AJ100*MOP_Mes_Constante!$AC$1</f>
        <v>0</v>
      </c>
      <c r="AK99" s="20">
        <f>+MOP_Mes_Corriente!AK100*MOP_Mes_Constante!$AC$1</f>
        <v>0</v>
      </c>
      <c r="AL99" s="20">
        <f>+MOP_Mes_Corriente!AL100*MOP_Mes_Constante!$AC$1</f>
        <v>0</v>
      </c>
      <c r="AM99" s="20">
        <f>+MOP_Mes_Corriente!AM100*MOP_Mes_Constante!$AC$1</f>
        <v>0</v>
      </c>
      <c r="AN99" s="20">
        <f>+MOP_Mes_Corriente!AN100*MOP_Mes_Constante!$AC$1</f>
        <v>0</v>
      </c>
      <c r="AO99" s="20">
        <f t="shared" ref="AO99:AO104" si="135">AN99</f>
        <v>0</v>
      </c>
      <c r="AP99" s="20">
        <f>+MOP_Mes_Corriente!AP100*MOP_Mes_Constante!$AP$1</f>
        <v>0</v>
      </c>
      <c r="AQ99" s="20">
        <f>+MOP_Mes_Corriente!AQ100*MOP_Mes_Constante!$AP$1</f>
        <v>0</v>
      </c>
      <c r="AR99" s="20">
        <f>+MOP_Mes_Corriente!AR100*MOP_Mes_Constante!$AP$1</f>
        <v>0</v>
      </c>
      <c r="AS99" s="20">
        <f>+MOP_Mes_Corriente!AS100*MOP_Mes_Constante!$AP$1</f>
        <v>0</v>
      </c>
      <c r="AT99" s="20">
        <f>+MOP_Mes_Corriente!AT100*MOP_Mes_Constante!$AP$1</f>
        <v>0</v>
      </c>
      <c r="AU99" s="20">
        <f>+MOP_Mes_Corriente!AU100*MOP_Mes_Constante!$AP$1</f>
        <v>0</v>
      </c>
      <c r="AV99" s="20">
        <f>+MOP_Mes_Corriente!AV100*MOP_Mes_Constante!$AP$1</f>
        <v>0</v>
      </c>
      <c r="AW99" s="20">
        <f>+MOP_Mes_Corriente!AW100*MOP_Mes_Constante!$AP$1</f>
        <v>0</v>
      </c>
      <c r="AX99" s="20">
        <f>+MOP_Mes_Corriente!AX100*MOP_Mes_Constante!$AP$1</f>
        <v>0</v>
      </c>
      <c r="AY99" s="20">
        <f>+MOP_Mes_Corriente!AY100*MOP_Mes_Constante!$AP$1</f>
        <v>0</v>
      </c>
      <c r="AZ99" s="20">
        <f>+MOP_Mes_Corriente!AZ100*MOP_Mes_Constante!$AP$1</f>
        <v>0</v>
      </c>
      <c r="BA99" s="20">
        <f>+MOP_Mes_Corriente!BA100*MOP_Mes_Constante!$AP$1</f>
        <v>0</v>
      </c>
      <c r="BB99" s="20">
        <f t="shared" ref="BB99:BB104" si="136">BA99</f>
        <v>0</v>
      </c>
      <c r="BC99" s="20">
        <f>+MOP_Mes_Corriente!BC100*MOP_Mes_Constante!$BC$1</f>
        <v>0</v>
      </c>
      <c r="BD99" s="20">
        <f>+MOP_Mes_Corriente!BD100*MOP_Mes_Constante!$BC$1</f>
        <v>0</v>
      </c>
      <c r="BE99" s="20">
        <f>+MOP_Mes_Corriente!BE100*MOP_Mes_Constante!$BC$1</f>
        <v>0</v>
      </c>
      <c r="BF99" s="20">
        <f>+MOP_Mes_Corriente!BF100*MOP_Mes_Constante!$BC$1</f>
        <v>0</v>
      </c>
      <c r="BG99" s="20">
        <f>+MOP_Mes_Corriente!BG100*MOP_Mes_Constante!$BC$1</f>
        <v>0</v>
      </c>
      <c r="BH99" s="20">
        <f>+MOP_Mes_Corriente!BH100*MOP_Mes_Constante!$BC$1</f>
        <v>0</v>
      </c>
      <c r="BI99" s="20">
        <f>+MOP_Mes_Corriente!BI100*MOP_Mes_Constante!$BC$1</f>
        <v>0</v>
      </c>
      <c r="BJ99" s="20">
        <f>+MOP_Mes_Corriente!BJ100*MOP_Mes_Constante!$BC$1</f>
        <v>0</v>
      </c>
      <c r="BK99" s="20">
        <f>+MOP_Mes_Corriente!BK100*MOP_Mes_Constante!$BC$1</f>
        <v>0</v>
      </c>
      <c r="BL99" s="20">
        <f>+MOP_Mes_Corriente!BL100*MOP_Mes_Constante!$BC$1</f>
        <v>0</v>
      </c>
      <c r="BM99" s="20">
        <f>+MOP_Mes_Corriente!BM100*MOP_Mes_Constante!$BC$1</f>
        <v>0</v>
      </c>
      <c r="BN99" s="20">
        <f>+MOP_Mes_Corriente!BN100*MOP_Mes_Constante!$BC$1</f>
        <v>0</v>
      </c>
      <c r="BO99" s="20">
        <f t="shared" ref="BO99:BO104" si="137">BN99</f>
        <v>0</v>
      </c>
      <c r="BP99" s="20">
        <f>+MOP_Mes_Corriente!BP100*MOP_Mes_Constante!$BP$1</f>
        <v>0</v>
      </c>
      <c r="BQ99" s="20">
        <f>+MOP_Mes_Corriente!BQ100*MOP_Mes_Constante!$BP$1</f>
        <v>0</v>
      </c>
      <c r="BR99" s="20">
        <f>+MOP_Mes_Corriente!BR100*MOP_Mes_Constante!$BP$1</f>
        <v>0</v>
      </c>
      <c r="BS99" s="20">
        <f>+MOP_Mes_Corriente!BS100*MOP_Mes_Constante!$BP$1</f>
        <v>0</v>
      </c>
      <c r="BT99" s="20">
        <f>+MOP_Mes_Corriente!BT100*MOP_Mes_Constante!$BP$1</f>
        <v>0</v>
      </c>
      <c r="BU99" s="20">
        <f>+MOP_Mes_Corriente!BU100*MOP_Mes_Constante!$BP$1</f>
        <v>0</v>
      </c>
      <c r="BV99" s="20">
        <f>+MOP_Mes_Corriente!BV100*MOP_Mes_Constante!$BP$1</f>
        <v>0</v>
      </c>
      <c r="BW99" s="20">
        <f>+MOP_Mes_Corriente!BW100*MOP_Mes_Constante!$BP$1</f>
        <v>0</v>
      </c>
      <c r="BX99" s="20">
        <f>+MOP_Mes_Corriente!BX100*MOP_Mes_Constante!$BP$1</f>
        <v>0</v>
      </c>
      <c r="BY99" s="20">
        <f>+MOP_Mes_Corriente!BY100*MOP_Mes_Constante!$BP$1</f>
        <v>0</v>
      </c>
      <c r="BZ99" s="20">
        <f>+MOP_Mes_Corriente!BZ100*MOP_Mes_Constante!$BP$1</f>
        <v>0</v>
      </c>
      <c r="CA99" s="20">
        <f>+MOP_Mes_Corriente!CA100*MOP_Mes_Constante!$BP$1</f>
        <v>0</v>
      </c>
      <c r="CB99" s="20">
        <f t="shared" ref="CB99:CB104" si="138">CA99</f>
        <v>0</v>
      </c>
      <c r="CC99" s="20">
        <f>+MOP_Mes_Corriente!CC100*MOP_Mes_Constante!$CC$1</f>
        <v>0</v>
      </c>
      <c r="CD99" s="20">
        <f>+MOP_Mes_Corriente!CD100*MOP_Mes_Constante!$CC$1</f>
        <v>0</v>
      </c>
      <c r="CE99" s="20">
        <f>+MOP_Mes_Corriente!CE100*MOP_Mes_Constante!$CC$1</f>
        <v>0</v>
      </c>
      <c r="CF99" s="20">
        <f>+MOP_Mes_Corriente!CF100*MOP_Mes_Constante!$CC$1</f>
        <v>0</v>
      </c>
      <c r="CG99" s="20">
        <f>+MOP_Mes_Corriente!CG100*MOP_Mes_Constante!$CC$1</f>
        <v>0</v>
      </c>
      <c r="CH99" s="20">
        <f>+MOP_Mes_Corriente!CH100*MOP_Mes_Constante!$CC$1</f>
        <v>0</v>
      </c>
      <c r="CI99" s="20">
        <f>+MOP_Mes_Corriente!CI100*MOP_Mes_Constante!$CC$1</f>
        <v>0</v>
      </c>
      <c r="CJ99" s="20">
        <f>+MOP_Mes_Corriente!CJ100*MOP_Mes_Constante!$CC$1</f>
        <v>0</v>
      </c>
      <c r="CK99" s="20">
        <f>+MOP_Mes_Corriente!CK100*MOP_Mes_Constante!$CC$1</f>
        <v>0</v>
      </c>
      <c r="CL99" s="20">
        <f>+MOP_Mes_Corriente!CL100*MOP_Mes_Constante!$CC$1</f>
        <v>0</v>
      </c>
      <c r="CM99" s="20">
        <f>+MOP_Mes_Corriente!CM100*MOP_Mes_Constante!$CC$1</f>
        <v>0</v>
      </c>
      <c r="CN99" s="20">
        <f>+MOP_Mes_Corriente!CN100*MOP_Mes_Constante!$CC$1</f>
        <v>0</v>
      </c>
      <c r="CO99" s="20">
        <f t="shared" ref="CO99:CO104" si="139">CN99</f>
        <v>0</v>
      </c>
      <c r="CP99" s="20">
        <f>+MOP_Mes_Corriente!CP100*MOP_Mes_Constante!$CP$1</f>
        <v>0</v>
      </c>
      <c r="CQ99" s="20">
        <f>+MOP_Mes_Corriente!CQ100*MOP_Mes_Constante!$CP$1</f>
        <v>0</v>
      </c>
      <c r="CR99" s="20">
        <f>+MOP_Mes_Corriente!CR100*MOP_Mes_Constante!$CP$1</f>
        <v>0</v>
      </c>
      <c r="CS99" s="20">
        <f>+MOP_Mes_Corriente!CS100*MOP_Mes_Constante!$CP$1</f>
        <v>0</v>
      </c>
      <c r="CT99" s="20">
        <f>+MOP_Mes_Corriente!CT100*MOP_Mes_Constante!$CP$1</f>
        <v>0</v>
      </c>
      <c r="CU99" s="20">
        <f>+MOP_Mes_Corriente!CU100*MOP_Mes_Constante!$CP$1</f>
        <v>0</v>
      </c>
      <c r="CV99" s="20">
        <f>+MOP_Mes_Corriente!CV100*MOP_Mes_Constante!$CP$1</f>
        <v>0</v>
      </c>
      <c r="CW99" s="20">
        <f>+MOP_Mes_Corriente!CW100*MOP_Mes_Constante!$CP$1</f>
        <v>0</v>
      </c>
      <c r="CX99" s="20">
        <f>+MOP_Mes_Corriente!CX100*MOP_Mes_Constante!$CP$1</f>
        <v>0</v>
      </c>
      <c r="CY99" s="20">
        <f>+MOP_Mes_Corriente!CY100*MOP_Mes_Constante!$CP$1</f>
        <v>0</v>
      </c>
      <c r="CZ99" s="20">
        <f>+MOP_Mes_Corriente!CZ100*MOP_Mes_Constante!$CP$1</f>
        <v>0</v>
      </c>
      <c r="DA99" s="20">
        <f>+MOP_Mes_Corriente!DA100*MOP_Mes_Constante!$CP$1</f>
        <v>0</v>
      </c>
      <c r="DB99" s="20">
        <f t="shared" ref="DB99:DB104" si="140">DA99</f>
        <v>0</v>
      </c>
      <c r="DC99" s="20">
        <f>+MOP_Mes_Corriente!DC100*MOP_Mes_Constante!$DC$1</f>
        <v>0</v>
      </c>
      <c r="DD99" s="20">
        <f>+MOP_Mes_Corriente!DD100*MOP_Mes_Constante!$DC$1</f>
        <v>0</v>
      </c>
      <c r="DE99" s="20">
        <f>+MOP_Mes_Corriente!DE100*MOP_Mes_Constante!$DC$1</f>
        <v>0</v>
      </c>
      <c r="DF99" s="20">
        <f>+MOP_Mes_Corriente!DF100*MOP_Mes_Constante!$DC$1</f>
        <v>0</v>
      </c>
      <c r="DG99" s="20">
        <f>+MOP_Mes_Corriente!DG100*MOP_Mes_Constante!$DC$1</f>
        <v>0</v>
      </c>
      <c r="DH99" s="20">
        <f>+MOP_Mes_Corriente!DH100*MOP_Mes_Constante!$DC$1</f>
        <v>0</v>
      </c>
      <c r="DI99" s="20">
        <f>+MOP_Mes_Corriente!DI100*MOP_Mes_Constante!$DC$1</f>
        <v>0</v>
      </c>
      <c r="DJ99" s="20">
        <f>+MOP_Mes_Corriente!DJ100*MOP_Mes_Constante!$DC$1</f>
        <v>0</v>
      </c>
      <c r="DK99" s="20">
        <f>+MOP_Mes_Corriente!DK100*MOP_Mes_Constante!$DC$1</f>
        <v>0</v>
      </c>
      <c r="DL99" s="20">
        <f>+MOP_Mes_Corriente!DL100*MOP_Mes_Constante!$DC$1</f>
        <v>0</v>
      </c>
      <c r="DM99" s="20">
        <f>+MOP_Mes_Corriente!DM100*MOP_Mes_Constante!$DC$1</f>
        <v>0</v>
      </c>
      <c r="DN99" s="20">
        <f>+MOP_Mes_Corriente!DN100*MOP_Mes_Constante!$DC$1</f>
        <v>0</v>
      </c>
      <c r="DO99" s="20">
        <f t="shared" ref="DO99:DO104" si="141">DN99</f>
        <v>0</v>
      </c>
      <c r="DP99" s="20">
        <f>+MOP_Mes_Corriente!DP100*MOP_Mes_Constante!$DP$1</f>
        <v>0</v>
      </c>
      <c r="DQ99" s="20">
        <f>+MOP_Mes_Corriente!DQ100*MOP_Mes_Constante!$DP$1</f>
        <v>0</v>
      </c>
      <c r="DR99" s="20">
        <f>+MOP_Mes_Corriente!DR100*MOP_Mes_Constante!$DP$1</f>
        <v>0</v>
      </c>
      <c r="DS99" s="20">
        <f>+MOP_Mes_Corriente!DS100*MOP_Mes_Constante!$DP$1</f>
        <v>0</v>
      </c>
      <c r="DT99" s="20">
        <f>+MOP_Mes_Corriente!DT100*MOP_Mes_Constante!$DP$1</f>
        <v>0</v>
      </c>
      <c r="DU99" s="20">
        <f>+MOP_Mes_Corriente!DU100*MOP_Mes_Constante!$DP$1</f>
        <v>0</v>
      </c>
      <c r="DV99" s="20">
        <f>+MOP_Mes_Corriente!DV100*MOP_Mes_Constante!$DP$1</f>
        <v>0</v>
      </c>
      <c r="DW99" s="20">
        <f>+MOP_Mes_Corriente!DW100*MOP_Mes_Constante!$DP$1</f>
        <v>0</v>
      </c>
      <c r="DX99" s="20">
        <f>+MOP_Mes_Corriente!DX100*MOP_Mes_Constante!$DP$1</f>
        <v>0</v>
      </c>
      <c r="DY99" s="20">
        <f>+MOP_Mes_Corriente!DY100*MOP_Mes_Constante!$DP$1</f>
        <v>0</v>
      </c>
      <c r="DZ99" s="20">
        <f>+MOP_Mes_Corriente!DZ100*MOP_Mes_Constante!$DP$1</f>
        <v>0</v>
      </c>
      <c r="EA99" s="20">
        <f>+MOP_Mes_Corriente!EA100*MOP_Mes_Constante!$DP$1</f>
        <v>0</v>
      </c>
      <c r="EB99" s="20">
        <f t="shared" ref="EB99:EB104" si="142">EA99</f>
        <v>0</v>
      </c>
      <c r="EC99" s="20">
        <f>+MOP_Mes_Corriente!EC100*MOP_Mes_Constante!$EC$1</f>
        <v>0</v>
      </c>
      <c r="ED99" s="20">
        <f>+MOP_Mes_Corriente!ED100*MOP_Mes_Constante!$EC$1</f>
        <v>0</v>
      </c>
      <c r="EE99" s="20">
        <f>+MOP_Mes_Corriente!EE100*MOP_Mes_Constante!$EC$1</f>
        <v>0</v>
      </c>
      <c r="EF99" s="20">
        <f>+MOP_Mes_Corriente!EF100*MOP_Mes_Constante!$EC$1</f>
        <v>0</v>
      </c>
      <c r="EG99" s="20">
        <f>+MOP_Mes_Corriente!EG100*MOP_Mes_Constante!$EC$1</f>
        <v>0</v>
      </c>
      <c r="EH99" s="20">
        <f>+MOP_Mes_Corriente!EH100*MOP_Mes_Constante!$EC$1</f>
        <v>0</v>
      </c>
      <c r="EI99" s="20">
        <f>+MOP_Mes_Corriente!EI100*MOP_Mes_Constante!$EC$1</f>
        <v>0</v>
      </c>
      <c r="EJ99" s="20">
        <f>+MOP_Mes_Corriente!EJ100*MOP_Mes_Constante!$EC$1</f>
        <v>0</v>
      </c>
      <c r="EK99" s="20">
        <f>+MOP_Mes_Corriente!EK100*MOP_Mes_Constante!$EC$1</f>
        <v>0</v>
      </c>
      <c r="EL99" s="20">
        <f>+MOP_Mes_Corriente!EL100*MOP_Mes_Constante!$EC$1</f>
        <v>0</v>
      </c>
      <c r="EM99" s="20">
        <f>+MOP_Mes_Corriente!EM100*MOP_Mes_Constante!$EC$1</f>
        <v>0</v>
      </c>
      <c r="EN99" s="20">
        <f>+MOP_Mes_Corriente!EN100*MOP_Mes_Constante!$EC$1</f>
        <v>0</v>
      </c>
      <c r="EO99" s="20">
        <f t="shared" ref="EO99:EO104" si="143">EN99</f>
        <v>0</v>
      </c>
      <c r="EP99" s="20">
        <f>+MOP_Mes_Corriente!EP100*MOP_Mes_Constante!$EP$1</f>
        <v>0</v>
      </c>
      <c r="EQ99" s="20">
        <f>+MOP_Mes_Corriente!EQ100*MOP_Mes_Constante!$EP$1</f>
        <v>0</v>
      </c>
      <c r="ER99" s="20">
        <f>+MOP_Mes_Corriente!ER100*MOP_Mes_Constante!$EP$1</f>
        <v>0</v>
      </c>
      <c r="ES99" s="20">
        <f>+MOP_Mes_Corriente!ES100*MOP_Mes_Constante!$EP$1</f>
        <v>0</v>
      </c>
      <c r="ET99" s="20">
        <f>+MOP_Mes_Corriente!ET100*MOP_Mes_Constante!$EP$1</f>
        <v>0</v>
      </c>
      <c r="EU99" s="20">
        <f>+MOP_Mes_Corriente!EU100*MOP_Mes_Constante!$EP$1</f>
        <v>0</v>
      </c>
      <c r="EV99" s="20">
        <f>+MOP_Mes_Corriente!EV100*MOP_Mes_Constante!$EP$1</f>
        <v>0</v>
      </c>
      <c r="EW99" s="20">
        <f>+MOP_Mes_Corriente!EW100*MOP_Mes_Constante!$EP$1</f>
        <v>0</v>
      </c>
      <c r="EX99" s="20">
        <f>+MOP_Mes_Corriente!EX100*MOP_Mes_Constante!$EP$1</f>
        <v>0</v>
      </c>
      <c r="EY99" s="20">
        <f>+MOP_Mes_Corriente!EY100*MOP_Mes_Constante!$EP$1</f>
        <v>0</v>
      </c>
      <c r="EZ99" s="20">
        <f>+MOP_Mes_Corriente!EZ100*MOP_Mes_Constante!$EP$1</f>
        <v>0</v>
      </c>
      <c r="FA99" s="20">
        <f>+MOP_Mes_Corriente!FA100*MOP_Mes_Constante!$EP$1</f>
        <v>0</v>
      </c>
      <c r="FB99" s="20">
        <f t="shared" ref="FB99:FB104" si="144">FA99</f>
        <v>0</v>
      </c>
      <c r="FC99" s="20">
        <f>+MOP_Mes_Corriente!FC100*MOP_Mes_Constante!$FC$1</f>
        <v>0</v>
      </c>
      <c r="FD99" s="20">
        <f>+MOP_Mes_Corriente!FD100*MOP_Mes_Constante!$FC$1</f>
        <v>0</v>
      </c>
      <c r="FE99" s="20">
        <f>+MOP_Mes_Corriente!FE100*MOP_Mes_Constante!$FC$1</f>
        <v>0</v>
      </c>
      <c r="FF99" s="20">
        <f>+MOP_Mes_Corriente!FF100*MOP_Mes_Constante!$FC$1</f>
        <v>0</v>
      </c>
      <c r="FG99" s="20">
        <f>+MOP_Mes_Corriente!FG100*MOP_Mes_Constante!$FC$1</f>
        <v>0</v>
      </c>
      <c r="FH99" s="20">
        <f>+MOP_Mes_Corriente!FH100*MOP_Mes_Constante!$FC$1</f>
        <v>0</v>
      </c>
      <c r="FI99" s="20">
        <f>+MOP_Mes_Corriente!FI100*MOP_Mes_Constante!$FC$1</f>
        <v>0</v>
      </c>
      <c r="FJ99" s="10"/>
      <c r="FK99" s="10"/>
      <c r="FL99" s="10"/>
      <c r="FM99" s="10"/>
      <c r="FN99" s="10"/>
      <c r="FO99" s="20">
        <f t="shared" ref="FO99:FO104" si="145">FI99</f>
        <v>0</v>
      </c>
    </row>
    <row r="100" spans="1:171" ht="27.75" customHeight="1">
      <c r="A100" s="10"/>
      <c r="B100" s="19" t="s">
        <v>44</v>
      </c>
      <c r="C100" s="20">
        <f>+MOP_Mes_Corriente!C101*MOP_Mes_Constante!$C$1</f>
        <v>0</v>
      </c>
      <c r="D100" s="20">
        <f>+MOP_Mes_Corriente!D101*MOP_Mes_Constante!$C$1</f>
        <v>0</v>
      </c>
      <c r="E100" s="20">
        <f>+MOP_Mes_Corriente!E101*MOP_Mes_Constante!$C$1</f>
        <v>0</v>
      </c>
      <c r="F100" s="20">
        <f>+MOP_Mes_Corriente!F101*MOP_Mes_Constante!$C$1</f>
        <v>0</v>
      </c>
      <c r="G100" s="20">
        <f>+MOP_Mes_Corriente!G101*MOP_Mes_Constante!$C$1</f>
        <v>0</v>
      </c>
      <c r="H100" s="20">
        <f>+MOP_Mes_Corriente!H101*MOP_Mes_Constante!$C$1</f>
        <v>0</v>
      </c>
      <c r="I100" s="20">
        <f>+MOP_Mes_Corriente!I101*MOP_Mes_Constante!$C$1</f>
        <v>0</v>
      </c>
      <c r="J100" s="20">
        <f>+MOP_Mes_Corriente!J101*MOP_Mes_Constante!$C$1</f>
        <v>0</v>
      </c>
      <c r="K100" s="20">
        <f>+MOP_Mes_Corriente!K101*MOP_Mes_Constante!$C$1</f>
        <v>0</v>
      </c>
      <c r="L100" s="20">
        <f>+MOP_Mes_Corriente!L101*MOP_Mes_Constante!$C$1</f>
        <v>0</v>
      </c>
      <c r="M100" s="20">
        <f>+MOP_Mes_Corriente!M101*MOP_Mes_Constante!$C$1</f>
        <v>0</v>
      </c>
      <c r="N100" s="20">
        <f>+MOP_Mes_Corriente!N101*MOP_Mes_Constante!$C$1</f>
        <v>0</v>
      </c>
      <c r="O100" s="20">
        <f t="shared" si="133"/>
        <v>0</v>
      </c>
      <c r="P100" s="20">
        <f>+MOP_Mes_Corriente!P101*MOP_Mes_Constante!$P$1</f>
        <v>0</v>
      </c>
      <c r="Q100" s="20">
        <f>+MOP_Mes_Corriente!Q101*MOP_Mes_Constante!$P$1</f>
        <v>0</v>
      </c>
      <c r="R100" s="20">
        <f>+MOP_Mes_Corriente!R101*MOP_Mes_Constante!$P$1</f>
        <v>0</v>
      </c>
      <c r="S100" s="20">
        <f>+MOP_Mes_Corriente!S101*MOP_Mes_Constante!$P$1</f>
        <v>0</v>
      </c>
      <c r="T100" s="20">
        <f>+MOP_Mes_Corriente!T101*MOP_Mes_Constante!$P$1</f>
        <v>0</v>
      </c>
      <c r="U100" s="20">
        <f>+MOP_Mes_Corriente!U101*MOP_Mes_Constante!$P$1</f>
        <v>0</v>
      </c>
      <c r="V100" s="20">
        <f>+MOP_Mes_Corriente!V101*MOP_Mes_Constante!$P$1</f>
        <v>0</v>
      </c>
      <c r="W100" s="20">
        <f>+MOP_Mes_Corriente!W101*MOP_Mes_Constante!$P$1</f>
        <v>0</v>
      </c>
      <c r="X100" s="20">
        <f>+MOP_Mes_Corriente!X101*MOP_Mes_Constante!$P$1</f>
        <v>0</v>
      </c>
      <c r="Y100" s="20">
        <f>+MOP_Mes_Corriente!Y101*MOP_Mes_Constante!$P$1</f>
        <v>0</v>
      </c>
      <c r="Z100" s="20">
        <f>+MOP_Mes_Corriente!Z101*MOP_Mes_Constante!$P$1</f>
        <v>0</v>
      </c>
      <c r="AA100" s="20">
        <f>+MOP_Mes_Corriente!AA101*MOP_Mes_Constante!$P$1</f>
        <v>0</v>
      </c>
      <c r="AB100" s="20">
        <f t="shared" si="134"/>
        <v>0</v>
      </c>
      <c r="AC100" s="20">
        <f>+MOP_Mes_Corriente!AC101*MOP_Mes_Constante!$AC$1</f>
        <v>0</v>
      </c>
      <c r="AD100" s="20">
        <f>+MOP_Mes_Corriente!AD101*MOP_Mes_Constante!$AC$1</f>
        <v>0</v>
      </c>
      <c r="AE100" s="20">
        <f>+MOP_Mes_Corriente!AE101*MOP_Mes_Constante!$AC$1</f>
        <v>0</v>
      </c>
      <c r="AF100" s="20">
        <f>+MOP_Mes_Corriente!AF101*MOP_Mes_Constante!$AC$1</f>
        <v>0</v>
      </c>
      <c r="AG100" s="20">
        <f>+MOP_Mes_Corriente!AG101*MOP_Mes_Constante!$AC$1</f>
        <v>0</v>
      </c>
      <c r="AH100" s="20">
        <f>+MOP_Mes_Corriente!AH101*MOP_Mes_Constante!$AC$1</f>
        <v>0</v>
      </c>
      <c r="AI100" s="20">
        <f>+MOP_Mes_Corriente!AI101*MOP_Mes_Constante!$AC$1</f>
        <v>0</v>
      </c>
      <c r="AJ100" s="20">
        <f>+MOP_Mes_Corriente!AJ101*MOP_Mes_Constante!$AC$1</f>
        <v>0</v>
      </c>
      <c r="AK100" s="20">
        <f>+MOP_Mes_Corriente!AK101*MOP_Mes_Constante!$AC$1</f>
        <v>0</v>
      </c>
      <c r="AL100" s="20">
        <f>+MOP_Mes_Corriente!AL101*MOP_Mes_Constante!$AC$1</f>
        <v>0</v>
      </c>
      <c r="AM100" s="20">
        <f>+MOP_Mes_Corriente!AM101*MOP_Mes_Constante!$AC$1</f>
        <v>0</v>
      </c>
      <c r="AN100" s="20">
        <f>+MOP_Mes_Corriente!AN101*MOP_Mes_Constante!$AC$1</f>
        <v>0</v>
      </c>
      <c r="AO100" s="20">
        <f t="shared" si="135"/>
        <v>0</v>
      </c>
      <c r="AP100" s="20">
        <f>+MOP_Mes_Corriente!AP101*MOP_Mes_Constante!$AP$1</f>
        <v>0</v>
      </c>
      <c r="AQ100" s="20">
        <f>+MOP_Mes_Corriente!AQ101*MOP_Mes_Constante!$AP$1</f>
        <v>0</v>
      </c>
      <c r="AR100" s="20">
        <f>+MOP_Mes_Corriente!AR101*MOP_Mes_Constante!$AP$1</f>
        <v>0</v>
      </c>
      <c r="AS100" s="20">
        <f>+MOP_Mes_Corriente!AS101*MOP_Mes_Constante!$AP$1</f>
        <v>0</v>
      </c>
      <c r="AT100" s="20">
        <f>+MOP_Mes_Corriente!AT101*MOP_Mes_Constante!$AP$1</f>
        <v>0</v>
      </c>
      <c r="AU100" s="20">
        <f>+MOP_Mes_Corriente!AU101*MOP_Mes_Constante!$AP$1</f>
        <v>0</v>
      </c>
      <c r="AV100" s="20">
        <f>+MOP_Mes_Corriente!AV101*MOP_Mes_Constante!$AP$1</f>
        <v>0</v>
      </c>
      <c r="AW100" s="20">
        <f>+MOP_Mes_Corriente!AW101*MOP_Mes_Constante!$AP$1</f>
        <v>0</v>
      </c>
      <c r="AX100" s="20">
        <f>+MOP_Mes_Corriente!AX101*MOP_Mes_Constante!$AP$1</f>
        <v>0</v>
      </c>
      <c r="AY100" s="20">
        <f>+MOP_Mes_Corriente!AY101*MOP_Mes_Constante!$AP$1</f>
        <v>0</v>
      </c>
      <c r="AZ100" s="20">
        <f>+MOP_Mes_Corriente!AZ101*MOP_Mes_Constante!$AP$1</f>
        <v>0</v>
      </c>
      <c r="BA100" s="20">
        <f>+MOP_Mes_Corriente!BA101*MOP_Mes_Constante!$AP$1</f>
        <v>0</v>
      </c>
      <c r="BB100" s="20">
        <f t="shared" si="136"/>
        <v>0</v>
      </c>
      <c r="BC100" s="20">
        <f>+MOP_Mes_Corriente!BC101*MOP_Mes_Constante!$BC$1</f>
        <v>0</v>
      </c>
      <c r="BD100" s="20">
        <f>+MOP_Mes_Corriente!BD101*MOP_Mes_Constante!$BC$1</f>
        <v>0</v>
      </c>
      <c r="BE100" s="20">
        <f>+MOP_Mes_Corriente!BE101*MOP_Mes_Constante!$BC$1</f>
        <v>0</v>
      </c>
      <c r="BF100" s="20">
        <f>+MOP_Mes_Corriente!BF101*MOP_Mes_Constante!$BC$1</f>
        <v>0</v>
      </c>
      <c r="BG100" s="20">
        <f>+MOP_Mes_Corriente!BG101*MOP_Mes_Constante!$BC$1</f>
        <v>0</v>
      </c>
      <c r="BH100" s="20">
        <f>+MOP_Mes_Corriente!BH101*MOP_Mes_Constante!$BC$1</f>
        <v>0</v>
      </c>
      <c r="BI100" s="20">
        <f>+MOP_Mes_Corriente!BI101*MOP_Mes_Constante!$BC$1</f>
        <v>0</v>
      </c>
      <c r="BJ100" s="20">
        <f>+MOP_Mes_Corriente!BJ101*MOP_Mes_Constante!$BC$1</f>
        <v>0</v>
      </c>
      <c r="BK100" s="20">
        <f>+MOP_Mes_Corriente!BK101*MOP_Mes_Constante!$BC$1</f>
        <v>0</v>
      </c>
      <c r="BL100" s="20">
        <f>+MOP_Mes_Corriente!BL101*MOP_Mes_Constante!$BC$1</f>
        <v>0</v>
      </c>
      <c r="BM100" s="20">
        <f>+MOP_Mes_Corriente!BM101*MOP_Mes_Constante!$BC$1</f>
        <v>0</v>
      </c>
      <c r="BN100" s="20">
        <f>+MOP_Mes_Corriente!BN101*MOP_Mes_Constante!$BC$1</f>
        <v>0</v>
      </c>
      <c r="BO100" s="20">
        <f t="shared" si="137"/>
        <v>0</v>
      </c>
      <c r="BP100" s="20">
        <f>+MOP_Mes_Corriente!BP101*MOP_Mes_Constante!$BP$1</f>
        <v>0</v>
      </c>
      <c r="BQ100" s="20">
        <f>+MOP_Mes_Corriente!BQ101*MOP_Mes_Constante!$BP$1</f>
        <v>0</v>
      </c>
      <c r="BR100" s="20">
        <f>+MOP_Mes_Corriente!BR101*MOP_Mes_Constante!$BP$1</f>
        <v>0</v>
      </c>
      <c r="BS100" s="20">
        <f>+MOP_Mes_Corriente!BS101*MOP_Mes_Constante!$BP$1</f>
        <v>0</v>
      </c>
      <c r="BT100" s="20">
        <f>+MOP_Mes_Corriente!BT101*MOP_Mes_Constante!$BP$1</f>
        <v>0</v>
      </c>
      <c r="BU100" s="20">
        <f>+MOP_Mes_Corriente!BU101*MOP_Mes_Constante!$BP$1</f>
        <v>0</v>
      </c>
      <c r="BV100" s="20">
        <f>+MOP_Mes_Corriente!BV101*MOP_Mes_Constante!$BP$1</f>
        <v>0</v>
      </c>
      <c r="BW100" s="20">
        <f>+MOP_Mes_Corriente!BW101*MOP_Mes_Constante!$BP$1</f>
        <v>0</v>
      </c>
      <c r="BX100" s="20">
        <f>+MOP_Mes_Corriente!BX101*MOP_Mes_Constante!$BP$1</f>
        <v>0</v>
      </c>
      <c r="BY100" s="20">
        <f>+MOP_Mes_Corriente!BY101*MOP_Mes_Constante!$BP$1</f>
        <v>0</v>
      </c>
      <c r="BZ100" s="20">
        <f>+MOP_Mes_Corriente!BZ101*MOP_Mes_Constante!$BP$1</f>
        <v>0</v>
      </c>
      <c r="CA100" s="20">
        <f>+MOP_Mes_Corriente!CA101*MOP_Mes_Constante!$BP$1</f>
        <v>0</v>
      </c>
      <c r="CB100" s="20">
        <f t="shared" si="138"/>
        <v>0</v>
      </c>
      <c r="CC100" s="20">
        <f>+MOP_Mes_Corriente!CC101*MOP_Mes_Constante!$CC$1</f>
        <v>0</v>
      </c>
      <c r="CD100" s="20">
        <f>+MOP_Mes_Corriente!CD101*MOP_Mes_Constante!$CC$1</f>
        <v>0</v>
      </c>
      <c r="CE100" s="20">
        <f>+MOP_Mes_Corriente!CE101*MOP_Mes_Constante!$CC$1</f>
        <v>0</v>
      </c>
      <c r="CF100" s="20">
        <f>+MOP_Mes_Corriente!CF101*MOP_Mes_Constante!$CC$1</f>
        <v>0</v>
      </c>
      <c r="CG100" s="20">
        <f>+MOP_Mes_Corriente!CG101*MOP_Mes_Constante!$CC$1</f>
        <v>0</v>
      </c>
      <c r="CH100" s="20">
        <f>+MOP_Mes_Corriente!CH101*MOP_Mes_Constante!$CC$1</f>
        <v>0</v>
      </c>
      <c r="CI100" s="20">
        <f>+MOP_Mes_Corriente!CI101*MOP_Mes_Constante!$CC$1</f>
        <v>0</v>
      </c>
      <c r="CJ100" s="20">
        <f>+MOP_Mes_Corriente!CJ101*MOP_Mes_Constante!$CC$1</f>
        <v>0</v>
      </c>
      <c r="CK100" s="20">
        <f>+MOP_Mes_Corriente!CK101*MOP_Mes_Constante!$CC$1</f>
        <v>0</v>
      </c>
      <c r="CL100" s="20">
        <f>+MOP_Mes_Corriente!CL101*MOP_Mes_Constante!$CC$1</f>
        <v>0</v>
      </c>
      <c r="CM100" s="20">
        <f>+MOP_Mes_Corriente!CM101*MOP_Mes_Constante!$CC$1</f>
        <v>0</v>
      </c>
      <c r="CN100" s="20">
        <f>+MOP_Mes_Corriente!CN101*MOP_Mes_Constante!$CC$1</f>
        <v>0</v>
      </c>
      <c r="CO100" s="20">
        <f t="shared" si="139"/>
        <v>0</v>
      </c>
      <c r="CP100" s="20">
        <f>+MOP_Mes_Corriente!CP101*MOP_Mes_Constante!$CP$1</f>
        <v>0</v>
      </c>
      <c r="CQ100" s="20">
        <f>+MOP_Mes_Corriente!CQ101*MOP_Mes_Constante!$CP$1</f>
        <v>0</v>
      </c>
      <c r="CR100" s="20">
        <f>+MOP_Mes_Corriente!CR101*MOP_Mes_Constante!$CP$1</f>
        <v>0</v>
      </c>
      <c r="CS100" s="20">
        <f>+MOP_Mes_Corriente!CS101*MOP_Mes_Constante!$CP$1</f>
        <v>0</v>
      </c>
      <c r="CT100" s="20">
        <f>+MOP_Mes_Corriente!CT101*MOP_Mes_Constante!$CP$1</f>
        <v>0</v>
      </c>
      <c r="CU100" s="20">
        <f>+MOP_Mes_Corriente!CU101*MOP_Mes_Constante!$CP$1</f>
        <v>0</v>
      </c>
      <c r="CV100" s="20">
        <f>+MOP_Mes_Corriente!CV101*MOP_Mes_Constante!$CP$1</f>
        <v>0</v>
      </c>
      <c r="CW100" s="20">
        <f>+MOP_Mes_Corriente!CW101*MOP_Mes_Constante!$CP$1</f>
        <v>0</v>
      </c>
      <c r="CX100" s="20">
        <f>+MOP_Mes_Corriente!CX101*MOP_Mes_Constante!$CP$1</f>
        <v>0</v>
      </c>
      <c r="CY100" s="20">
        <f>+MOP_Mes_Corriente!CY101*MOP_Mes_Constante!$CP$1</f>
        <v>0</v>
      </c>
      <c r="CZ100" s="20">
        <f>+MOP_Mes_Corriente!CZ101*MOP_Mes_Constante!$CP$1</f>
        <v>0</v>
      </c>
      <c r="DA100" s="20">
        <f>+MOP_Mes_Corriente!DA101*MOP_Mes_Constante!$CP$1</f>
        <v>0</v>
      </c>
      <c r="DB100" s="20">
        <f t="shared" si="140"/>
        <v>0</v>
      </c>
      <c r="DC100" s="20">
        <f>+MOP_Mes_Corriente!DC101*MOP_Mes_Constante!$DC$1</f>
        <v>0</v>
      </c>
      <c r="DD100" s="20">
        <f>+MOP_Mes_Corriente!DD101*MOP_Mes_Constante!$DC$1</f>
        <v>0</v>
      </c>
      <c r="DE100" s="20">
        <f>+MOP_Mes_Corriente!DE101*MOP_Mes_Constante!$DC$1</f>
        <v>0</v>
      </c>
      <c r="DF100" s="20">
        <f>+MOP_Mes_Corriente!DF101*MOP_Mes_Constante!$DC$1</f>
        <v>0</v>
      </c>
      <c r="DG100" s="20">
        <f>+MOP_Mes_Corriente!DG101*MOP_Mes_Constante!$DC$1</f>
        <v>0</v>
      </c>
      <c r="DH100" s="20">
        <f>+MOP_Mes_Corriente!DH101*MOP_Mes_Constante!$DC$1</f>
        <v>0</v>
      </c>
      <c r="DI100" s="20">
        <f>+MOP_Mes_Corriente!DI101*MOP_Mes_Constante!$DC$1</f>
        <v>0</v>
      </c>
      <c r="DJ100" s="20">
        <f>+MOP_Mes_Corriente!DJ101*MOP_Mes_Constante!$DC$1</f>
        <v>0</v>
      </c>
      <c r="DK100" s="20">
        <f>+MOP_Mes_Corriente!DK101*MOP_Mes_Constante!$DC$1</f>
        <v>0</v>
      </c>
      <c r="DL100" s="20">
        <f>+MOP_Mes_Corriente!DL101*MOP_Mes_Constante!$DC$1</f>
        <v>0</v>
      </c>
      <c r="DM100" s="20">
        <f>+MOP_Mes_Corriente!DM101*MOP_Mes_Constante!$DC$1</f>
        <v>0</v>
      </c>
      <c r="DN100" s="20">
        <f>+MOP_Mes_Corriente!DN101*MOP_Mes_Constante!$DC$1</f>
        <v>0</v>
      </c>
      <c r="DO100" s="20">
        <f t="shared" si="141"/>
        <v>0</v>
      </c>
      <c r="DP100" s="20">
        <f>+MOP_Mes_Corriente!DP101*MOP_Mes_Constante!$DP$1</f>
        <v>0</v>
      </c>
      <c r="DQ100" s="20">
        <f>+MOP_Mes_Corriente!DQ101*MOP_Mes_Constante!$DP$1</f>
        <v>0</v>
      </c>
      <c r="DR100" s="20">
        <f>+MOP_Mes_Corriente!DR101*MOP_Mes_Constante!$DP$1</f>
        <v>0</v>
      </c>
      <c r="DS100" s="20">
        <f>+MOP_Mes_Corriente!DS101*MOP_Mes_Constante!$DP$1</f>
        <v>0</v>
      </c>
      <c r="DT100" s="20">
        <f>+MOP_Mes_Corriente!DT101*MOP_Mes_Constante!$DP$1</f>
        <v>0</v>
      </c>
      <c r="DU100" s="20">
        <f>+MOP_Mes_Corriente!DU101*MOP_Mes_Constante!$DP$1</f>
        <v>0</v>
      </c>
      <c r="DV100" s="20">
        <f>+MOP_Mes_Corriente!DV101*MOP_Mes_Constante!$DP$1</f>
        <v>0</v>
      </c>
      <c r="DW100" s="20">
        <f>+MOP_Mes_Corriente!DW101*MOP_Mes_Constante!$DP$1</f>
        <v>0</v>
      </c>
      <c r="DX100" s="20">
        <f>+MOP_Mes_Corriente!DX101*MOP_Mes_Constante!$DP$1</f>
        <v>0</v>
      </c>
      <c r="DY100" s="20">
        <f>+MOP_Mes_Corriente!DY101*MOP_Mes_Constante!$DP$1</f>
        <v>0</v>
      </c>
      <c r="DZ100" s="20">
        <f>+MOP_Mes_Corriente!DZ101*MOP_Mes_Constante!$DP$1</f>
        <v>0</v>
      </c>
      <c r="EA100" s="20">
        <f>+MOP_Mes_Corriente!EA101*MOP_Mes_Constante!$DP$1</f>
        <v>0</v>
      </c>
      <c r="EB100" s="20">
        <f t="shared" si="142"/>
        <v>0</v>
      </c>
      <c r="EC100" s="20">
        <f>+MOP_Mes_Corriente!EC101*MOP_Mes_Constante!$EC$1</f>
        <v>0</v>
      </c>
      <c r="ED100" s="20">
        <f>+MOP_Mes_Corriente!ED101*MOP_Mes_Constante!$EC$1</f>
        <v>0</v>
      </c>
      <c r="EE100" s="20">
        <f>+MOP_Mes_Corriente!EE101*MOP_Mes_Constante!$EC$1</f>
        <v>0</v>
      </c>
      <c r="EF100" s="20">
        <f>+MOP_Mes_Corriente!EF101*MOP_Mes_Constante!$EC$1</f>
        <v>0</v>
      </c>
      <c r="EG100" s="20">
        <f>+MOP_Mes_Corriente!EG101*MOP_Mes_Constante!$EC$1</f>
        <v>0</v>
      </c>
      <c r="EH100" s="20">
        <f>+MOP_Mes_Corriente!EH101*MOP_Mes_Constante!$EC$1</f>
        <v>0</v>
      </c>
      <c r="EI100" s="20">
        <f>+MOP_Mes_Corriente!EI101*MOP_Mes_Constante!$EC$1</f>
        <v>0</v>
      </c>
      <c r="EJ100" s="20">
        <f>+MOP_Mes_Corriente!EJ101*MOP_Mes_Constante!$EC$1</f>
        <v>0</v>
      </c>
      <c r="EK100" s="20">
        <f>+MOP_Mes_Corriente!EK101*MOP_Mes_Constante!$EC$1</f>
        <v>0</v>
      </c>
      <c r="EL100" s="20">
        <f>+MOP_Mes_Corriente!EL101*MOP_Mes_Constante!$EC$1</f>
        <v>0</v>
      </c>
      <c r="EM100" s="20">
        <f>+MOP_Mes_Corriente!EM101*MOP_Mes_Constante!$EC$1</f>
        <v>0</v>
      </c>
      <c r="EN100" s="20">
        <f>+MOP_Mes_Corriente!EN101*MOP_Mes_Constante!$EC$1</f>
        <v>0</v>
      </c>
      <c r="EO100" s="20">
        <f t="shared" si="143"/>
        <v>0</v>
      </c>
      <c r="EP100" s="20">
        <f>+MOP_Mes_Corriente!EP101*MOP_Mes_Constante!$EP$1</f>
        <v>0</v>
      </c>
      <c r="EQ100" s="20">
        <f>+MOP_Mes_Corriente!EQ101*MOP_Mes_Constante!$EP$1</f>
        <v>0</v>
      </c>
      <c r="ER100" s="20">
        <f>+MOP_Mes_Corriente!ER101*MOP_Mes_Constante!$EP$1</f>
        <v>0</v>
      </c>
      <c r="ES100" s="20">
        <f>+MOP_Mes_Corriente!ES101*MOP_Mes_Constante!$EP$1</f>
        <v>0</v>
      </c>
      <c r="ET100" s="20">
        <f>+MOP_Mes_Corriente!ET101*MOP_Mes_Constante!$EP$1</f>
        <v>0</v>
      </c>
      <c r="EU100" s="20">
        <f>+MOP_Mes_Corriente!EU101*MOP_Mes_Constante!$EP$1</f>
        <v>0</v>
      </c>
      <c r="EV100" s="20">
        <f>+MOP_Mes_Corriente!EV101*MOP_Mes_Constante!$EP$1</f>
        <v>0</v>
      </c>
      <c r="EW100" s="20">
        <f>+MOP_Mes_Corriente!EW101*MOP_Mes_Constante!$EP$1</f>
        <v>0</v>
      </c>
      <c r="EX100" s="20">
        <f>+MOP_Mes_Corriente!EX101*MOP_Mes_Constante!$EP$1</f>
        <v>0</v>
      </c>
      <c r="EY100" s="20">
        <f>+MOP_Mes_Corriente!EY101*MOP_Mes_Constante!$EP$1</f>
        <v>0</v>
      </c>
      <c r="EZ100" s="20">
        <f>+MOP_Mes_Corriente!EZ101*MOP_Mes_Constante!$EP$1</f>
        <v>0</v>
      </c>
      <c r="FA100" s="20">
        <f>+MOP_Mes_Corriente!FA101*MOP_Mes_Constante!$EP$1</f>
        <v>0</v>
      </c>
      <c r="FB100" s="20">
        <f t="shared" si="144"/>
        <v>0</v>
      </c>
      <c r="FC100" s="20">
        <f>+MOP_Mes_Corriente!FC101*MOP_Mes_Constante!$FC$1</f>
        <v>0</v>
      </c>
      <c r="FD100" s="20">
        <f>+MOP_Mes_Corriente!FD101*MOP_Mes_Constante!$FC$1</f>
        <v>0</v>
      </c>
      <c r="FE100" s="20">
        <f>+MOP_Mes_Corriente!FE101*MOP_Mes_Constante!$FC$1</f>
        <v>0</v>
      </c>
      <c r="FF100" s="20">
        <f>+MOP_Mes_Corriente!FF101*MOP_Mes_Constante!$FC$1</f>
        <v>0</v>
      </c>
      <c r="FG100" s="20">
        <f>+MOP_Mes_Corriente!FG101*MOP_Mes_Constante!$FC$1</f>
        <v>0</v>
      </c>
      <c r="FH100" s="20">
        <f>+MOP_Mes_Corriente!FH101*MOP_Mes_Constante!$FC$1</f>
        <v>0</v>
      </c>
      <c r="FI100" s="20">
        <f>+MOP_Mes_Corriente!FI101*MOP_Mes_Constante!$FC$1</f>
        <v>0</v>
      </c>
      <c r="FJ100" s="10"/>
      <c r="FK100" s="10"/>
      <c r="FL100" s="10"/>
      <c r="FM100" s="10"/>
      <c r="FN100" s="10"/>
      <c r="FO100" s="20">
        <f t="shared" si="145"/>
        <v>0</v>
      </c>
    </row>
    <row r="101" spans="1:171" ht="27.75" customHeight="1">
      <c r="A101" s="10"/>
      <c r="B101" s="19" t="s">
        <v>45</v>
      </c>
      <c r="C101" s="20">
        <f>+MOP_Mes_Corriente!C102*MOP_Mes_Constante!$C$1</f>
        <v>0</v>
      </c>
      <c r="D101" s="20">
        <f>+MOP_Mes_Corriente!D102*MOP_Mes_Constante!$C$1</f>
        <v>0</v>
      </c>
      <c r="E101" s="20">
        <f>+MOP_Mes_Corriente!E102*MOP_Mes_Constante!$C$1</f>
        <v>0</v>
      </c>
      <c r="F101" s="20">
        <f>+MOP_Mes_Corriente!F102*MOP_Mes_Constante!$C$1</f>
        <v>0</v>
      </c>
      <c r="G101" s="20">
        <f>+MOP_Mes_Corriente!G102*MOP_Mes_Constante!$C$1</f>
        <v>0</v>
      </c>
      <c r="H101" s="20">
        <f>+MOP_Mes_Corriente!H102*MOP_Mes_Constante!$C$1</f>
        <v>0</v>
      </c>
      <c r="I101" s="20">
        <f>+MOP_Mes_Corriente!I102*MOP_Mes_Constante!$C$1</f>
        <v>0</v>
      </c>
      <c r="J101" s="20">
        <f>+MOP_Mes_Corriente!J102*MOP_Mes_Constante!$C$1</f>
        <v>0</v>
      </c>
      <c r="K101" s="20">
        <f>+MOP_Mes_Corriente!K102*MOP_Mes_Constante!$C$1</f>
        <v>0</v>
      </c>
      <c r="L101" s="20">
        <f>+MOP_Mes_Corriente!L102*MOP_Mes_Constante!$C$1</f>
        <v>0</v>
      </c>
      <c r="M101" s="20">
        <f>+MOP_Mes_Corriente!M102*MOP_Mes_Constante!$C$1</f>
        <v>0</v>
      </c>
      <c r="N101" s="20">
        <f>+MOP_Mes_Corriente!N102*MOP_Mes_Constante!$C$1</f>
        <v>0</v>
      </c>
      <c r="O101" s="20">
        <f t="shared" si="133"/>
        <v>0</v>
      </c>
      <c r="P101" s="20">
        <f>+MOP_Mes_Corriente!P102*MOP_Mes_Constante!$P$1</f>
        <v>0</v>
      </c>
      <c r="Q101" s="20">
        <f>+MOP_Mes_Corriente!Q102*MOP_Mes_Constante!$P$1</f>
        <v>0</v>
      </c>
      <c r="R101" s="20">
        <f>+MOP_Mes_Corriente!R102*MOP_Mes_Constante!$P$1</f>
        <v>0</v>
      </c>
      <c r="S101" s="20">
        <f>+MOP_Mes_Corriente!S102*MOP_Mes_Constante!$P$1</f>
        <v>0</v>
      </c>
      <c r="T101" s="20">
        <f>+MOP_Mes_Corriente!T102*MOP_Mes_Constante!$P$1</f>
        <v>0</v>
      </c>
      <c r="U101" s="20">
        <f>+MOP_Mes_Corriente!U102*MOP_Mes_Constante!$P$1</f>
        <v>0</v>
      </c>
      <c r="V101" s="20">
        <f>+MOP_Mes_Corriente!V102*MOP_Mes_Constante!$P$1</f>
        <v>0</v>
      </c>
      <c r="W101" s="20">
        <f>+MOP_Mes_Corriente!W102*MOP_Mes_Constante!$P$1</f>
        <v>0</v>
      </c>
      <c r="X101" s="20">
        <f>+MOP_Mes_Corriente!X102*MOP_Mes_Constante!$P$1</f>
        <v>0</v>
      </c>
      <c r="Y101" s="20">
        <f>+MOP_Mes_Corriente!Y102*MOP_Mes_Constante!$P$1</f>
        <v>0</v>
      </c>
      <c r="Z101" s="20">
        <f>+MOP_Mes_Corriente!Z102*MOP_Mes_Constante!$P$1</f>
        <v>0</v>
      </c>
      <c r="AA101" s="20">
        <f>+MOP_Mes_Corriente!AA102*MOP_Mes_Constante!$P$1</f>
        <v>0</v>
      </c>
      <c r="AB101" s="20">
        <f t="shared" si="134"/>
        <v>0</v>
      </c>
      <c r="AC101" s="20">
        <f>+MOP_Mes_Corriente!AC102*MOP_Mes_Constante!$AC$1</f>
        <v>0</v>
      </c>
      <c r="AD101" s="20">
        <f>+MOP_Mes_Corriente!AD102*MOP_Mes_Constante!$AC$1</f>
        <v>0</v>
      </c>
      <c r="AE101" s="20">
        <f>+MOP_Mes_Corriente!AE102*MOP_Mes_Constante!$AC$1</f>
        <v>0</v>
      </c>
      <c r="AF101" s="20">
        <f>+MOP_Mes_Corriente!AF102*MOP_Mes_Constante!$AC$1</f>
        <v>0</v>
      </c>
      <c r="AG101" s="20">
        <f>+MOP_Mes_Corriente!AG102*MOP_Mes_Constante!$AC$1</f>
        <v>0</v>
      </c>
      <c r="AH101" s="20">
        <f>+MOP_Mes_Corriente!AH102*MOP_Mes_Constante!$AC$1</f>
        <v>0</v>
      </c>
      <c r="AI101" s="20">
        <f>+MOP_Mes_Corriente!AI102*MOP_Mes_Constante!$AC$1</f>
        <v>0</v>
      </c>
      <c r="AJ101" s="20">
        <f>+MOP_Mes_Corriente!AJ102*MOP_Mes_Constante!$AC$1</f>
        <v>0</v>
      </c>
      <c r="AK101" s="20">
        <f>+MOP_Mes_Corriente!AK102*MOP_Mes_Constante!$AC$1</f>
        <v>0</v>
      </c>
      <c r="AL101" s="20">
        <f>+MOP_Mes_Corriente!AL102*MOP_Mes_Constante!$AC$1</f>
        <v>0</v>
      </c>
      <c r="AM101" s="20">
        <f>+MOP_Mes_Corriente!AM102*MOP_Mes_Constante!$AC$1</f>
        <v>0</v>
      </c>
      <c r="AN101" s="20">
        <f>+MOP_Mes_Corriente!AN102*MOP_Mes_Constante!$AC$1</f>
        <v>0</v>
      </c>
      <c r="AO101" s="20">
        <f t="shared" si="135"/>
        <v>0</v>
      </c>
      <c r="AP101" s="20">
        <f>+MOP_Mes_Corriente!AP102*MOP_Mes_Constante!$AP$1</f>
        <v>0</v>
      </c>
      <c r="AQ101" s="20">
        <f>+MOP_Mes_Corriente!AQ102*MOP_Mes_Constante!$AP$1</f>
        <v>0</v>
      </c>
      <c r="AR101" s="20">
        <f>+MOP_Mes_Corriente!AR102*MOP_Mes_Constante!$AP$1</f>
        <v>0</v>
      </c>
      <c r="AS101" s="20">
        <f>+MOP_Mes_Corriente!AS102*MOP_Mes_Constante!$AP$1</f>
        <v>0</v>
      </c>
      <c r="AT101" s="20">
        <f>+MOP_Mes_Corriente!AT102*MOP_Mes_Constante!$AP$1</f>
        <v>0</v>
      </c>
      <c r="AU101" s="20">
        <f>+MOP_Mes_Corriente!AU102*MOP_Mes_Constante!$AP$1</f>
        <v>0</v>
      </c>
      <c r="AV101" s="20">
        <f>+MOP_Mes_Corriente!AV102*MOP_Mes_Constante!$AP$1</f>
        <v>0</v>
      </c>
      <c r="AW101" s="20">
        <f>+MOP_Mes_Corriente!AW102*MOP_Mes_Constante!$AP$1</f>
        <v>0</v>
      </c>
      <c r="AX101" s="20">
        <f>+MOP_Mes_Corriente!AX102*MOP_Mes_Constante!$AP$1</f>
        <v>0</v>
      </c>
      <c r="AY101" s="20">
        <f>+MOP_Mes_Corriente!AY102*MOP_Mes_Constante!$AP$1</f>
        <v>0</v>
      </c>
      <c r="AZ101" s="20">
        <f>+MOP_Mes_Corriente!AZ102*MOP_Mes_Constante!$AP$1</f>
        <v>0</v>
      </c>
      <c r="BA101" s="20">
        <f>+MOP_Mes_Corriente!BA102*MOP_Mes_Constante!$AP$1</f>
        <v>0</v>
      </c>
      <c r="BB101" s="20">
        <f t="shared" si="136"/>
        <v>0</v>
      </c>
      <c r="BC101" s="20">
        <f>+MOP_Mes_Corriente!BC102*MOP_Mes_Constante!$BC$1</f>
        <v>0</v>
      </c>
      <c r="BD101" s="20">
        <f>+MOP_Mes_Corriente!BD102*MOP_Mes_Constante!$BC$1</f>
        <v>0</v>
      </c>
      <c r="BE101" s="20">
        <f>+MOP_Mes_Corriente!BE102*MOP_Mes_Constante!$BC$1</f>
        <v>0</v>
      </c>
      <c r="BF101" s="20">
        <f>+MOP_Mes_Corriente!BF102*MOP_Mes_Constante!$BC$1</f>
        <v>0</v>
      </c>
      <c r="BG101" s="20">
        <f>+MOP_Mes_Corriente!BG102*MOP_Mes_Constante!$BC$1</f>
        <v>0</v>
      </c>
      <c r="BH101" s="20">
        <f>+MOP_Mes_Corriente!BH102*MOP_Mes_Constante!$BC$1</f>
        <v>0</v>
      </c>
      <c r="BI101" s="20">
        <f>+MOP_Mes_Corriente!BI102*MOP_Mes_Constante!$BC$1</f>
        <v>0</v>
      </c>
      <c r="BJ101" s="20">
        <f>+MOP_Mes_Corriente!BJ102*MOP_Mes_Constante!$BC$1</f>
        <v>0</v>
      </c>
      <c r="BK101" s="20">
        <f>+MOP_Mes_Corriente!BK102*MOP_Mes_Constante!$BC$1</f>
        <v>0</v>
      </c>
      <c r="BL101" s="20">
        <f>+MOP_Mes_Corriente!BL102*MOP_Mes_Constante!$BC$1</f>
        <v>0</v>
      </c>
      <c r="BM101" s="20">
        <f>+MOP_Mes_Corriente!BM102*MOP_Mes_Constante!$BC$1</f>
        <v>0</v>
      </c>
      <c r="BN101" s="20">
        <f>+MOP_Mes_Corriente!BN102*MOP_Mes_Constante!$BC$1</f>
        <v>0</v>
      </c>
      <c r="BO101" s="20">
        <f t="shared" si="137"/>
        <v>0</v>
      </c>
      <c r="BP101" s="20">
        <f>+MOP_Mes_Corriente!BP102*MOP_Mes_Constante!$BP$1</f>
        <v>0</v>
      </c>
      <c r="BQ101" s="20">
        <f>+MOP_Mes_Corriente!BQ102*MOP_Mes_Constante!$BP$1</f>
        <v>0</v>
      </c>
      <c r="BR101" s="20">
        <f>+MOP_Mes_Corriente!BR102*MOP_Mes_Constante!$BP$1</f>
        <v>0</v>
      </c>
      <c r="BS101" s="20">
        <f>+MOP_Mes_Corriente!BS102*MOP_Mes_Constante!$BP$1</f>
        <v>0</v>
      </c>
      <c r="BT101" s="20">
        <f>+MOP_Mes_Corriente!BT102*MOP_Mes_Constante!$BP$1</f>
        <v>0</v>
      </c>
      <c r="BU101" s="20">
        <f>+MOP_Mes_Corriente!BU102*MOP_Mes_Constante!$BP$1</f>
        <v>0</v>
      </c>
      <c r="BV101" s="20">
        <f>+MOP_Mes_Corriente!BV102*MOP_Mes_Constante!$BP$1</f>
        <v>0</v>
      </c>
      <c r="BW101" s="20">
        <f>+MOP_Mes_Corriente!BW102*MOP_Mes_Constante!$BP$1</f>
        <v>0</v>
      </c>
      <c r="BX101" s="20">
        <f>+MOP_Mes_Corriente!BX102*MOP_Mes_Constante!$BP$1</f>
        <v>0</v>
      </c>
      <c r="BY101" s="20">
        <f>+MOP_Mes_Corriente!BY102*MOP_Mes_Constante!$BP$1</f>
        <v>0</v>
      </c>
      <c r="BZ101" s="20">
        <f>+MOP_Mes_Corriente!BZ102*MOP_Mes_Constante!$BP$1</f>
        <v>0</v>
      </c>
      <c r="CA101" s="20">
        <f>+MOP_Mes_Corriente!CA102*MOP_Mes_Constante!$BP$1</f>
        <v>0</v>
      </c>
      <c r="CB101" s="20">
        <f t="shared" si="138"/>
        <v>0</v>
      </c>
      <c r="CC101" s="20">
        <f>+MOP_Mes_Corriente!CC102*MOP_Mes_Constante!$CC$1</f>
        <v>0</v>
      </c>
      <c r="CD101" s="20">
        <f>+MOP_Mes_Corriente!CD102*MOP_Mes_Constante!$CC$1</f>
        <v>0</v>
      </c>
      <c r="CE101" s="20">
        <f>+MOP_Mes_Corriente!CE102*MOP_Mes_Constante!$CC$1</f>
        <v>0</v>
      </c>
      <c r="CF101" s="20">
        <f>+MOP_Mes_Corriente!CF102*MOP_Mes_Constante!$CC$1</f>
        <v>0</v>
      </c>
      <c r="CG101" s="20">
        <f>+MOP_Mes_Corriente!CG102*MOP_Mes_Constante!$CC$1</f>
        <v>0</v>
      </c>
      <c r="CH101" s="20">
        <f>+MOP_Mes_Corriente!CH102*MOP_Mes_Constante!$CC$1</f>
        <v>0</v>
      </c>
      <c r="CI101" s="20">
        <f>+MOP_Mes_Corriente!CI102*MOP_Mes_Constante!$CC$1</f>
        <v>0</v>
      </c>
      <c r="CJ101" s="20">
        <f>+MOP_Mes_Corriente!CJ102*MOP_Mes_Constante!$CC$1</f>
        <v>0</v>
      </c>
      <c r="CK101" s="20">
        <f>+MOP_Mes_Corriente!CK102*MOP_Mes_Constante!$CC$1</f>
        <v>0</v>
      </c>
      <c r="CL101" s="20">
        <f>+MOP_Mes_Corriente!CL102*MOP_Mes_Constante!$CC$1</f>
        <v>0</v>
      </c>
      <c r="CM101" s="20">
        <f>+MOP_Mes_Corriente!CM102*MOP_Mes_Constante!$CC$1</f>
        <v>0</v>
      </c>
      <c r="CN101" s="20">
        <f>+MOP_Mes_Corriente!CN102*MOP_Mes_Constante!$CC$1</f>
        <v>0</v>
      </c>
      <c r="CO101" s="20">
        <f t="shared" si="139"/>
        <v>0</v>
      </c>
      <c r="CP101" s="20">
        <f>+MOP_Mes_Corriente!CP102*MOP_Mes_Constante!$CP$1</f>
        <v>0</v>
      </c>
      <c r="CQ101" s="20">
        <f>+MOP_Mes_Corriente!CQ102*MOP_Mes_Constante!$CP$1</f>
        <v>0</v>
      </c>
      <c r="CR101" s="20">
        <f>+MOP_Mes_Corriente!CR102*MOP_Mes_Constante!$CP$1</f>
        <v>0</v>
      </c>
      <c r="CS101" s="20">
        <f>+MOP_Mes_Corriente!CS102*MOP_Mes_Constante!$CP$1</f>
        <v>0</v>
      </c>
      <c r="CT101" s="20">
        <f>+MOP_Mes_Corriente!CT102*MOP_Mes_Constante!$CP$1</f>
        <v>0</v>
      </c>
      <c r="CU101" s="20">
        <f>+MOP_Mes_Corriente!CU102*MOP_Mes_Constante!$CP$1</f>
        <v>0</v>
      </c>
      <c r="CV101" s="20">
        <f>+MOP_Mes_Corriente!CV102*MOP_Mes_Constante!$CP$1</f>
        <v>0</v>
      </c>
      <c r="CW101" s="20">
        <f>+MOP_Mes_Corriente!CW102*MOP_Mes_Constante!$CP$1</f>
        <v>0</v>
      </c>
      <c r="CX101" s="20">
        <f>+MOP_Mes_Corriente!CX102*MOP_Mes_Constante!$CP$1</f>
        <v>0</v>
      </c>
      <c r="CY101" s="20">
        <f>+MOP_Mes_Corriente!CY102*MOP_Mes_Constante!$CP$1</f>
        <v>0</v>
      </c>
      <c r="CZ101" s="20">
        <f>+MOP_Mes_Corriente!CZ102*MOP_Mes_Constante!$CP$1</f>
        <v>0</v>
      </c>
      <c r="DA101" s="20">
        <f>+MOP_Mes_Corriente!DA102*MOP_Mes_Constante!$CP$1</f>
        <v>0</v>
      </c>
      <c r="DB101" s="20">
        <f t="shared" si="140"/>
        <v>0</v>
      </c>
      <c r="DC101" s="20">
        <f>+MOP_Mes_Corriente!DC102*MOP_Mes_Constante!$DC$1</f>
        <v>0</v>
      </c>
      <c r="DD101" s="20">
        <f>+MOP_Mes_Corriente!DD102*MOP_Mes_Constante!$DC$1</f>
        <v>0</v>
      </c>
      <c r="DE101" s="20">
        <f>+MOP_Mes_Corriente!DE102*MOP_Mes_Constante!$DC$1</f>
        <v>0</v>
      </c>
      <c r="DF101" s="20">
        <f>+MOP_Mes_Corriente!DF102*MOP_Mes_Constante!$DC$1</f>
        <v>0</v>
      </c>
      <c r="DG101" s="20">
        <f>+MOP_Mes_Corriente!DG102*MOP_Mes_Constante!$DC$1</f>
        <v>0</v>
      </c>
      <c r="DH101" s="20">
        <f>+MOP_Mes_Corriente!DH102*MOP_Mes_Constante!$DC$1</f>
        <v>0</v>
      </c>
      <c r="DI101" s="20">
        <f>+MOP_Mes_Corriente!DI102*MOP_Mes_Constante!$DC$1</f>
        <v>0</v>
      </c>
      <c r="DJ101" s="20">
        <f>+MOP_Mes_Corriente!DJ102*MOP_Mes_Constante!$DC$1</f>
        <v>0</v>
      </c>
      <c r="DK101" s="20">
        <f>+MOP_Mes_Corriente!DK102*MOP_Mes_Constante!$DC$1</f>
        <v>0</v>
      </c>
      <c r="DL101" s="20">
        <f>+MOP_Mes_Corriente!DL102*MOP_Mes_Constante!$DC$1</f>
        <v>0</v>
      </c>
      <c r="DM101" s="20">
        <f>+MOP_Mes_Corriente!DM102*MOP_Mes_Constante!$DC$1</f>
        <v>0</v>
      </c>
      <c r="DN101" s="20">
        <f>+MOP_Mes_Corriente!DN102*MOP_Mes_Constante!$DC$1</f>
        <v>0</v>
      </c>
      <c r="DO101" s="20">
        <f t="shared" si="141"/>
        <v>0</v>
      </c>
      <c r="DP101" s="20">
        <f>+MOP_Mes_Corriente!DP102*MOP_Mes_Constante!$DP$1</f>
        <v>19332198.819477435</v>
      </c>
      <c r="DQ101" s="20">
        <f>+MOP_Mes_Corriente!DQ102*MOP_Mes_Constante!$DP$1</f>
        <v>19332198.819477435</v>
      </c>
      <c r="DR101" s="20">
        <f>+MOP_Mes_Corriente!DR102*MOP_Mes_Constante!$DP$1</f>
        <v>19332198.819477435</v>
      </c>
      <c r="DS101" s="20">
        <f>+MOP_Mes_Corriente!DS102*MOP_Mes_Constante!$DP$1</f>
        <v>19332198.819477435</v>
      </c>
      <c r="DT101" s="20">
        <f>+MOP_Mes_Corriente!DT102*MOP_Mes_Constante!$DP$1</f>
        <v>19332198.819477435</v>
      </c>
      <c r="DU101" s="20">
        <f>+MOP_Mes_Corriente!DU102*MOP_Mes_Constante!$DP$1</f>
        <v>19332198.819477435</v>
      </c>
      <c r="DV101" s="20">
        <f>+MOP_Mes_Corriente!DV102*MOP_Mes_Constante!$DP$1</f>
        <v>19332198.819477435</v>
      </c>
      <c r="DW101" s="20">
        <f>+MOP_Mes_Corriente!DW102*MOP_Mes_Constante!$DP$1</f>
        <v>19218387.400831357</v>
      </c>
      <c r="DX101" s="20">
        <f>+MOP_Mes_Corriente!DX102*MOP_Mes_Constante!$DP$1</f>
        <v>19218387.400831357</v>
      </c>
      <c r="DY101" s="20">
        <f>+MOP_Mes_Corriente!DY102*MOP_Mes_Constante!$DP$1</f>
        <v>19218387.400831357</v>
      </c>
      <c r="DZ101" s="20">
        <f>+MOP_Mes_Corriente!DZ102*MOP_Mes_Constante!$DP$1</f>
        <v>10947111.272565322</v>
      </c>
      <c r="EA101" s="20">
        <f>+MOP_Mes_Corriente!EA102*MOP_Mes_Constante!$DP$1</f>
        <v>10947111.272565322</v>
      </c>
      <c r="EB101" s="20">
        <f t="shared" si="142"/>
        <v>10947111.272565322</v>
      </c>
      <c r="EC101" s="20">
        <f>+MOP_Mes_Corriente!EC102*MOP_Mes_Constante!$EC$1</f>
        <v>0</v>
      </c>
      <c r="ED101" s="20">
        <f>+MOP_Mes_Corriente!ED102*MOP_Mes_Constante!$EC$1</f>
        <v>0</v>
      </c>
      <c r="EE101" s="20">
        <f>+MOP_Mes_Corriente!EE102*MOP_Mes_Constante!$EC$1</f>
        <v>0</v>
      </c>
      <c r="EF101" s="20">
        <f>+MOP_Mes_Corriente!EF102*MOP_Mes_Constante!$EC$1</f>
        <v>0</v>
      </c>
      <c r="EG101" s="20">
        <f>+MOP_Mes_Corriente!EG102*MOP_Mes_Constante!$EC$1</f>
        <v>0</v>
      </c>
      <c r="EH101" s="20">
        <f>+MOP_Mes_Corriente!EH102*MOP_Mes_Constante!$EC$1</f>
        <v>0</v>
      </c>
      <c r="EI101" s="20">
        <f>+MOP_Mes_Corriente!EI102*MOP_Mes_Constante!$EC$1</f>
        <v>0</v>
      </c>
      <c r="EJ101" s="20">
        <f>+MOP_Mes_Corriente!EJ102*MOP_Mes_Constante!$EC$1</f>
        <v>0</v>
      </c>
      <c r="EK101" s="20">
        <f>+MOP_Mes_Corriente!EK102*MOP_Mes_Constante!$EC$1</f>
        <v>0</v>
      </c>
      <c r="EL101" s="20">
        <f>+MOP_Mes_Corriente!EL102*MOP_Mes_Constante!$EC$1</f>
        <v>0</v>
      </c>
      <c r="EM101" s="20">
        <f>+MOP_Mes_Corriente!EM102*MOP_Mes_Constante!$EC$1</f>
        <v>0</v>
      </c>
      <c r="EN101" s="20">
        <f>+MOP_Mes_Corriente!EN102*MOP_Mes_Constante!$EC$1</f>
        <v>0</v>
      </c>
      <c r="EO101" s="20">
        <f t="shared" si="143"/>
        <v>0</v>
      </c>
      <c r="EP101" s="20">
        <f>+MOP_Mes_Corriente!EP102*MOP_Mes_Constante!$EP$1</f>
        <v>0</v>
      </c>
      <c r="EQ101" s="20">
        <f>+MOP_Mes_Corriente!EQ102*MOP_Mes_Constante!$EP$1</f>
        <v>0</v>
      </c>
      <c r="ER101" s="20">
        <f>+MOP_Mes_Corriente!ER102*MOP_Mes_Constante!$EP$1</f>
        <v>0</v>
      </c>
      <c r="ES101" s="20">
        <f>+MOP_Mes_Corriente!ES102*MOP_Mes_Constante!$EP$1</f>
        <v>0</v>
      </c>
      <c r="ET101" s="20">
        <f>+MOP_Mes_Corriente!ET102*MOP_Mes_Constante!$EP$1</f>
        <v>0</v>
      </c>
      <c r="EU101" s="20">
        <f>+MOP_Mes_Corriente!EU102*MOP_Mes_Constante!$EP$1</f>
        <v>0</v>
      </c>
      <c r="EV101" s="20">
        <f>+MOP_Mes_Corriente!EV102*MOP_Mes_Constante!$EP$1</f>
        <v>0</v>
      </c>
      <c r="EW101" s="20">
        <f>+MOP_Mes_Corriente!EW102*MOP_Mes_Constante!$EP$1</f>
        <v>0</v>
      </c>
      <c r="EX101" s="20">
        <f>+MOP_Mes_Corriente!EX102*MOP_Mes_Constante!$EP$1</f>
        <v>0</v>
      </c>
      <c r="EY101" s="20">
        <f>+MOP_Mes_Corriente!EY102*MOP_Mes_Constante!$EP$1</f>
        <v>0</v>
      </c>
      <c r="EZ101" s="20">
        <f>+MOP_Mes_Corriente!EZ102*MOP_Mes_Constante!$EP$1</f>
        <v>0</v>
      </c>
      <c r="FA101" s="20">
        <f>+MOP_Mes_Corriente!FA102*MOP_Mes_Constante!$EP$1</f>
        <v>0</v>
      </c>
      <c r="FB101" s="20">
        <f t="shared" si="144"/>
        <v>0</v>
      </c>
      <c r="FC101" s="20">
        <f>+MOP_Mes_Corriente!FC102*MOP_Mes_Constante!$FC$1</f>
        <v>0</v>
      </c>
      <c r="FD101" s="20">
        <f>+MOP_Mes_Corriente!FD102*MOP_Mes_Constante!$FC$1</f>
        <v>0</v>
      </c>
      <c r="FE101" s="20">
        <f>+MOP_Mes_Corriente!FE102*MOP_Mes_Constante!$FC$1</f>
        <v>0</v>
      </c>
      <c r="FF101" s="20">
        <f>+MOP_Mes_Corriente!FF102*MOP_Mes_Constante!$FC$1</f>
        <v>0</v>
      </c>
      <c r="FG101" s="20">
        <f>+MOP_Mes_Corriente!FG102*MOP_Mes_Constante!$FC$1</f>
        <v>0</v>
      </c>
      <c r="FH101" s="20">
        <f>+MOP_Mes_Corriente!FH102*MOP_Mes_Constante!$FC$1</f>
        <v>0</v>
      </c>
      <c r="FI101" s="20">
        <f>+MOP_Mes_Corriente!FI102*MOP_Mes_Constante!$FC$1</f>
        <v>0</v>
      </c>
      <c r="FJ101" s="10"/>
      <c r="FK101" s="10"/>
      <c r="FL101" s="10"/>
      <c r="FM101" s="10"/>
      <c r="FN101" s="10"/>
      <c r="FO101" s="20">
        <f t="shared" si="145"/>
        <v>0</v>
      </c>
    </row>
    <row r="102" spans="1:171" ht="27.75" customHeight="1">
      <c r="A102" s="10"/>
      <c r="B102" s="19" t="s">
        <v>46</v>
      </c>
      <c r="C102" s="20">
        <f>+MOP_Mes_Corriente!C103*MOP_Mes_Constante!$C$1</f>
        <v>0</v>
      </c>
      <c r="D102" s="20">
        <f>+MOP_Mes_Corriente!D103*MOP_Mes_Constante!$C$1</f>
        <v>0</v>
      </c>
      <c r="E102" s="20">
        <f>+MOP_Mes_Corriente!E103*MOP_Mes_Constante!$C$1</f>
        <v>0</v>
      </c>
      <c r="F102" s="20">
        <f>+MOP_Mes_Corriente!F103*MOP_Mes_Constante!$C$1</f>
        <v>0</v>
      </c>
      <c r="G102" s="20">
        <f>+MOP_Mes_Corriente!G103*MOP_Mes_Constante!$C$1</f>
        <v>0</v>
      </c>
      <c r="H102" s="20">
        <f>+MOP_Mes_Corriente!H103*MOP_Mes_Constante!$C$1</f>
        <v>0</v>
      </c>
      <c r="I102" s="20">
        <f>+MOP_Mes_Corriente!I103*MOP_Mes_Constante!$C$1</f>
        <v>0</v>
      </c>
      <c r="J102" s="20">
        <f>+MOP_Mes_Corriente!J103*MOP_Mes_Constante!$C$1</f>
        <v>0</v>
      </c>
      <c r="K102" s="20">
        <f>+MOP_Mes_Corriente!K103*MOP_Mes_Constante!$C$1</f>
        <v>0</v>
      </c>
      <c r="L102" s="20">
        <f>+MOP_Mes_Corriente!L103*MOP_Mes_Constante!$C$1</f>
        <v>0</v>
      </c>
      <c r="M102" s="20">
        <f>+MOP_Mes_Corriente!M103*MOP_Mes_Constante!$C$1</f>
        <v>0</v>
      </c>
      <c r="N102" s="20">
        <f>+MOP_Mes_Corriente!N103*MOP_Mes_Constante!$C$1</f>
        <v>0</v>
      </c>
      <c r="O102" s="20">
        <f t="shared" si="133"/>
        <v>0</v>
      </c>
      <c r="P102" s="20">
        <f>+MOP_Mes_Corriente!P103*MOP_Mes_Constante!$P$1</f>
        <v>0</v>
      </c>
      <c r="Q102" s="20">
        <f>+MOP_Mes_Corriente!Q103*MOP_Mes_Constante!$P$1</f>
        <v>0</v>
      </c>
      <c r="R102" s="20">
        <f>+MOP_Mes_Corriente!R103*MOP_Mes_Constante!$P$1</f>
        <v>0</v>
      </c>
      <c r="S102" s="20">
        <f>+MOP_Mes_Corriente!S103*MOP_Mes_Constante!$P$1</f>
        <v>0</v>
      </c>
      <c r="T102" s="20">
        <f>+MOP_Mes_Corriente!T103*MOP_Mes_Constante!$P$1</f>
        <v>0</v>
      </c>
      <c r="U102" s="20">
        <f>+MOP_Mes_Corriente!U103*MOP_Mes_Constante!$P$1</f>
        <v>0</v>
      </c>
      <c r="V102" s="20">
        <f>+MOP_Mes_Corriente!V103*MOP_Mes_Constante!$P$1</f>
        <v>0</v>
      </c>
      <c r="W102" s="20">
        <f>+MOP_Mes_Corriente!W103*MOP_Mes_Constante!$P$1</f>
        <v>0</v>
      </c>
      <c r="X102" s="20">
        <f>+MOP_Mes_Corriente!X103*MOP_Mes_Constante!$P$1</f>
        <v>0</v>
      </c>
      <c r="Y102" s="20">
        <f>+MOP_Mes_Corriente!Y103*MOP_Mes_Constante!$P$1</f>
        <v>0</v>
      </c>
      <c r="Z102" s="20">
        <f>+MOP_Mes_Corriente!Z103*MOP_Mes_Constante!$P$1</f>
        <v>0</v>
      </c>
      <c r="AA102" s="20">
        <f>+MOP_Mes_Corriente!AA103*MOP_Mes_Constante!$P$1</f>
        <v>0</v>
      </c>
      <c r="AB102" s="20">
        <f t="shared" si="134"/>
        <v>0</v>
      </c>
      <c r="AC102" s="20">
        <f>+MOP_Mes_Corriente!AC103*MOP_Mes_Constante!$AC$1</f>
        <v>0</v>
      </c>
      <c r="AD102" s="20">
        <f>+MOP_Mes_Corriente!AD103*MOP_Mes_Constante!$AC$1</f>
        <v>0</v>
      </c>
      <c r="AE102" s="20">
        <f>+MOP_Mes_Corriente!AE103*MOP_Mes_Constante!$AC$1</f>
        <v>0</v>
      </c>
      <c r="AF102" s="20">
        <f>+MOP_Mes_Corriente!AF103*MOP_Mes_Constante!$AC$1</f>
        <v>0</v>
      </c>
      <c r="AG102" s="20">
        <f>+MOP_Mes_Corriente!AG103*MOP_Mes_Constante!$AC$1</f>
        <v>0</v>
      </c>
      <c r="AH102" s="20">
        <f>+MOP_Mes_Corriente!AH103*MOP_Mes_Constante!$AC$1</f>
        <v>0</v>
      </c>
      <c r="AI102" s="20">
        <f>+MOP_Mes_Corriente!AI103*MOP_Mes_Constante!$AC$1</f>
        <v>0</v>
      </c>
      <c r="AJ102" s="20">
        <f>+MOP_Mes_Corriente!AJ103*MOP_Mes_Constante!$AC$1</f>
        <v>0</v>
      </c>
      <c r="AK102" s="20">
        <f>+MOP_Mes_Corriente!AK103*MOP_Mes_Constante!$AC$1</f>
        <v>0</v>
      </c>
      <c r="AL102" s="20">
        <f>+MOP_Mes_Corriente!AL103*MOP_Mes_Constante!$AC$1</f>
        <v>0</v>
      </c>
      <c r="AM102" s="20">
        <f>+MOP_Mes_Corriente!AM103*MOP_Mes_Constante!$AC$1</f>
        <v>0</v>
      </c>
      <c r="AN102" s="20">
        <f>+MOP_Mes_Corriente!AN103*MOP_Mes_Constante!$AC$1</f>
        <v>0</v>
      </c>
      <c r="AO102" s="20">
        <f t="shared" si="135"/>
        <v>0</v>
      </c>
      <c r="AP102" s="20">
        <f>+MOP_Mes_Corriente!AP103*MOP_Mes_Constante!$AP$1</f>
        <v>0</v>
      </c>
      <c r="AQ102" s="20">
        <f>+MOP_Mes_Corriente!AQ103*MOP_Mes_Constante!$AP$1</f>
        <v>0</v>
      </c>
      <c r="AR102" s="20">
        <f>+MOP_Mes_Corriente!AR103*MOP_Mes_Constante!$AP$1</f>
        <v>0</v>
      </c>
      <c r="AS102" s="20">
        <f>+MOP_Mes_Corriente!AS103*MOP_Mes_Constante!$AP$1</f>
        <v>0</v>
      </c>
      <c r="AT102" s="20">
        <f>+MOP_Mes_Corriente!AT103*MOP_Mes_Constante!$AP$1</f>
        <v>0</v>
      </c>
      <c r="AU102" s="20">
        <f>+MOP_Mes_Corriente!AU103*MOP_Mes_Constante!$AP$1</f>
        <v>0</v>
      </c>
      <c r="AV102" s="20">
        <f>+MOP_Mes_Corriente!AV103*MOP_Mes_Constante!$AP$1</f>
        <v>0</v>
      </c>
      <c r="AW102" s="20">
        <f>+MOP_Mes_Corriente!AW103*MOP_Mes_Constante!$AP$1</f>
        <v>0</v>
      </c>
      <c r="AX102" s="20">
        <f>+MOP_Mes_Corriente!AX103*MOP_Mes_Constante!$AP$1</f>
        <v>0</v>
      </c>
      <c r="AY102" s="20">
        <f>+MOP_Mes_Corriente!AY103*MOP_Mes_Constante!$AP$1</f>
        <v>0</v>
      </c>
      <c r="AZ102" s="20">
        <f>+MOP_Mes_Corriente!AZ103*MOP_Mes_Constante!$AP$1</f>
        <v>0</v>
      </c>
      <c r="BA102" s="20">
        <f>+MOP_Mes_Corriente!BA103*MOP_Mes_Constante!$AP$1</f>
        <v>0</v>
      </c>
      <c r="BB102" s="20">
        <f t="shared" si="136"/>
        <v>0</v>
      </c>
      <c r="BC102" s="20">
        <f>+MOP_Mes_Corriente!BC103*MOP_Mes_Constante!$BC$1</f>
        <v>0</v>
      </c>
      <c r="BD102" s="20">
        <f>+MOP_Mes_Corriente!BD103*MOP_Mes_Constante!$BC$1</f>
        <v>0</v>
      </c>
      <c r="BE102" s="20">
        <f>+MOP_Mes_Corriente!BE103*MOP_Mes_Constante!$BC$1</f>
        <v>0</v>
      </c>
      <c r="BF102" s="20">
        <f>+MOP_Mes_Corriente!BF103*MOP_Mes_Constante!$BC$1</f>
        <v>0</v>
      </c>
      <c r="BG102" s="20">
        <f>+MOP_Mes_Corriente!BG103*MOP_Mes_Constante!$BC$1</f>
        <v>0</v>
      </c>
      <c r="BH102" s="20">
        <f>+MOP_Mes_Corriente!BH103*MOP_Mes_Constante!$BC$1</f>
        <v>0</v>
      </c>
      <c r="BI102" s="20">
        <f>+MOP_Mes_Corriente!BI103*MOP_Mes_Constante!$BC$1</f>
        <v>0</v>
      </c>
      <c r="BJ102" s="20">
        <f>+MOP_Mes_Corriente!BJ103*MOP_Mes_Constante!$BC$1</f>
        <v>0</v>
      </c>
      <c r="BK102" s="20">
        <f>+MOP_Mes_Corriente!BK103*MOP_Mes_Constante!$BC$1</f>
        <v>0</v>
      </c>
      <c r="BL102" s="20">
        <f>+MOP_Mes_Corriente!BL103*MOP_Mes_Constante!$BC$1</f>
        <v>0</v>
      </c>
      <c r="BM102" s="20">
        <f>+MOP_Mes_Corriente!BM103*MOP_Mes_Constante!$BC$1</f>
        <v>0</v>
      </c>
      <c r="BN102" s="20">
        <f>+MOP_Mes_Corriente!BN103*MOP_Mes_Constante!$BC$1</f>
        <v>0</v>
      </c>
      <c r="BO102" s="20">
        <f t="shared" si="137"/>
        <v>0</v>
      </c>
      <c r="BP102" s="20">
        <f>+MOP_Mes_Corriente!BP103*MOP_Mes_Constante!$BP$1</f>
        <v>0</v>
      </c>
      <c r="BQ102" s="20">
        <f>+MOP_Mes_Corriente!BQ103*MOP_Mes_Constante!$BP$1</f>
        <v>0</v>
      </c>
      <c r="BR102" s="20">
        <f>+MOP_Mes_Corriente!BR103*MOP_Mes_Constante!$BP$1</f>
        <v>0</v>
      </c>
      <c r="BS102" s="20">
        <f>+MOP_Mes_Corriente!BS103*MOP_Mes_Constante!$BP$1</f>
        <v>0</v>
      </c>
      <c r="BT102" s="20">
        <f>+MOP_Mes_Corriente!BT103*MOP_Mes_Constante!$BP$1</f>
        <v>0</v>
      </c>
      <c r="BU102" s="20">
        <f>+MOP_Mes_Corriente!BU103*MOP_Mes_Constante!$BP$1</f>
        <v>0</v>
      </c>
      <c r="BV102" s="20">
        <f>+MOP_Mes_Corriente!BV103*MOP_Mes_Constante!$BP$1</f>
        <v>0</v>
      </c>
      <c r="BW102" s="20">
        <f>+MOP_Mes_Corriente!BW103*MOP_Mes_Constante!$BP$1</f>
        <v>0</v>
      </c>
      <c r="BX102" s="20">
        <f>+MOP_Mes_Corriente!BX103*MOP_Mes_Constante!$BP$1</f>
        <v>0</v>
      </c>
      <c r="BY102" s="20">
        <f>+MOP_Mes_Corriente!BY103*MOP_Mes_Constante!$BP$1</f>
        <v>0</v>
      </c>
      <c r="BZ102" s="20">
        <f>+MOP_Mes_Corriente!BZ103*MOP_Mes_Constante!$BP$1</f>
        <v>0</v>
      </c>
      <c r="CA102" s="20">
        <f>+MOP_Mes_Corriente!CA103*MOP_Mes_Constante!$BP$1</f>
        <v>0</v>
      </c>
      <c r="CB102" s="20">
        <f t="shared" si="138"/>
        <v>0</v>
      </c>
      <c r="CC102" s="20">
        <f>+MOP_Mes_Corriente!CC103*MOP_Mes_Constante!$CC$1</f>
        <v>0</v>
      </c>
      <c r="CD102" s="20">
        <f>+MOP_Mes_Corriente!CD103*MOP_Mes_Constante!$CC$1</f>
        <v>0</v>
      </c>
      <c r="CE102" s="20">
        <f>+MOP_Mes_Corriente!CE103*MOP_Mes_Constante!$CC$1</f>
        <v>0</v>
      </c>
      <c r="CF102" s="20">
        <f>+MOP_Mes_Corriente!CF103*MOP_Mes_Constante!$CC$1</f>
        <v>0</v>
      </c>
      <c r="CG102" s="20">
        <f>+MOP_Mes_Corriente!CG103*MOP_Mes_Constante!$CC$1</f>
        <v>0</v>
      </c>
      <c r="CH102" s="20">
        <f>+MOP_Mes_Corriente!CH103*MOP_Mes_Constante!$CC$1</f>
        <v>0</v>
      </c>
      <c r="CI102" s="20">
        <f>+MOP_Mes_Corriente!CI103*MOP_Mes_Constante!$CC$1</f>
        <v>0</v>
      </c>
      <c r="CJ102" s="20">
        <f>+MOP_Mes_Corriente!CJ103*MOP_Mes_Constante!$CC$1</f>
        <v>0</v>
      </c>
      <c r="CK102" s="20">
        <f>+MOP_Mes_Corriente!CK103*MOP_Mes_Constante!$CC$1</f>
        <v>0</v>
      </c>
      <c r="CL102" s="20">
        <f>+MOP_Mes_Corriente!CL103*MOP_Mes_Constante!$CC$1</f>
        <v>0</v>
      </c>
      <c r="CM102" s="20">
        <f>+MOP_Mes_Corriente!CM103*MOP_Mes_Constante!$CC$1</f>
        <v>0</v>
      </c>
      <c r="CN102" s="20">
        <f>+MOP_Mes_Corriente!CN103*MOP_Mes_Constante!$CC$1</f>
        <v>0</v>
      </c>
      <c r="CO102" s="20">
        <f t="shared" si="139"/>
        <v>0</v>
      </c>
      <c r="CP102" s="20">
        <f>+MOP_Mes_Corriente!CP103*MOP_Mes_Constante!$CP$1</f>
        <v>0</v>
      </c>
      <c r="CQ102" s="20">
        <f>+MOP_Mes_Corriente!CQ103*MOP_Mes_Constante!$CP$1</f>
        <v>0</v>
      </c>
      <c r="CR102" s="20">
        <f>+MOP_Mes_Corriente!CR103*MOP_Mes_Constante!$CP$1</f>
        <v>0</v>
      </c>
      <c r="CS102" s="20">
        <f>+MOP_Mes_Corriente!CS103*MOP_Mes_Constante!$CP$1</f>
        <v>0</v>
      </c>
      <c r="CT102" s="20">
        <f>+MOP_Mes_Corriente!CT103*MOP_Mes_Constante!$CP$1</f>
        <v>0</v>
      </c>
      <c r="CU102" s="20">
        <f>+MOP_Mes_Corriente!CU103*MOP_Mes_Constante!$CP$1</f>
        <v>0</v>
      </c>
      <c r="CV102" s="20">
        <f>+MOP_Mes_Corriente!CV103*MOP_Mes_Constante!$CP$1</f>
        <v>0</v>
      </c>
      <c r="CW102" s="20">
        <f>+MOP_Mes_Corriente!CW103*MOP_Mes_Constante!$CP$1</f>
        <v>0</v>
      </c>
      <c r="CX102" s="20">
        <f>+MOP_Mes_Corriente!CX103*MOP_Mes_Constante!$CP$1</f>
        <v>0</v>
      </c>
      <c r="CY102" s="20">
        <f>+MOP_Mes_Corriente!CY103*MOP_Mes_Constante!$CP$1</f>
        <v>0</v>
      </c>
      <c r="CZ102" s="20">
        <f>+MOP_Mes_Corriente!CZ103*MOP_Mes_Constante!$CP$1</f>
        <v>0</v>
      </c>
      <c r="DA102" s="20">
        <f>+MOP_Mes_Corriente!DA103*MOP_Mes_Constante!$CP$1</f>
        <v>0</v>
      </c>
      <c r="DB102" s="20">
        <f t="shared" si="140"/>
        <v>0</v>
      </c>
      <c r="DC102" s="20">
        <f>+MOP_Mes_Corriente!DC103*MOP_Mes_Constante!$DC$1</f>
        <v>0</v>
      </c>
      <c r="DD102" s="20">
        <f>+MOP_Mes_Corriente!DD103*MOP_Mes_Constante!$DC$1</f>
        <v>0</v>
      </c>
      <c r="DE102" s="20">
        <f>+MOP_Mes_Corriente!DE103*MOP_Mes_Constante!$DC$1</f>
        <v>0</v>
      </c>
      <c r="DF102" s="20">
        <f>+MOP_Mes_Corriente!DF103*MOP_Mes_Constante!$DC$1</f>
        <v>0</v>
      </c>
      <c r="DG102" s="20">
        <f>+MOP_Mes_Corriente!DG103*MOP_Mes_Constante!$DC$1</f>
        <v>0</v>
      </c>
      <c r="DH102" s="20">
        <f>+MOP_Mes_Corriente!DH103*MOP_Mes_Constante!$DC$1</f>
        <v>0</v>
      </c>
      <c r="DI102" s="20">
        <f>+MOP_Mes_Corriente!DI103*MOP_Mes_Constante!$DC$1</f>
        <v>0</v>
      </c>
      <c r="DJ102" s="20">
        <f>+MOP_Mes_Corriente!DJ103*MOP_Mes_Constante!$DC$1</f>
        <v>0</v>
      </c>
      <c r="DK102" s="20">
        <f>+MOP_Mes_Corriente!DK103*MOP_Mes_Constante!$DC$1</f>
        <v>0</v>
      </c>
      <c r="DL102" s="20">
        <f>+MOP_Mes_Corriente!DL103*MOP_Mes_Constante!$DC$1</f>
        <v>0</v>
      </c>
      <c r="DM102" s="20">
        <f>+MOP_Mes_Corriente!DM103*MOP_Mes_Constante!$DC$1</f>
        <v>0</v>
      </c>
      <c r="DN102" s="20">
        <f>+MOP_Mes_Corriente!DN103*MOP_Mes_Constante!$DC$1</f>
        <v>0</v>
      </c>
      <c r="DO102" s="20">
        <f t="shared" si="141"/>
        <v>0</v>
      </c>
      <c r="DP102" s="20">
        <f>+MOP_Mes_Corriente!DP103*MOP_Mes_Constante!$DP$1</f>
        <v>0</v>
      </c>
      <c r="DQ102" s="20">
        <f>+MOP_Mes_Corriente!DQ103*MOP_Mes_Constante!$DP$1</f>
        <v>0</v>
      </c>
      <c r="DR102" s="20">
        <f>+MOP_Mes_Corriente!DR103*MOP_Mes_Constante!$DP$1</f>
        <v>0</v>
      </c>
      <c r="DS102" s="20">
        <f>+MOP_Mes_Corriente!DS103*MOP_Mes_Constante!$DP$1</f>
        <v>0</v>
      </c>
      <c r="DT102" s="20">
        <f>+MOP_Mes_Corriente!DT103*MOP_Mes_Constante!$DP$1</f>
        <v>0</v>
      </c>
      <c r="DU102" s="20">
        <f>+MOP_Mes_Corriente!DU103*MOP_Mes_Constante!$DP$1</f>
        <v>0</v>
      </c>
      <c r="DV102" s="20">
        <f>+MOP_Mes_Corriente!DV103*MOP_Mes_Constante!$DP$1</f>
        <v>0</v>
      </c>
      <c r="DW102" s="20">
        <f>+MOP_Mes_Corriente!DW103*MOP_Mes_Constante!$DP$1</f>
        <v>0</v>
      </c>
      <c r="DX102" s="20">
        <f>+MOP_Mes_Corriente!DX103*MOP_Mes_Constante!$DP$1</f>
        <v>0</v>
      </c>
      <c r="DY102" s="20">
        <f>+MOP_Mes_Corriente!DY103*MOP_Mes_Constante!$DP$1</f>
        <v>0</v>
      </c>
      <c r="DZ102" s="20">
        <f>+MOP_Mes_Corriente!DZ103*MOP_Mes_Constante!$DP$1</f>
        <v>0</v>
      </c>
      <c r="EA102" s="20">
        <f>+MOP_Mes_Corriente!EA103*MOP_Mes_Constante!$DP$1</f>
        <v>0</v>
      </c>
      <c r="EB102" s="20">
        <f t="shared" si="142"/>
        <v>0</v>
      </c>
      <c r="EC102" s="20">
        <f>+MOP_Mes_Corriente!EC103*MOP_Mes_Constante!$EC$1</f>
        <v>0</v>
      </c>
      <c r="ED102" s="20">
        <f>+MOP_Mes_Corriente!ED103*MOP_Mes_Constante!$EC$1</f>
        <v>0</v>
      </c>
      <c r="EE102" s="20">
        <f>+MOP_Mes_Corriente!EE103*MOP_Mes_Constante!$EC$1</f>
        <v>0</v>
      </c>
      <c r="EF102" s="20">
        <f>+MOP_Mes_Corriente!EF103*MOP_Mes_Constante!$EC$1</f>
        <v>0</v>
      </c>
      <c r="EG102" s="20">
        <f>+MOP_Mes_Corriente!EG103*MOP_Mes_Constante!$EC$1</f>
        <v>0</v>
      </c>
      <c r="EH102" s="20">
        <f>+MOP_Mes_Corriente!EH103*MOP_Mes_Constante!$EC$1</f>
        <v>0</v>
      </c>
      <c r="EI102" s="20">
        <f>+MOP_Mes_Corriente!EI103*MOP_Mes_Constante!$EC$1</f>
        <v>0</v>
      </c>
      <c r="EJ102" s="20">
        <f>+MOP_Mes_Corriente!EJ103*MOP_Mes_Constante!$EC$1</f>
        <v>0</v>
      </c>
      <c r="EK102" s="20">
        <f>+MOP_Mes_Corriente!EK103*MOP_Mes_Constante!$EC$1</f>
        <v>0</v>
      </c>
      <c r="EL102" s="20">
        <f>+MOP_Mes_Corriente!EL103*MOP_Mes_Constante!$EC$1</f>
        <v>0</v>
      </c>
      <c r="EM102" s="20">
        <f>+MOP_Mes_Corriente!EM103*MOP_Mes_Constante!$EC$1</f>
        <v>0</v>
      </c>
      <c r="EN102" s="20">
        <f>+MOP_Mes_Corriente!EN103*MOP_Mes_Constante!$EC$1</f>
        <v>0</v>
      </c>
      <c r="EO102" s="20">
        <f t="shared" si="143"/>
        <v>0</v>
      </c>
      <c r="EP102" s="20">
        <f>+MOP_Mes_Corriente!EP103*MOP_Mes_Constante!$EP$1</f>
        <v>0</v>
      </c>
      <c r="EQ102" s="20">
        <f>+MOP_Mes_Corriente!EQ103*MOP_Mes_Constante!$EP$1</f>
        <v>0</v>
      </c>
      <c r="ER102" s="20">
        <f>+MOP_Mes_Corriente!ER103*MOP_Mes_Constante!$EP$1</f>
        <v>0</v>
      </c>
      <c r="ES102" s="20">
        <f>+MOP_Mes_Corriente!ES103*MOP_Mes_Constante!$EP$1</f>
        <v>0</v>
      </c>
      <c r="ET102" s="20">
        <f>+MOP_Mes_Corriente!ET103*MOP_Mes_Constante!$EP$1</f>
        <v>0</v>
      </c>
      <c r="EU102" s="20">
        <f>+MOP_Mes_Corriente!EU103*MOP_Mes_Constante!$EP$1</f>
        <v>0</v>
      </c>
      <c r="EV102" s="20">
        <f>+MOP_Mes_Corriente!EV103*MOP_Mes_Constante!$EP$1</f>
        <v>0</v>
      </c>
      <c r="EW102" s="20">
        <f>+MOP_Mes_Corriente!EW103*MOP_Mes_Constante!$EP$1</f>
        <v>0</v>
      </c>
      <c r="EX102" s="20">
        <f>+MOP_Mes_Corriente!EX103*MOP_Mes_Constante!$EP$1</f>
        <v>0</v>
      </c>
      <c r="EY102" s="20">
        <f>+MOP_Mes_Corriente!EY103*MOP_Mes_Constante!$EP$1</f>
        <v>0</v>
      </c>
      <c r="EZ102" s="20">
        <f>+MOP_Mes_Corriente!EZ103*MOP_Mes_Constante!$EP$1</f>
        <v>0</v>
      </c>
      <c r="FA102" s="20">
        <f>+MOP_Mes_Corriente!FA103*MOP_Mes_Constante!$EP$1</f>
        <v>0</v>
      </c>
      <c r="FB102" s="20">
        <f t="shared" si="144"/>
        <v>0</v>
      </c>
      <c r="FC102" s="20">
        <f>+MOP_Mes_Corriente!FC103*MOP_Mes_Constante!$FC$1</f>
        <v>0</v>
      </c>
      <c r="FD102" s="20">
        <f>+MOP_Mes_Corriente!FD103*MOP_Mes_Constante!$FC$1</f>
        <v>0</v>
      </c>
      <c r="FE102" s="20">
        <f>+MOP_Mes_Corriente!FE103*MOP_Mes_Constante!$FC$1</f>
        <v>0</v>
      </c>
      <c r="FF102" s="20">
        <f>+MOP_Mes_Corriente!FF103*MOP_Mes_Constante!$FC$1</f>
        <v>0</v>
      </c>
      <c r="FG102" s="20">
        <f>+MOP_Mes_Corriente!FG103*MOP_Mes_Constante!$FC$1</f>
        <v>0</v>
      </c>
      <c r="FH102" s="20">
        <f>+MOP_Mes_Corriente!FH103*MOP_Mes_Constante!$FC$1</f>
        <v>0</v>
      </c>
      <c r="FI102" s="20">
        <f>+MOP_Mes_Corriente!FI103*MOP_Mes_Constante!$FC$1</f>
        <v>0</v>
      </c>
      <c r="FJ102" s="10"/>
      <c r="FK102" s="10"/>
      <c r="FL102" s="10"/>
      <c r="FM102" s="10"/>
      <c r="FN102" s="10"/>
      <c r="FO102" s="20">
        <f t="shared" si="145"/>
        <v>0</v>
      </c>
    </row>
    <row r="103" spans="1:171" ht="27.75" customHeight="1">
      <c r="A103" s="10"/>
      <c r="B103" s="19" t="s">
        <v>47</v>
      </c>
      <c r="C103" s="20">
        <f>+MOP_Mes_Corriente!C104*MOP_Mes_Constante!$C$1</f>
        <v>0</v>
      </c>
      <c r="D103" s="20">
        <f>+MOP_Mes_Corriente!D104*MOP_Mes_Constante!$C$1</f>
        <v>0</v>
      </c>
      <c r="E103" s="20">
        <f>+MOP_Mes_Corriente!E104*MOP_Mes_Constante!$C$1</f>
        <v>0</v>
      </c>
      <c r="F103" s="20">
        <f>+MOP_Mes_Corriente!F104*MOP_Mes_Constante!$C$1</f>
        <v>0</v>
      </c>
      <c r="G103" s="20">
        <f>+MOP_Mes_Corriente!G104*MOP_Mes_Constante!$C$1</f>
        <v>0</v>
      </c>
      <c r="H103" s="20">
        <f>+MOP_Mes_Corriente!H104*MOP_Mes_Constante!$C$1</f>
        <v>0</v>
      </c>
      <c r="I103" s="20">
        <f>+MOP_Mes_Corriente!I104*MOP_Mes_Constante!$C$1</f>
        <v>0</v>
      </c>
      <c r="J103" s="20">
        <f>+MOP_Mes_Corriente!J104*MOP_Mes_Constante!$C$1</f>
        <v>0</v>
      </c>
      <c r="K103" s="20">
        <f>+MOP_Mes_Corriente!K104*MOP_Mes_Constante!$C$1</f>
        <v>0</v>
      </c>
      <c r="L103" s="20">
        <f>+MOP_Mes_Corriente!L104*MOP_Mes_Constante!$C$1</f>
        <v>0</v>
      </c>
      <c r="M103" s="20">
        <f>+MOP_Mes_Corriente!M104*MOP_Mes_Constante!$C$1</f>
        <v>0</v>
      </c>
      <c r="N103" s="20">
        <f>+MOP_Mes_Corriente!N104*MOP_Mes_Constante!$C$1</f>
        <v>0</v>
      </c>
      <c r="O103" s="20">
        <f t="shared" si="133"/>
        <v>0</v>
      </c>
      <c r="P103" s="20">
        <f>+MOP_Mes_Corriente!P104*MOP_Mes_Constante!$P$1</f>
        <v>0</v>
      </c>
      <c r="Q103" s="20">
        <f>+MOP_Mes_Corriente!Q104*MOP_Mes_Constante!$P$1</f>
        <v>0</v>
      </c>
      <c r="R103" s="20">
        <f>+MOP_Mes_Corriente!R104*MOP_Mes_Constante!$P$1</f>
        <v>0</v>
      </c>
      <c r="S103" s="20">
        <f>+MOP_Mes_Corriente!S104*MOP_Mes_Constante!$P$1</f>
        <v>0</v>
      </c>
      <c r="T103" s="20">
        <f>+MOP_Mes_Corriente!T104*MOP_Mes_Constante!$P$1</f>
        <v>0</v>
      </c>
      <c r="U103" s="20">
        <f>+MOP_Mes_Corriente!U104*MOP_Mes_Constante!$P$1</f>
        <v>0</v>
      </c>
      <c r="V103" s="20">
        <f>+MOP_Mes_Corriente!V104*MOP_Mes_Constante!$P$1</f>
        <v>0</v>
      </c>
      <c r="W103" s="20">
        <f>+MOP_Mes_Corriente!W104*MOP_Mes_Constante!$P$1</f>
        <v>0</v>
      </c>
      <c r="X103" s="20">
        <f>+MOP_Mes_Corriente!X104*MOP_Mes_Constante!$P$1</f>
        <v>0</v>
      </c>
      <c r="Y103" s="20">
        <f>+MOP_Mes_Corriente!Y104*MOP_Mes_Constante!$P$1</f>
        <v>0</v>
      </c>
      <c r="Z103" s="20">
        <f>+MOP_Mes_Corriente!Z104*MOP_Mes_Constante!$P$1</f>
        <v>0</v>
      </c>
      <c r="AA103" s="20">
        <f>+MOP_Mes_Corriente!AA104*MOP_Mes_Constante!$P$1</f>
        <v>0</v>
      </c>
      <c r="AB103" s="20">
        <f t="shared" si="134"/>
        <v>0</v>
      </c>
      <c r="AC103" s="20">
        <f>+MOP_Mes_Corriente!AC104*MOP_Mes_Constante!$AC$1</f>
        <v>0</v>
      </c>
      <c r="AD103" s="20">
        <f>+MOP_Mes_Corriente!AD104*MOP_Mes_Constante!$AC$1</f>
        <v>0</v>
      </c>
      <c r="AE103" s="20">
        <f>+MOP_Mes_Corriente!AE104*MOP_Mes_Constante!$AC$1</f>
        <v>0</v>
      </c>
      <c r="AF103" s="20">
        <f>+MOP_Mes_Corriente!AF104*MOP_Mes_Constante!$AC$1</f>
        <v>0</v>
      </c>
      <c r="AG103" s="20">
        <f>+MOP_Mes_Corriente!AG104*MOP_Mes_Constante!$AC$1</f>
        <v>0</v>
      </c>
      <c r="AH103" s="20">
        <f>+MOP_Mes_Corriente!AH104*MOP_Mes_Constante!$AC$1</f>
        <v>0</v>
      </c>
      <c r="AI103" s="20">
        <f>+MOP_Mes_Corriente!AI104*MOP_Mes_Constante!$AC$1</f>
        <v>0</v>
      </c>
      <c r="AJ103" s="20">
        <f>+MOP_Mes_Corriente!AJ104*MOP_Mes_Constante!$AC$1</f>
        <v>0</v>
      </c>
      <c r="AK103" s="20">
        <f>+MOP_Mes_Corriente!AK104*MOP_Mes_Constante!$AC$1</f>
        <v>0</v>
      </c>
      <c r="AL103" s="20">
        <f>+MOP_Mes_Corriente!AL104*MOP_Mes_Constante!$AC$1</f>
        <v>0</v>
      </c>
      <c r="AM103" s="20">
        <f>+MOP_Mes_Corriente!AM104*MOP_Mes_Constante!$AC$1</f>
        <v>0</v>
      </c>
      <c r="AN103" s="20">
        <f>+MOP_Mes_Corriente!AN104*MOP_Mes_Constante!$AC$1</f>
        <v>0</v>
      </c>
      <c r="AO103" s="20">
        <f t="shared" si="135"/>
        <v>0</v>
      </c>
      <c r="AP103" s="20">
        <f>+MOP_Mes_Corriente!AP104*MOP_Mes_Constante!$AP$1</f>
        <v>0</v>
      </c>
      <c r="AQ103" s="20">
        <f>+MOP_Mes_Corriente!AQ104*MOP_Mes_Constante!$AP$1</f>
        <v>0</v>
      </c>
      <c r="AR103" s="20">
        <f>+MOP_Mes_Corriente!AR104*MOP_Mes_Constante!$AP$1</f>
        <v>0</v>
      </c>
      <c r="AS103" s="20">
        <f>+MOP_Mes_Corriente!AS104*MOP_Mes_Constante!$AP$1</f>
        <v>0</v>
      </c>
      <c r="AT103" s="20">
        <f>+MOP_Mes_Corriente!AT104*MOP_Mes_Constante!$AP$1</f>
        <v>0</v>
      </c>
      <c r="AU103" s="20">
        <f>+MOP_Mes_Corriente!AU104*MOP_Mes_Constante!$AP$1</f>
        <v>0</v>
      </c>
      <c r="AV103" s="20">
        <f>+MOP_Mes_Corriente!AV104*MOP_Mes_Constante!$AP$1</f>
        <v>0</v>
      </c>
      <c r="AW103" s="20">
        <f>+MOP_Mes_Corriente!AW104*MOP_Mes_Constante!$AP$1</f>
        <v>0</v>
      </c>
      <c r="AX103" s="20">
        <f>+MOP_Mes_Corriente!AX104*MOP_Mes_Constante!$AP$1</f>
        <v>0</v>
      </c>
      <c r="AY103" s="20">
        <f>+MOP_Mes_Corriente!AY104*MOP_Mes_Constante!$AP$1</f>
        <v>0</v>
      </c>
      <c r="AZ103" s="20">
        <f>+MOP_Mes_Corriente!AZ104*MOP_Mes_Constante!$AP$1</f>
        <v>0</v>
      </c>
      <c r="BA103" s="20">
        <f>+MOP_Mes_Corriente!BA104*MOP_Mes_Constante!$AP$1</f>
        <v>0</v>
      </c>
      <c r="BB103" s="20">
        <f t="shared" si="136"/>
        <v>0</v>
      </c>
      <c r="BC103" s="20">
        <f>+MOP_Mes_Corriente!BC104*MOP_Mes_Constante!$BC$1</f>
        <v>0</v>
      </c>
      <c r="BD103" s="20">
        <f>+MOP_Mes_Corriente!BD104*MOP_Mes_Constante!$BC$1</f>
        <v>0</v>
      </c>
      <c r="BE103" s="20">
        <f>+MOP_Mes_Corriente!BE104*MOP_Mes_Constante!$BC$1</f>
        <v>0</v>
      </c>
      <c r="BF103" s="20">
        <f>+MOP_Mes_Corriente!BF104*MOP_Mes_Constante!$BC$1</f>
        <v>0</v>
      </c>
      <c r="BG103" s="20">
        <f>+MOP_Mes_Corriente!BG104*MOP_Mes_Constante!$BC$1</f>
        <v>0</v>
      </c>
      <c r="BH103" s="20">
        <f>+MOP_Mes_Corriente!BH104*MOP_Mes_Constante!$BC$1</f>
        <v>0</v>
      </c>
      <c r="BI103" s="20">
        <f>+MOP_Mes_Corriente!BI104*MOP_Mes_Constante!$BC$1</f>
        <v>0</v>
      </c>
      <c r="BJ103" s="20">
        <f>+MOP_Mes_Corriente!BJ104*MOP_Mes_Constante!$BC$1</f>
        <v>0</v>
      </c>
      <c r="BK103" s="20">
        <f>+MOP_Mes_Corriente!BK104*MOP_Mes_Constante!$BC$1</f>
        <v>0</v>
      </c>
      <c r="BL103" s="20">
        <f>+MOP_Mes_Corriente!BL104*MOP_Mes_Constante!$BC$1</f>
        <v>0</v>
      </c>
      <c r="BM103" s="20">
        <f>+MOP_Mes_Corriente!BM104*MOP_Mes_Constante!$BC$1</f>
        <v>0</v>
      </c>
      <c r="BN103" s="20">
        <f>+MOP_Mes_Corriente!BN104*MOP_Mes_Constante!$BC$1</f>
        <v>0</v>
      </c>
      <c r="BO103" s="20">
        <f t="shared" si="137"/>
        <v>0</v>
      </c>
      <c r="BP103" s="20">
        <f>+MOP_Mes_Corriente!BP104*MOP_Mes_Constante!$BP$1</f>
        <v>0</v>
      </c>
      <c r="BQ103" s="20">
        <f>+MOP_Mes_Corriente!BQ104*MOP_Mes_Constante!$BP$1</f>
        <v>0</v>
      </c>
      <c r="BR103" s="20">
        <f>+MOP_Mes_Corriente!BR104*MOP_Mes_Constante!$BP$1</f>
        <v>0</v>
      </c>
      <c r="BS103" s="20">
        <f>+MOP_Mes_Corriente!BS104*MOP_Mes_Constante!$BP$1</f>
        <v>0</v>
      </c>
      <c r="BT103" s="20">
        <f>+MOP_Mes_Corriente!BT104*MOP_Mes_Constante!$BP$1</f>
        <v>0</v>
      </c>
      <c r="BU103" s="20">
        <f>+MOP_Mes_Corriente!BU104*MOP_Mes_Constante!$BP$1</f>
        <v>0</v>
      </c>
      <c r="BV103" s="20">
        <f>+MOP_Mes_Corriente!BV104*MOP_Mes_Constante!$BP$1</f>
        <v>0</v>
      </c>
      <c r="BW103" s="20">
        <f>+MOP_Mes_Corriente!BW104*MOP_Mes_Constante!$BP$1</f>
        <v>0</v>
      </c>
      <c r="BX103" s="20">
        <f>+MOP_Mes_Corriente!BX104*MOP_Mes_Constante!$BP$1</f>
        <v>0</v>
      </c>
      <c r="BY103" s="20">
        <f>+MOP_Mes_Corriente!BY104*MOP_Mes_Constante!$BP$1</f>
        <v>0</v>
      </c>
      <c r="BZ103" s="20">
        <f>+MOP_Mes_Corriente!BZ104*MOP_Mes_Constante!$BP$1</f>
        <v>0</v>
      </c>
      <c r="CA103" s="20">
        <f>+MOP_Mes_Corriente!CA104*MOP_Mes_Constante!$BP$1</f>
        <v>0</v>
      </c>
      <c r="CB103" s="20">
        <f t="shared" si="138"/>
        <v>0</v>
      </c>
      <c r="CC103" s="20">
        <f>+MOP_Mes_Corriente!CC104*MOP_Mes_Constante!$CC$1</f>
        <v>0</v>
      </c>
      <c r="CD103" s="20">
        <f>+MOP_Mes_Corriente!CD104*MOP_Mes_Constante!$CC$1</f>
        <v>0</v>
      </c>
      <c r="CE103" s="20">
        <f>+MOP_Mes_Corriente!CE104*MOP_Mes_Constante!$CC$1</f>
        <v>0</v>
      </c>
      <c r="CF103" s="20">
        <f>+MOP_Mes_Corriente!CF104*MOP_Mes_Constante!$CC$1</f>
        <v>0</v>
      </c>
      <c r="CG103" s="20">
        <f>+MOP_Mes_Corriente!CG104*MOP_Mes_Constante!$CC$1</f>
        <v>0</v>
      </c>
      <c r="CH103" s="20">
        <f>+MOP_Mes_Corriente!CH104*MOP_Mes_Constante!$CC$1</f>
        <v>0</v>
      </c>
      <c r="CI103" s="20">
        <f>+MOP_Mes_Corriente!CI104*MOP_Mes_Constante!$CC$1</f>
        <v>0</v>
      </c>
      <c r="CJ103" s="20">
        <f>+MOP_Mes_Corriente!CJ104*MOP_Mes_Constante!$CC$1</f>
        <v>0</v>
      </c>
      <c r="CK103" s="20">
        <f>+MOP_Mes_Corriente!CK104*MOP_Mes_Constante!$CC$1</f>
        <v>0</v>
      </c>
      <c r="CL103" s="20">
        <f>+MOP_Mes_Corriente!CL104*MOP_Mes_Constante!$CC$1</f>
        <v>0</v>
      </c>
      <c r="CM103" s="20">
        <f>+MOP_Mes_Corriente!CM104*MOP_Mes_Constante!$CC$1</f>
        <v>0</v>
      </c>
      <c r="CN103" s="20">
        <f>+MOP_Mes_Corriente!CN104*MOP_Mes_Constante!$CC$1</f>
        <v>0</v>
      </c>
      <c r="CO103" s="20">
        <f t="shared" si="139"/>
        <v>0</v>
      </c>
      <c r="CP103" s="20">
        <f>+MOP_Mes_Corriente!CP104*MOP_Mes_Constante!$CP$1</f>
        <v>0</v>
      </c>
      <c r="CQ103" s="20">
        <f>+MOP_Mes_Corriente!CQ104*MOP_Mes_Constante!$CP$1</f>
        <v>0</v>
      </c>
      <c r="CR103" s="20">
        <f>+MOP_Mes_Corriente!CR104*MOP_Mes_Constante!$CP$1</f>
        <v>0</v>
      </c>
      <c r="CS103" s="20">
        <f>+MOP_Mes_Corriente!CS104*MOP_Mes_Constante!$CP$1</f>
        <v>0</v>
      </c>
      <c r="CT103" s="20">
        <f>+MOP_Mes_Corriente!CT104*MOP_Mes_Constante!$CP$1</f>
        <v>0</v>
      </c>
      <c r="CU103" s="20">
        <f>+MOP_Mes_Corriente!CU104*MOP_Mes_Constante!$CP$1</f>
        <v>0</v>
      </c>
      <c r="CV103" s="20">
        <f>+MOP_Mes_Corriente!CV104*MOP_Mes_Constante!$CP$1</f>
        <v>0</v>
      </c>
      <c r="CW103" s="20">
        <f>+MOP_Mes_Corriente!CW104*MOP_Mes_Constante!$CP$1</f>
        <v>0</v>
      </c>
      <c r="CX103" s="20">
        <f>+MOP_Mes_Corriente!CX104*MOP_Mes_Constante!$CP$1</f>
        <v>0</v>
      </c>
      <c r="CY103" s="20">
        <f>+MOP_Mes_Corriente!CY104*MOP_Mes_Constante!$CP$1</f>
        <v>0</v>
      </c>
      <c r="CZ103" s="20">
        <f>+MOP_Mes_Corriente!CZ104*MOP_Mes_Constante!$CP$1</f>
        <v>0</v>
      </c>
      <c r="DA103" s="20">
        <f>+MOP_Mes_Corriente!DA104*MOP_Mes_Constante!$CP$1</f>
        <v>0</v>
      </c>
      <c r="DB103" s="20">
        <f t="shared" si="140"/>
        <v>0</v>
      </c>
      <c r="DC103" s="20">
        <f>+MOP_Mes_Corriente!DC104*MOP_Mes_Constante!$DC$1</f>
        <v>0</v>
      </c>
      <c r="DD103" s="20">
        <f>+MOP_Mes_Corriente!DD104*MOP_Mes_Constante!$DC$1</f>
        <v>0</v>
      </c>
      <c r="DE103" s="20">
        <f>+MOP_Mes_Corriente!DE104*MOP_Mes_Constante!$DC$1</f>
        <v>0</v>
      </c>
      <c r="DF103" s="20">
        <f>+MOP_Mes_Corriente!DF104*MOP_Mes_Constante!$DC$1</f>
        <v>0</v>
      </c>
      <c r="DG103" s="20">
        <f>+MOP_Mes_Corriente!DG104*MOP_Mes_Constante!$DC$1</f>
        <v>0</v>
      </c>
      <c r="DH103" s="20">
        <f>+MOP_Mes_Corriente!DH104*MOP_Mes_Constante!$DC$1</f>
        <v>0</v>
      </c>
      <c r="DI103" s="20">
        <f>+MOP_Mes_Corriente!DI104*MOP_Mes_Constante!$DC$1</f>
        <v>0</v>
      </c>
      <c r="DJ103" s="20">
        <f>+MOP_Mes_Corriente!DJ104*MOP_Mes_Constante!$DC$1</f>
        <v>0</v>
      </c>
      <c r="DK103" s="20">
        <f>+MOP_Mes_Corriente!DK104*MOP_Mes_Constante!$DC$1</f>
        <v>0</v>
      </c>
      <c r="DL103" s="20">
        <f>+MOP_Mes_Corriente!DL104*MOP_Mes_Constante!$DC$1</f>
        <v>0</v>
      </c>
      <c r="DM103" s="20">
        <f>+MOP_Mes_Corriente!DM104*MOP_Mes_Constante!$DC$1</f>
        <v>0</v>
      </c>
      <c r="DN103" s="20">
        <f>+MOP_Mes_Corriente!DN104*MOP_Mes_Constante!$DC$1</f>
        <v>0</v>
      </c>
      <c r="DO103" s="20">
        <f t="shared" si="141"/>
        <v>0</v>
      </c>
      <c r="DP103" s="20">
        <f>+MOP_Mes_Corriente!DP104*MOP_Mes_Constante!$DP$1</f>
        <v>0</v>
      </c>
      <c r="DQ103" s="20">
        <f>+MOP_Mes_Corriente!DQ104*MOP_Mes_Constante!$DP$1</f>
        <v>0</v>
      </c>
      <c r="DR103" s="20">
        <f>+MOP_Mes_Corriente!DR104*MOP_Mes_Constante!$DP$1</f>
        <v>0</v>
      </c>
      <c r="DS103" s="20">
        <f>+MOP_Mes_Corriente!DS104*MOP_Mes_Constante!$DP$1</f>
        <v>0</v>
      </c>
      <c r="DT103" s="20">
        <f>+MOP_Mes_Corriente!DT104*MOP_Mes_Constante!$DP$1</f>
        <v>0</v>
      </c>
      <c r="DU103" s="20">
        <f>+MOP_Mes_Corriente!DU104*MOP_Mes_Constante!$DP$1</f>
        <v>0</v>
      </c>
      <c r="DV103" s="20">
        <f>+MOP_Mes_Corriente!DV104*MOP_Mes_Constante!$DP$1</f>
        <v>0</v>
      </c>
      <c r="DW103" s="20">
        <f>+MOP_Mes_Corriente!DW104*MOP_Mes_Constante!$DP$1</f>
        <v>0</v>
      </c>
      <c r="DX103" s="20">
        <f>+MOP_Mes_Corriente!DX104*MOP_Mes_Constante!$DP$1</f>
        <v>0</v>
      </c>
      <c r="DY103" s="20">
        <f>+MOP_Mes_Corriente!DY104*MOP_Mes_Constante!$DP$1</f>
        <v>0</v>
      </c>
      <c r="DZ103" s="20">
        <f>+MOP_Mes_Corriente!DZ104*MOP_Mes_Constante!$DP$1</f>
        <v>0</v>
      </c>
      <c r="EA103" s="20">
        <f>+MOP_Mes_Corriente!EA104*MOP_Mes_Constante!$DP$1</f>
        <v>0</v>
      </c>
      <c r="EB103" s="20">
        <f t="shared" si="142"/>
        <v>0</v>
      </c>
      <c r="EC103" s="20">
        <f>+MOP_Mes_Corriente!EC104*MOP_Mes_Constante!$EC$1</f>
        <v>0</v>
      </c>
      <c r="ED103" s="20">
        <f>+MOP_Mes_Corriente!ED104*MOP_Mes_Constante!$EC$1</f>
        <v>0</v>
      </c>
      <c r="EE103" s="20">
        <f>+MOP_Mes_Corriente!EE104*MOP_Mes_Constante!$EC$1</f>
        <v>0</v>
      </c>
      <c r="EF103" s="20">
        <f>+MOP_Mes_Corriente!EF104*MOP_Mes_Constante!$EC$1</f>
        <v>0</v>
      </c>
      <c r="EG103" s="20">
        <f>+MOP_Mes_Corriente!EG104*MOP_Mes_Constante!$EC$1</f>
        <v>0</v>
      </c>
      <c r="EH103" s="20">
        <f>+MOP_Mes_Corriente!EH104*MOP_Mes_Constante!$EC$1</f>
        <v>0</v>
      </c>
      <c r="EI103" s="20">
        <f>+MOP_Mes_Corriente!EI104*MOP_Mes_Constante!$EC$1</f>
        <v>0</v>
      </c>
      <c r="EJ103" s="20">
        <f>+MOP_Mes_Corriente!EJ104*MOP_Mes_Constante!$EC$1</f>
        <v>0</v>
      </c>
      <c r="EK103" s="20">
        <f>+MOP_Mes_Corriente!EK104*MOP_Mes_Constante!$EC$1</f>
        <v>0</v>
      </c>
      <c r="EL103" s="20">
        <f>+MOP_Mes_Corriente!EL104*MOP_Mes_Constante!$EC$1</f>
        <v>0</v>
      </c>
      <c r="EM103" s="20">
        <f>+MOP_Mes_Corriente!EM104*MOP_Mes_Constante!$EC$1</f>
        <v>0</v>
      </c>
      <c r="EN103" s="20">
        <f>+MOP_Mes_Corriente!EN104*MOP_Mes_Constante!$EC$1</f>
        <v>0</v>
      </c>
      <c r="EO103" s="20">
        <f t="shared" si="143"/>
        <v>0</v>
      </c>
      <c r="EP103" s="20">
        <f>+MOP_Mes_Corriente!EP104*MOP_Mes_Constante!$EP$1</f>
        <v>0</v>
      </c>
      <c r="EQ103" s="20">
        <f>+MOP_Mes_Corriente!EQ104*MOP_Mes_Constante!$EP$1</f>
        <v>0</v>
      </c>
      <c r="ER103" s="20">
        <f>+MOP_Mes_Corriente!ER104*MOP_Mes_Constante!$EP$1</f>
        <v>0</v>
      </c>
      <c r="ES103" s="20">
        <f>+MOP_Mes_Corriente!ES104*MOP_Mes_Constante!$EP$1</f>
        <v>0</v>
      </c>
      <c r="ET103" s="20">
        <f>+MOP_Mes_Corriente!ET104*MOP_Mes_Constante!$EP$1</f>
        <v>0</v>
      </c>
      <c r="EU103" s="20">
        <f>+MOP_Mes_Corriente!EU104*MOP_Mes_Constante!$EP$1</f>
        <v>0</v>
      </c>
      <c r="EV103" s="20">
        <f>+MOP_Mes_Corriente!EV104*MOP_Mes_Constante!$EP$1</f>
        <v>0</v>
      </c>
      <c r="EW103" s="20">
        <f>+MOP_Mes_Corriente!EW104*MOP_Mes_Constante!$EP$1</f>
        <v>0</v>
      </c>
      <c r="EX103" s="20">
        <f>+MOP_Mes_Corriente!EX104*MOP_Mes_Constante!$EP$1</f>
        <v>0</v>
      </c>
      <c r="EY103" s="20">
        <f>+MOP_Mes_Corriente!EY104*MOP_Mes_Constante!$EP$1</f>
        <v>0</v>
      </c>
      <c r="EZ103" s="20">
        <f>+MOP_Mes_Corriente!EZ104*MOP_Mes_Constante!$EP$1</f>
        <v>0</v>
      </c>
      <c r="FA103" s="20">
        <f>+MOP_Mes_Corriente!FA104*MOP_Mes_Constante!$EP$1</f>
        <v>0</v>
      </c>
      <c r="FB103" s="20">
        <f t="shared" si="144"/>
        <v>0</v>
      </c>
      <c r="FC103" s="20">
        <f>+MOP_Mes_Corriente!FC104*MOP_Mes_Constante!$FC$1</f>
        <v>0</v>
      </c>
      <c r="FD103" s="20">
        <f>+MOP_Mes_Corriente!FD104*MOP_Mes_Constante!$FC$1</f>
        <v>0</v>
      </c>
      <c r="FE103" s="20">
        <f>+MOP_Mes_Corriente!FE104*MOP_Mes_Constante!$FC$1</f>
        <v>0</v>
      </c>
      <c r="FF103" s="20">
        <f>+MOP_Mes_Corriente!FF104*MOP_Mes_Constante!$FC$1</f>
        <v>0</v>
      </c>
      <c r="FG103" s="20">
        <f>+MOP_Mes_Corriente!FG104*MOP_Mes_Constante!$FC$1</f>
        <v>0</v>
      </c>
      <c r="FH103" s="20">
        <f>+MOP_Mes_Corriente!FH104*MOP_Mes_Constante!$FC$1</f>
        <v>0</v>
      </c>
      <c r="FI103" s="20">
        <f>+MOP_Mes_Corriente!FI104*MOP_Mes_Constante!$FC$1</f>
        <v>0</v>
      </c>
      <c r="FJ103" s="10"/>
      <c r="FK103" s="10"/>
      <c r="FL103" s="10"/>
      <c r="FM103" s="10"/>
      <c r="FN103" s="10"/>
      <c r="FO103" s="20">
        <f t="shared" si="145"/>
        <v>0</v>
      </c>
    </row>
    <row r="104" spans="1:171" ht="27.75" customHeight="1">
      <c r="A104" s="10"/>
      <c r="B104" s="19" t="s">
        <v>48</v>
      </c>
      <c r="C104" s="20">
        <f>+MOP_Mes_Corriente!C105*MOP_Mes_Constante!$C$1</f>
        <v>0</v>
      </c>
      <c r="D104" s="20">
        <f>+MOP_Mes_Corriente!D105*MOP_Mes_Constante!$C$1</f>
        <v>0</v>
      </c>
      <c r="E104" s="20">
        <f>+MOP_Mes_Corriente!E105*MOP_Mes_Constante!$C$1</f>
        <v>0</v>
      </c>
      <c r="F104" s="20">
        <f>+MOP_Mes_Corriente!F105*MOP_Mes_Constante!$C$1</f>
        <v>0</v>
      </c>
      <c r="G104" s="20">
        <f>+MOP_Mes_Corriente!G105*MOP_Mes_Constante!$C$1</f>
        <v>0</v>
      </c>
      <c r="H104" s="20">
        <f>+MOP_Mes_Corriente!H105*MOP_Mes_Constante!$C$1</f>
        <v>0</v>
      </c>
      <c r="I104" s="20">
        <f>+MOP_Mes_Corriente!I105*MOP_Mes_Constante!$C$1</f>
        <v>0</v>
      </c>
      <c r="J104" s="20">
        <f>+MOP_Mes_Corriente!J105*MOP_Mes_Constante!$C$1</f>
        <v>0</v>
      </c>
      <c r="K104" s="20">
        <f>+MOP_Mes_Corriente!K105*MOP_Mes_Constante!$C$1</f>
        <v>0</v>
      </c>
      <c r="L104" s="20">
        <f>+MOP_Mes_Corriente!L105*MOP_Mes_Constante!$C$1</f>
        <v>0</v>
      </c>
      <c r="M104" s="20">
        <f>+MOP_Mes_Corriente!M105*MOP_Mes_Constante!$C$1</f>
        <v>0</v>
      </c>
      <c r="N104" s="20">
        <f>+MOP_Mes_Corriente!N105*MOP_Mes_Constante!$C$1</f>
        <v>0</v>
      </c>
      <c r="O104" s="20">
        <f t="shared" si="133"/>
        <v>0</v>
      </c>
      <c r="P104" s="20">
        <f>+MOP_Mes_Corriente!P105*MOP_Mes_Constante!$P$1</f>
        <v>0</v>
      </c>
      <c r="Q104" s="20">
        <f>+MOP_Mes_Corriente!Q105*MOP_Mes_Constante!$P$1</f>
        <v>0</v>
      </c>
      <c r="R104" s="20">
        <f>+MOP_Mes_Corriente!R105*MOP_Mes_Constante!$P$1</f>
        <v>0</v>
      </c>
      <c r="S104" s="20">
        <f>+MOP_Mes_Corriente!S105*MOP_Mes_Constante!$P$1</f>
        <v>0</v>
      </c>
      <c r="T104" s="20">
        <f>+MOP_Mes_Corriente!T105*MOP_Mes_Constante!$P$1</f>
        <v>0</v>
      </c>
      <c r="U104" s="20">
        <f>+MOP_Mes_Corriente!U105*MOP_Mes_Constante!$P$1</f>
        <v>0</v>
      </c>
      <c r="V104" s="20">
        <f>+MOP_Mes_Corriente!V105*MOP_Mes_Constante!$P$1</f>
        <v>0</v>
      </c>
      <c r="W104" s="20">
        <f>+MOP_Mes_Corriente!W105*MOP_Mes_Constante!$P$1</f>
        <v>0</v>
      </c>
      <c r="X104" s="20">
        <f>+MOP_Mes_Corriente!X105*MOP_Mes_Constante!$P$1</f>
        <v>0</v>
      </c>
      <c r="Y104" s="20">
        <f>+MOP_Mes_Corriente!Y105*MOP_Mes_Constante!$P$1</f>
        <v>0</v>
      </c>
      <c r="Z104" s="20">
        <f>+MOP_Mes_Corriente!Z105*MOP_Mes_Constante!$P$1</f>
        <v>0</v>
      </c>
      <c r="AA104" s="20">
        <f>+MOP_Mes_Corriente!AA105*MOP_Mes_Constante!$P$1</f>
        <v>0</v>
      </c>
      <c r="AB104" s="20">
        <f t="shared" si="134"/>
        <v>0</v>
      </c>
      <c r="AC104" s="20">
        <f>+MOP_Mes_Corriente!AC105*MOP_Mes_Constante!$AC$1</f>
        <v>0</v>
      </c>
      <c r="AD104" s="20">
        <f>+MOP_Mes_Corriente!AD105*MOP_Mes_Constante!$AC$1</f>
        <v>0</v>
      </c>
      <c r="AE104" s="20">
        <f>+MOP_Mes_Corriente!AE105*MOP_Mes_Constante!$AC$1</f>
        <v>0</v>
      </c>
      <c r="AF104" s="20">
        <f>+MOP_Mes_Corriente!AF105*MOP_Mes_Constante!$AC$1</f>
        <v>0</v>
      </c>
      <c r="AG104" s="20">
        <f>+MOP_Mes_Corriente!AG105*MOP_Mes_Constante!$AC$1</f>
        <v>0</v>
      </c>
      <c r="AH104" s="20">
        <f>+MOP_Mes_Corriente!AH105*MOP_Mes_Constante!$AC$1</f>
        <v>0</v>
      </c>
      <c r="AI104" s="20">
        <f>+MOP_Mes_Corriente!AI105*MOP_Mes_Constante!$AC$1</f>
        <v>0</v>
      </c>
      <c r="AJ104" s="20">
        <f>+MOP_Mes_Corriente!AJ105*MOP_Mes_Constante!$AC$1</f>
        <v>0</v>
      </c>
      <c r="AK104" s="20">
        <f>+MOP_Mes_Corriente!AK105*MOP_Mes_Constante!$AC$1</f>
        <v>0</v>
      </c>
      <c r="AL104" s="20">
        <f>+MOP_Mes_Corriente!AL105*MOP_Mes_Constante!$AC$1</f>
        <v>0</v>
      </c>
      <c r="AM104" s="20">
        <f>+MOP_Mes_Corriente!AM105*MOP_Mes_Constante!$AC$1</f>
        <v>0</v>
      </c>
      <c r="AN104" s="20">
        <f>+MOP_Mes_Corriente!AN105*MOP_Mes_Constante!$AC$1</f>
        <v>0</v>
      </c>
      <c r="AO104" s="20">
        <f t="shared" si="135"/>
        <v>0</v>
      </c>
      <c r="AP104" s="20">
        <f>+MOP_Mes_Corriente!AP105*MOP_Mes_Constante!$AP$1</f>
        <v>0</v>
      </c>
      <c r="AQ104" s="20">
        <f>+MOP_Mes_Corriente!AQ105*MOP_Mes_Constante!$AP$1</f>
        <v>0</v>
      </c>
      <c r="AR104" s="20">
        <f>+MOP_Mes_Corriente!AR105*MOP_Mes_Constante!$AP$1</f>
        <v>0</v>
      </c>
      <c r="AS104" s="20">
        <f>+MOP_Mes_Corriente!AS105*MOP_Mes_Constante!$AP$1</f>
        <v>0</v>
      </c>
      <c r="AT104" s="20">
        <f>+MOP_Mes_Corriente!AT105*MOP_Mes_Constante!$AP$1</f>
        <v>0</v>
      </c>
      <c r="AU104" s="20">
        <f>+MOP_Mes_Corriente!AU105*MOP_Mes_Constante!$AP$1</f>
        <v>0</v>
      </c>
      <c r="AV104" s="20">
        <f>+MOP_Mes_Corriente!AV105*MOP_Mes_Constante!$AP$1</f>
        <v>0</v>
      </c>
      <c r="AW104" s="20">
        <f>+MOP_Mes_Corriente!AW105*MOP_Mes_Constante!$AP$1</f>
        <v>0</v>
      </c>
      <c r="AX104" s="20">
        <f>+MOP_Mes_Corriente!AX105*MOP_Mes_Constante!$AP$1</f>
        <v>0</v>
      </c>
      <c r="AY104" s="20">
        <f>+MOP_Mes_Corriente!AY105*MOP_Mes_Constante!$AP$1</f>
        <v>0</v>
      </c>
      <c r="AZ104" s="20">
        <f>+MOP_Mes_Corriente!AZ105*MOP_Mes_Constante!$AP$1</f>
        <v>0</v>
      </c>
      <c r="BA104" s="20">
        <f>+MOP_Mes_Corriente!BA105*MOP_Mes_Constante!$AP$1</f>
        <v>0</v>
      </c>
      <c r="BB104" s="20">
        <f t="shared" si="136"/>
        <v>0</v>
      </c>
      <c r="BC104" s="20">
        <f>+MOP_Mes_Corriente!BC105*MOP_Mes_Constante!$BC$1</f>
        <v>0</v>
      </c>
      <c r="BD104" s="20">
        <f>+MOP_Mes_Corriente!BD105*MOP_Mes_Constante!$BC$1</f>
        <v>0</v>
      </c>
      <c r="BE104" s="20">
        <f>+MOP_Mes_Corriente!BE105*MOP_Mes_Constante!$BC$1</f>
        <v>0</v>
      </c>
      <c r="BF104" s="20">
        <f>+MOP_Mes_Corriente!BF105*MOP_Mes_Constante!$BC$1</f>
        <v>0</v>
      </c>
      <c r="BG104" s="20">
        <f>+MOP_Mes_Corriente!BG105*MOP_Mes_Constante!$BC$1</f>
        <v>0</v>
      </c>
      <c r="BH104" s="20">
        <f>+MOP_Mes_Corriente!BH105*MOP_Mes_Constante!$BC$1</f>
        <v>0</v>
      </c>
      <c r="BI104" s="20">
        <f>+MOP_Mes_Corriente!BI105*MOP_Mes_Constante!$BC$1</f>
        <v>0</v>
      </c>
      <c r="BJ104" s="20">
        <f>+MOP_Mes_Corriente!BJ105*MOP_Mes_Constante!$BC$1</f>
        <v>0</v>
      </c>
      <c r="BK104" s="20">
        <f>+MOP_Mes_Corriente!BK105*MOP_Mes_Constante!$BC$1</f>
        <v>0</v>
      </c>
      <c r="BL104" s="20">
        <f>+MOP_Mes_Corriente!BL105*MOP_Mes_Constante!$BC$1</f>
        <v>0</v>
      </c>
      <c r="BM104" s="20">
        <f>+MOP_Mes_Corriente!BM105*MOP_Mes_Constante!$BC$1</f>
        <v>0</v>
      </c>
      <c r="BN104" s="20">
        <f>+MOP_Mes_Corriente!BN105*MOP_Mes_Constante!$BC$1</f>
        <v>0</v>
      </c>
      <c r="BO104" s="20">
        <f t="shared" si="137"/>
        <v>0</v>
      </c>
      <c r="BP104" s="20">
        <f>+MOP_Mes_Corriente!BP105*MOP_Mes_Constante!$BP$1</f>
        <v>0</v>
      </c>
      <c r="BQ104" s="20">
        <f>+MOP_Mes_Corriente!BQ105*MOP_Mes_Constante!$BP$1</f>
        <v>0</v>
      </c>
      <c r="BR104" s="20">
        <f>+MOP_Mes_Corriente!BR105*MOP_Mes_Constante!$BP$1</f>
        <v>0</v>
      </c>
      <c r="BS104" s="20">
        <f>+MOP_Mes_Corriente!BS105*MOP_Mes_Constante!$BP$1</f>
        <v>0</v>
      </c>
      <c r="BT104" s="20">
        <f>+MOP_Mes_Corriente!BT105*MOP_Mes_Constante!$BP$1</f>
        <v>0</v>
      </c>
      <c r="BU104" s="20">
        <f>+MOP_Mes_Corriente!BU105*MOP_Mes_Constante!$BP$1</f>
        <v>0</v>
      </c>
      <c r="BV104" s="20">
        <f>+MOP_Mes_Corriente!BV105*MOP_Mes_Constante!$BP$1</f>
        <v>0</v>
      </c>
      <c r="BW104" s="20">
        <f>+MOP_Mes_Corriente!BW105*MOP_Mes_Constante!$BP$1</f>
        <v>0</v>
      </c>
      <c r="BX104" s="20">
        <f>+MOP_Mes_Corriente!BX105*MOP_Mes_Constante!$BP$1</f>
        <v>0</v>
      </c>
      <c r="BY104" s="20">
        <f>+MOP_Mes_Corriente!BY105*MOP_Mes_Constante!$BP$1</f>
        <v>0</v>
      </c>
      <c r="BZ104" s="20">
        <f>+MOP_Mes_Corriente!BZ105*MOP_Mes_Constante!$BP$1</f>
        <v>0</v>
      </c>
      <c r="CA104" s="20">
        <f>+MOP_Mes_Corriente!CA105*MOP_Mes_Constante!$BP$1</f>
        <v>0</v>
      </c>
      <c r="CB104" s="20">
        <f t="shared" si="138"/>
        <v>0</v>
      </c>
      <c r="CC104" s="20">
        <f>+MOP_Mes_Corriente!CC105*MOP_Mes_Constante!$CC$1</f>
        <v>0</v>
      </c>
      <c r="CD104" s="20">
        <f>+MOP_Mes_Corriente!CD105*MOP_Mes_Constante!$CC$1</f>
        <v>0</v>
      </c>
      <c r="CE104" s="20">
        <f>+MOP_Mes_Corriente!CE105*MOP_Mes_Constante!$CC$1</f>
        <v>0</v>
      </c>
      <c r="CF104" s="20">
        <f>+MOP_Mes_Corriente!CF105*MOP_Mes_Constante!$CC$1</f>
        <v>0</v>
      </c>
      <c r="CG104" s="20">
        <f>+MOP_Mes_Corriente!CG105*MOP_Mes_Constante!$CC$1</f>
        <v>0</v>
      </c>
      <c r="CH104" s="20">
        <f>+MOP_Mes_Corriente!CH105*MOP_Mes_Constante!$CC$1</f>
        <v>0</v>
      </c>
      <c r="CI104" s="20">
        <f>+MOP_Mes_Corriente!CI105*MOP_Mes_Constante!$CC$1</f>
        <v>0</v>
      </c>
      <c r="CJ104" s="20">
        <f>+MOP_Mes_Corriente!CJ105*MOP_Mes_Constante!$CC$1</f>
        <v>0</v>
      </c>
      <c r="CK104" s="20">
        <f>+MOP_Mes_Corriente!CK105*MOP_Mes_Constante!$CC$1</f>
        <v>0</v>
      </c>
      <c r="CL104" s="20">
        <f>+MOP_Mes_Corriente!CL105*MOP_Mes_Constante!$CC$1</f>
        <v>0</v>
      </c>
      <c r="CM104" s="20">
        <f>+MOP_Mes_Corriente!CM105*MOP_Mes_Constante!$CC$1</f>
        <v>0</v>
      </c>
      <c r="CN104" s="20">
        <f>+MOP_Mes_Corriente!CN105*MOP_Mes_Constante!$CC$1</f>
        <v>0</v>
      </c>
      <c r="CO104" s="20">
        <f t="shared" si="139"/>
        <v>0</v>
      </c>
      <c r="CP104" s="20">
        <f>+MOP_Mes_Corriente!CP105*MOP_Mes_Constante!$CP$1</f>
        <v>0</v>
      </c>
      <c r="CQ104" s="20">
        <f>+MOP_Mes_Corriente!CQ105*MOP_Mes_Constante!$CP$1</f>
        <v>0</v>
      </c>
      <c r="CR104" s="20">
        <f>+MOP_Mes_Corriente!CR105*MOP_Mes_Constante!$CP$1</f>
        <v>0</v>
      </c>
      <c r="CS104" s="20">
        <f>+MOP_Mes_Corriente!CS105*MOP_Mes_Constante!$CP$1</f>
        <v>0</v>
      </c>
      <c r="CT104" s="20">
        <f>+MOP_Mes_Corriente!CT105*MOP_Mes_Constante!$CP$1</f>
        <v>0</v>
      </c>
      <c r="CU104" s="20">
        <f>+MOP_Mes_Corriente!CU105*MOP_Mes_Constante!$CP$1</f>
        <v>0</v>
      </c>
      <c r="CV104" s="20">
        <f>+MOP_Mes_Corriente!CV105*MOP_Mes_Constante!$CP$1</f>
        <v>0</v>
      </c>
      <c r="CW104" s="20">
        <f>+MOP_Mes_Corriente!CW105*MOP_Mes_Constante!$CP$1</f>
        <v>0</v>
      </c>
      <c r="CX104" s="20">
        <f>+MOP_Mes_Corriente!CX105*MOP_Mes_Constante!$CP$1</f>
        <v>0</v>
      </c>
      <c r="CY104" s="20">
        <f>+MOP_Mes_Corriente!CY105*MOP_Mes_Constante!$CP$1</f>
        <v>0</v>
      </c>
      <c r="CZ104" s="20">
        <f>+MOP_Mes_Corriente!CZ105*MOP_Mes_Constante!$CP$1</f>
        <v>0</v>
      </c>
      <c r="DA104" s="20">
        <f>+MOP_Mes_Corriente!DA105*MOP_Mes_Constante!$CP$1</f>
        <v>0</v>
      </c>
      <c r="DB104" s="20">
        <f t="shared" si="140"/>
        <v>0</v>
      </c>
      <c r="DC104" s="20">
        <f>+MOP_Mes_Corriente!DC105*MOP_Mes_Constante!$DC$1</f>
        <v>0</v>
      </c>
      <c r="DD104" s="20">
        <f>+MOP_Mes_Corriente!DD105*MOP_Mes_Constante!$DC$1</f>
        <v>0</v>
      </c>
      <c r="DE104" s="20">
        <f>+MOP_Mes_Corriente!DE105*MOP_Mes_Constante!$DC$1</f>
        <v>0</v>
      </c>
      <c r="DF104" s="20">
        <f>+MOP_Mes_Corriente!DF105*MOP_Mes_Constante!$DC$1</f>
        <v>0</v>
      </c>
      <c r="DG104" s="20">
        <f>+MOP_Mes_Corriente!DG105*MOP_Mes_Constante!$DC$1</f>
        <v>0</v>
      </c>
      <c r="DH104" s="20">
        <f>+MOP_Mes_Corriente!DH105*MOP_Mes_Constante!$DC$1</f>
        <v>0</v>
      </c>
      <c r="DI104" s="20">
        <f>+MOP_Mes_Corriente!DI105*MOP_Mes_Constante!$DC$1</f>
        <v>0</v>
      </c>
      <c r="DJ104" s="20">
        <f>+MOP_Mes_Corriente!DJ105*MOP_Mes_Constante!$DC$1</f>
        <v>0</v>
      </c>
      <c r="DK104" s="20">
        <f>+MOP_Mes_Corriente!DK105*MOP_Mes_Constante!$DC$1</f>
        <v>0</v>
      </c>
      <c r="DL104" s="20">
        <f>+MOP_Mes_Corriente!DL105*MOP_Mes_Constante!$DC$1</f>
        <v>0</v>
      </c>
      <c r="DM104" s="20">
        <f>+MOP_Mes_Corriente!DM105*MOP_Mes_Constante!$DC$1</f>
        <v>0</v>
      </c>
      <c r="DN104" s="20">
        <f>+MOP_Mes_Corriente!DN105*MOP_Mes_Constante!$DC$1</f>
        <v>0</v>
      </c>
      <c r="DO104" s="20">
        <f t="shared" si="141"/>
        <v>0</v>
      </c>
      <c r="DP104" s="20">
        <f>+MOP_Mes_Corriente!DP105*MOP_Mes_Constante!$DP$1</f>
        <v>0</v>
      </c>
      <c r="DQ104" s="20">
        <f>+MOP_Mes_Corriente!DQ105*MOP_Mes_Constante!$DP$1</f>
        <v>0</v>
      </c>
      <c r="DR104" s="20">
        <f>+MOP_Mes_Corriente!DR105*MOP_Mes_Constante!$DP$1</f>
        <v>0</v>
      </c>
      <c r="DS104" s="20">
        <f>+MOP_Mes_Corriente!DS105*MOP_Mes_Constante!$DP$1</f>
        <v>0</v>
      </c>
      <c r="DT104" s="20">
        <f>+MOP_Mes_Corriente!DT105*MOP_Mes_Constante!$DP$1</f>
        <v>0</v>
      </c>
      <c r="DU104" s="20">
        <f>+MOP_Mes_Corriente!DU105*MOP_Mes_Constante!$DP$1</f>
        <v>0</v>
      </c>
      <c r="DV104" s="20">
        <f>+MOP_Mes_Corriente!DV105*MOP_Mes_Constante!$DP$1</f>
        <v>0</v>
      </c>
      <c r="DW104" s="20">
        <f>+MOP_Mes_Corriente!DW105*MOP_Mes_Constante!$DP$1</f>
        <v>0</v>
      </c>
      <c r="DX104" s="20">
        <f>+MOP_Mes_Corriente!DX105*MOP_Mes_Constante!$DP$1</f>
        <v>0</v>
      </c>
      <c r="DY104" s="20">
        <f>+MOP_Mes_Corriente!DY105*MOP_Mes_Constante!$DP$1</f>
        <v>0</v>
      </c>
      <c r="DZ104" s="20">
        <f>+MOP_Mes_Corriente!DZ105*MOP_Mes_Constante!$DP$1</f>
        <v>0</v>
      </c>
      <c r="EA104" s="20">
        <f>+MOP_Mes_Corriente!EA105*MOP_Mes_Constante!$DP$1</f>
        <v>0</v>
      </c>
      <c r="EB104" s="20">
        <f t="shared" si="142"/>
        <v>0</v>
      </c>
      <c r="EC104" s="20">
        <f>+MOP_Mes_Corriente!EC105*MOP_Mes_Constante!$EC$1</f>
        <v>0</v>
      </c>
      <c r="ED104" s="20">
        <f>+MOP_Mes_Corriente!ED105*MOP_Mes_Constante!$EC$1</f>
        <v>0</v>
      </c>
      <c r="EE104" s="20">
        <f>+MOP_Mes_Corriente!EE105*MOP_Mes_Constante!$EC$1</f>
        <v>0</v>
      </c>
      <c r="EF104" s="20">
        <f>+MOP_Mes_Corriente!EF105*MOP_Mes_Constante!$EC$1</f>
        <v>0</v>
      </c>
      <c r="EG104" s="20">
        <f>+MOP_Mes_Corriente!EG105*MOP_Mes_Constante!$EC$1</f>
        <v>0</v>
      </c>
      <c r="EH104" s="20">
        <f>+MOP_Mes_Corriente!EH105*MOP_Mes_Constante!$EC$1</f>
        <v>0</v>
      </c>
      <c r="EI104" s="20">
        <f>+MOP_Mes_Corriente!EI105*MOP_Mes_Constante!$EC$1</f>
        <v>0</v>
      </c>
      <c r="EJ104" s="20">
        <f>+MOP_Mes_Corriente!EJ105*MOP_Mes_Constante!$EC$1</f>
        <v>0</v>
      </c>
      <c r="EK104" s="20">
        <f>+MOP_Mes_Corriente!EK105*MOP_Mes_Constante!$EC$1</f>
        <v>0</v>
      </c>
      <c r="EL104" s="20">
        <f>+MOP_Mes_Corriente!EL105*MOP_Mes_Constante!$EC$1</f>
        <v>0</v>
      </c>
      <c r="EM104" s="20">
        <f>+MOP_Mes_Corriente!EM105*MOP_Mes_Constante!$EC$1</f>
        <v>0</v>
      </c>
      <c r="EN104" s="20">
        <f>+MOP_Mes_Corriente!EN105*MOP_Mes_Constante!$EC$1</f>
        <v>0</v>
      </c>
      <c r="EO104" s="20">
        <f t="shared" si="143"/>
        <v>0</v>
      </c>
      <c r="EP104" s="20">
        <f>+MOP_Mes_Corriente!EP105*MOP_Mes_Constante!$EP$1</f>
        <v>0</v>
      </c>
      <c r="EQ104" s="20">
        <f>+MOP_Mes_Corriente!EQ105*MOP_Mes_Constante!$EP$1</f>
        <v>0</v>
      </c>
      <c r="ER104" s="20">
        <f>+MOP_Mes_Corriente!ER105*MOP_Mes_Constante!$EP$1</f>
        <v>0</v>
      </c>
      <c r="ES104" s="20">
        <f>+MOP_Mes_Corriente!ES105*MOP_Mes_Constante!$EP$1</f>
        <v>0</v>
      </c>
      <c r="ET104" s="20">
        <f>+MOP_Mes_Corriente!ET105*MOP_Mes_Constante!$EP$1</f>
        <v>0</v>
      </c>
      <c r="EU104" s="20">
        <f>+MOP_Mes_Corriente!EU105*MOP_Mes_Constante!$EP$1</f>
        <v>0</v>
      </c>
      <c r="EV104" s="20">
        <f>+MOP_Mes_Corriente!EV105*MOP_Mes_Constante!$EP$1</f>
        <v>0</v>
      </c>
      <c r="EW104" s="20">
        <f>+MOP_Mes_Corriente!EW105*MOP_Mes_Constante!$EP$1</f>
        <v>0</v>
      </c>
      <c r="EX104" s="20">
        <f>+MOP_Mes_Corriente!EX105*MOP_Mes_Constante!$EP$1</f>
        <v>0</v>
      </c>
      <c r="EY104" s="20">
        <f>+MOP_Mes_Corriente!EY105*MOP_Mes_Constante!$EP$1</f>
        <v>0</v>
      </c>
      <c r="EZ104" s="20">
        <f>+MOP_Mes_Corriente!EZ105*MOP_Mes_Constante!$EP$1</f>
        <v>0</v>
      </c>
      <c r="FA104" s="20">
        <f>+MOP_Mes_Corriente!FA105*MOP_Mes_Constante!$EP$1</f>
        <v>0</v>
      </c>
      <c r="FB104" s="20">
        <f t="shared" si="144"/>
        <v>0</v>
      </c>
      <c r="FC104" s="20">
        <f>+MOP_Mes_Corriente!FC105*MOP_Mes_Constante!$FC$1</f>
        <v>0</v>
      </c>
      <c r="FD104" s="20">
        <f>+MOP_Mes_Corriente!FD105*MOP_Mes_Constante!$FC$1</f>
        <v>0</v>
      </c>
      <c r="FE104" s="20">
        <f>+MOP_Mes_Corriente!FE105*MOP_Mes_Constante!$FC$1</f>
        <v>0</v>
      </c>
      <c r="FF104" s="20">
        <f>+MOP_Mes_Corriente!FF105*MOP_Mes_Constante!$FC$1</f>
        <v>0</v>
      </c>
      <c r="FG104" s="20">
        <f>+MOP_Mes_Corriente!FG105*MOP_Mes_Constante!$FC$1</f>
        <v>0</v>
      </c>
      <c r="FH104" s="20">
        <f>+MOP_Mes_Corriente!FH105*MOP_Mes_Constante!$FC$1</f>
        <v>0</v>
      </c>
      <c r="FI104" s="20">
        <f>+MOP_Mes_Corriente!FI105*MOP_Mes_Constante!$FC$1</f>
        <v>0</v>
      </c>
      <c r="FJ104" s="10"/>
      <c r="FK104" s="10"/>
      <c r="FL104" s="10"/>
      <c r="FM104" s="10"/>
      <c r="FN104" s="10"/>
      <c r="FO104" s="20">
        <f t="shared" si="145"/>
        <v>0</v>
      </c>
    </row>
    <row r="105" spans="1:171" ht="21.75" customHeight="1">
      <c r="A105" s="10"/>
      <c r="B105" s="15" t="s">
        <v>49</v>
      </c>
      <c r="C105" s="38">
        <f t="shared" ref="C105:AH105" si="146">SUM(C99:C104)</f>
        <v>0</v>
      </c>
      <c r="D105" s="38">
        <f t="shared" si="146"/>
        <v>0</v>
      </c>
      <c r="E105" s="38">
        <f t="shared" si="146"/>
        <v>0</v>
      </c>
      <c r="F105" s="38">
        <f t="shared" si="146"/>
        <v>0</v>
      </c>
      <c r="G105" s="38">
        <f t="shared" si="146"/>
        <v>0</v>
      </c>
      <c r="H105" s="38">
        <f t="shared" si="146"/>
        <v>0</v>
      </c>
      <c r="I105" s="38">
        <f t="shared" si="146"/>
        <v>0</v>
      </c>
      <c r="J105" s="38">
        <f t="shared" si="146"/>
        <v>0</v>
      </c>
      <c r="K105" s="38">
        <f t="shared" si="146"/>
        <v>0</v>
      </c>
      <c r="L105" s="38">
        <f t="shared" si="146"/>
        <v>0</v>
      </c>
      <c r="M105" s="38">
        <f t="shared" si="146"/>
        <v>0</v>
      </c>
      <c r="N105" s="38">
        <f t="shared" si="146"/>
        <v>0</v>
      </c>
      <c r="O105" s="38">
        <f t="shared" si="146"/>
        <v>0</v>
      </c>
      <c r="P105" s="38">
        <f t="shared" si="146"/>
        <v>0</v>
      </c>
      <c r="Q105" s="38">
        <f t="shared" si="146"/>
        <v>0</v>
      </c>
      <c r="R105" s="38">
        <f t="shared" si="146"/>
        <v>0</v>
      </c>
      <c r="S105" s="38">
        <f t="shared" si="146"/>
        <v>0</v>
      </c>
      <c r="T105" s="38">
        <f t="shared" si="146"/>
        <v>0</v>
      </c>
      <c r="U105" s="38">
        <f t="shared" si="146"/>
        <v>0</v>
      </c>
      <c r="V105" s="38">
        <f t="shared" si="146"/>
        <v>0</v>
      </c>
      <c r="W105" s="38">
        <f t="shared" si="146"/>
        <v>0</v>
      </c>
      <c r="X105" s="38">
        <f t="shared" si="146"/>
        <v>0</v>
      </c>
      <c r="Y105" s="38">
        <f t="shared" si="146"/>
        <v>0</v>
      </c>
      <c r="Z105" s="38">
        <f t="shared" si="146"/>
        <v>0</v>
      </c>
      <c r="AA105" s="38">
        <f t="shared" si="146"/>
        <v>0</v>
      </c>
      <c r="AB105" s="38">
        <f t="shared" si="146"/>
        <v>0</v>
      </c>
      <c r="AC105" s="38">
        <f t="shared" si="146"/>
        <v>0</v>
      </c>
      <c r="AD105" s="38">
        <f t="shared" si="146"/>
        <v>0</v>
      </c>
      <c r="AE105" s="38">
        <f t="shared" si="146"/>
        <v>0</v>
      </c>
      <c r="AF105" s="38">
        <f t="shared" si="146"/>
        <v>0</v>
      </c>
      <c r="AG105" s="38">
        <f t="shared" si="146"/>
        <v>0</v>
      </c>
      <c r="AH105" s="38">
        <f t="shared" si="146"/>
        <v>0</v>
      </c>
      <c r="AI105" s="38">
        <f t="shared" ref="AI105:BN105" si="147">SUM(AI99:AI104)</f>
        <v>0</v>
      </c>
      <c r="AJ105" s="38">
        <f t="shared" si="147"/>
        <v>0</v>
      </c>
      <c r="AK105" s="38">
        <f t="shared" si="147"/>
        <v>0</v>
      </c>
      <c r="AL105" s="38">
        <f t="shared" si="147"/>
        <v>0</v>
      </c>
      <c r="AM105" s="38">
        <f t="shared" si="147"/>
        <v>0</v>
      </c>
      <c r="AN105" s="38">
        <f t="shared" si="147"/>
        <v>0</v>
      </c>
      <c r="AO105" s="38">
        <f t="shared" si="147"/>
        <v>0</v>
      </c>
      <c r="AP105" s="38">
        <f t="shared" si="147"/>
        <v>0</v>
      </c>
      <c r="AQ105" s="38">
        <f t="shared" si="147"/>
        <v>0</v>
      </c>
      <c r="AR105" s="38">
        <f t="shared" si="147"/>
        <v>0</v>
      </c>
      <c r="AS105" s="38">
        <f t="shared" si="147"/>
        <v>0</v>
      </c>
      <c r="AT105" s="38">
        <f t="shared" si="147"/>
        <v>0</v>
      </c>
      <c r="AU105" s="38">
        <f t="shared" si="147"/>
        <v>0</v>
      </c>
      <c r="AV105" s="38">
        <f t="shared" si="147"/>
        <v>0</v>
      </c>
      <c r="AW105" s="38">
        <f t="shared" si="147"/>
        <v>0</v>
      </c>
      <c r="AX105" s="38">
        <f t="shared" si="147"/>
        <v>0</v>
      </c>
      <c r="AY105" s="38">
        <f t="shared" si="147"/>
        <v>0</v>
      </c>
      <c r="AZ105" s="38">
        <f t="shared" si="147"/>
        <v>0</v>
      </c>
      <c r="BA105" s="38">
        <f t="shared" si="147"/>
        <v>0</v>
      </c>
      <c r="BB105" s="38">
        <f t="shared" si="147"/>
        <v>0</v>
      </c>
      <c r="BC105" s="38">
        <f t="shared" si="147"/>
        <v>0</v>
      </c>
      <c r="BD105" s="38">
        <f t="shared" si="147"/>
        <v>0</v>
      </c>
      <c r="BE105" s="38">
        <f t="shared" si="147"/>
        <v>0</v>
      </c>
      <c r="BF105" s="38">
        <f t="shared" si="147"/>
        <v>0</v>
      </c>
      <c r="BG105" s="38">
        <f t="shared" si="147"/>
        <v>0</v>
      </c>
      <c r="BH105" s="38">
        <f t="shared" si="147"/>
        <v>0</v>
      </c>
      <c r="BI105" s="38">
        <f t="shared" si="147"/>
        <v>0</v>
      </c>
      <c r="BJ105" s="38">
        <f t="shared" si="147"/>
        <v>0</v>
      </c>
      <c r="BK105" s="38">
        <f t="shared" si="147"/>
        <v>0</v>
      </c>
      <c r="BL105" s="38">
        <f t="shared" si="147"/>
        <v>0</v>
      </c>
      <c r="BM105" s="38">
        <f t="shared" si="147"/>
        <v>0</v>
      </c>
      <c r="BN105" s="38">
        <f t="shared" si="147"/>
        <v>0</v>
      </c>
      <c r="BO105" s="38">
        <f t="shared" ref="BO105:CT105" si="148">SUM(BO99:BO104)</f>
        <v>0</v>
      </c>
      <c r="BP105" s="38">
        <f t="shared" si="148"/>
        <v>0</v>
      </c>
      <c r="BQ105" s="38">
        <f t="shared" si="148"/>
        <v>0</v>
      </c>
      <c r="BR105" s="38">
        <f t="shared" si="148"/>
        <v>0</v>
      </c>
      <c r="BS105" s="38">
        <f t="shared" si="148"/>
        <v>0</v>
      </c>
      <c r="BT105" s="38">
        <f t="shared" si="148"/>
        <v>0</v>
      </c>
      <c r="BU105" s="38">
        <f t="shared" si="148"/>
        <v>0</v>
      </c>
      <c r="BV105" s="38">
        <f t="shared" si="148"/>
        <v>0</v>
      </c>
      <c r="BW105" s="38">
        <f t="shared" si="148"/>
        <v>0</v>
      </c>
      <c r="BX105" s="38">
        <f t="shared" si="148"/>
        <v>0</v>
      </c>
      <c r="BY105" s="38">
        <f t="shared" si="148"/>
        <v>0</v>
      </c>
      <c r="BZ105" s="38">
        <f t="shared" si="148"/>
        <v>0</v>
      </c>
      <c r="CA105" s="38">
        <f t="shared" si="148"/>
        <v>0</v>
      </c>
      <c r="CB105" s="38">
        <f t="shared" si="148"/>
        <v>0</v>
      </c>
      <c r="CC105" s="38">
        <f t="shared" si="148"/>
        <v>0</v>
      </c>
      <c r="CD105" s="38">
        <f t="shared" si="148"/>
        <v>0</v>
      </c>
      <c r="CE105" s="38">
        <f t="shared" si="148"/>
        <v>0</v>
      </c>
      <c r="CF105" s="38">
        <f t="shared" si="148"/>
        <v>0</v>
      </c>
      <c r="CG105" s="38">
        <f t="shared" si="148"/>
        <v>0</v>
      </c>
      <c r="CH105" s="38">
        <f t="shared" si="148"/>
        <v>0</v>
      </c>
      <c r="CI105" s="38">
        <f t="shared" si="148"/>
        <v>0</v>
      </c>
      <c r="CJ105" s="38">
        <f t="shared" si="148"/>
        <v>0</v>
      </c>
      <c r="CK105" s="38">
        <f t="shared" si="148"/>
        <v>0</v>
      </c>
      <c r="CL105" s="38">
        <f t="shared" si="148"/>
        <v>0</v>
      </c>
      <c r="CM105" s="38">
        <f t="shared" si="148"/>
        <v>0</v>
      </c>
      <c r="CN105" s="38">
        <f t="shared" si="148"/>
        <v>0</v>
      </c>
      <c r="CO105" s="38">
        <f t="shared" si="148"/>
        <v>0</v>
      </c>
      <c r="CP105" s="38">
        <f t="shared" si="148"/>
        <v>0</v>
      </c>
      <c r="CQ105" s="38">
        <f t="shared" si="148"/>
        <v>0</v>
      </c>
      <c r="CR105" s="38">
        <f t="shared" si="148"/>
        <v>0</v>
      </c>
      <c r="CS105" s="38">
        <f t="shared" si="148"/>
        <v>0</v>
      </c>
      <c r="CT105" s="38">
        <f t="shared" si="148"/>
        <v>0</v>
      </c>
      <c r="CU105" s="38">
        <f t="shared" ref="CU105:DZ105" si="149">SUM(CU99:CU104)</f>
        <v>0</v>
      </c>
      <c r="CV105" s="38">
        <f t="shared" si="149"/>
        <v>0</v>
      </c>
      <c r="CW105" s="38">
        <f t="shared" si="149"/>
        <v>0</v>
      </c>
      <c r="CX105" s="38">
        <f t="shared" si="149"/>
        <v>0</v>
      </c>
      <c r="CY105" s="38">
        <f t="shared" si="149"/>
        <v>0</v>
      </c>
      <c r="CZ105" s="38">
        <f t="shared" si="149"/>
        <v>0</v>
      </c>
      <c r="DA105" s="38">
        <f t="shared" si="149"/>
        <v>0</v>
      </c>
      <c r="DB105" s="38">
        <f t="shared" si="149"/>
        <v>0</v>
      </c>
      <c r="DC105" s="38">
        <f t="shared" si="149"/>
        <v>0</v>
      </c>
      <c r="DD105" s="38">
        <f t="shared" si="149"/>
        <v>0</v>
      </c>
      <c r="DE105" s="38">
        <f t="shared" si="149"/>
        <v>0</v>
      </c>
      <c r="DF105" s="38">
        <f t="shared" si="149"/>
        <v>0</v>
      </c>
      <c r="DG105" s="38">
        <f t="shared" si="149"/>
        <v>0</v>
      </c>
      <c r="DH105" s="38">
        <f t="shared" si="149"/>
        <v>0</v>
      </c>
      <c r="DI105" s="38">
        <f t="shared" si="149"/>
        <v>0</v>
      </c>
      <c r="DJ105" s="38">
        <f t="shared" si="149"/>
        <v>0</v>
      </c>
      <c r="DK105" s="38">
        <f t="shared" si="149"/>
        <v>0</v>
      </c>
      <c r="DL105" s="38">
        <f t="shared" si="149"/>
        <v>0</v>
      </c>
      <c r="DM105" s="38">
        <f t="shared" si="149"/>
        <v>0</v>
      </c>
      <c r="DN105" s="38">
        <f t="shared" si="149"/>
        <v>0</v>
      </c>
      <c r="DO105" s="38">
        <f t="shared" si="149"/>
        <v>0</v>
      </c>
      <c r="DP105" s="38">
        <f t="shared" si="149"/>
        <v>19332198.819477435</v>
      </c>
      <c r="DQ105" s="38">
        <f t="shared" si="149"/>
        <v>19332198.819477435</v>
      </c>
      <c r="DR105" s="38">
        <f t="shared" si="149"/>
        <v>19332198.819477435</v>
      </c>
      <c r="DS105" s="38">
        <f t="shared" si="149"/>
        <v>19332198.819477435</v>
      </c>
      <c r="DT105" s="38">
        <f t="shared" si="149"/>
        <v>19332198.819477435</v>
      </c>
      <c r="DU105" s="38">
        <f t="shared" si="149"/>
        <v>19332198.819477435</v>
      </c>
      <c r="DV105" s="38">
        <f t="shared" si="149"/>
        <v>19332198.819477435</v>
      </c>
      <c r="DW105" s="38">
        <f t="shared" si="149"/>
        <v>19218387.400831357</v>
      </c>
      <c r="DX105" s="38">
        <f t="shared" si="149"/>
        <v>19218387.400831357</v>
      </c>
      <c r="DY105" s="38">
        <f t="shared" si="149"/>
        <v>19218387.400831357</v>
      </c>
      <c r="DZ105" s="38">
        <f t="shared" si="149"/>
        <v>10947111.272565322</v>
      </c>
      <c r="EA105" s="38">
        <f t="shared" ref="EA105:FF105" si="150">SUM(EA99:EA104)</f>
        <v>10947111.272565322</v>
      </c>
      <c r="EB105" s="38">
        <f t="shared" si="150"/>
        <v>10947111.272565322</v>
      </c>
      <c r="EC105" s="38">
        <f t="shared" si="150"/>
        <v>0</v>
      </c>
      <c r="ED105" s="38">
        <f t="shared" si="150"/>
        <v>0</v>
      </c>
      <c r="EE105" s="38">
        <f t="shared" si="150"/>
        <v>0</v>
      </c>
      <c r="EF105" s="38">
        <f t="shared" si="150"/>
        <v>0</v>
      </c>
      <c r="EG105" s="38">
        <f t="shared" si="150"/>
        <v>0</v>
      </c>
      <c r="EH105" s="38">
        <f t="shared" si="150"/>
        <v>0</v>
      </c>
      <c r="EI105" s="38">
        <f t="shared" si="150"/>
        <v>0</v>
      </c>
      <c r="EJ105" s="38">
        <f t="shared" si="150"/>
        <v>0</v>
      </c>
      <c r="EK105" s="38">
        <f t="shared" si="150"/>
        <v>0</v>
      </c>
      <c r="EL105" s="38">
        <f t="shared" si="150"/>
        <v>0</v>
      </c>
      <c r="EM105" s="38">
        <f t="shared" si="150"/>
        <v>0</v>
      </c>
      <c r="EN105" s="38">
        <f t="shared" si="150"/>
        <v>0</v>
      </c>
      <c r="EO105" s="38">
        <f t="shared" si="150"/>
        <v>0</v>
      </c>
      <c r="EP105" s="38">
        <f t="shared" si="150"/>
        <v>0</v>
      </c>
      <c r="EQ105" s="38">
        <f t="shared" si="150"/>
        <v>0</v>
      </c>
      <c r="ER105" s="38">
        <f t="shared" si="150"/>
        <v>0</v>
      </c>
      <c r="ES105" s="38">
        <f t="shared" si="150"/>
        <v>0</v>
      </c>
      <c r="ET105" s="38">
        <f t="shared" si="150"/>
        <v>0</v>
      </c>
      <c r="EU105" s="38">
        <f t="shared" si="150"/>
        <v>0</v>
      </c>
      <c r="EV105" s="38">
        <f t="shared" si="150"/>
        <v>0</v>
      </c>
      <c r="EW105" s="38">
        <f t="shared" si="150"/>
        <v>0</v>
      </c>
      <c r="EX105" s="38">
        <f t="shared" si="150"/>
        <v>0</v>
      </c>
      <c r="EY105" s="38">
        <f t="shared" si="150"/>
        <v>0</v>
      </c>
      <c r="EZ105" s="38">
        <f t="shared" si="150"/>
        <v>0</v>
      </c>
      <c r="FA105" s="38">
        <f t="shared" si="150"/>
        <v>0</v>
      </c>
      <c r="FB105" s="38">
        <f t="shared" si="150"/>
        <v>0</v>
      </c>
      <c r="FC105" s="38">
        <f t="shared" si="150"/>
        <v>0</v>
      </c>
      <c r="FD105" s="38">
        <f t="shared" si="150"/>
        <v>0</v>
      </c>
      <c r="FE105" s="38">
        <f t="shared" si="150"/>
        <v>0</v>
      </c>
      <c r="FF105" s="38">
        <f t="shared" si="150"/>
        <v>0</v>
      </c>
      <c r="FG105" s="38">
        <f t="shared" ref="FG105:GL105" si="151">SUM(FG99:FG104)</f>
        <v>0</v>
      </c>
      <c r="FH105" s="38">
        <f t="shared" si="151"/>
        <v>0</v>
      </c>
      <c r="FI105" s="38">
        <f t="shared" si="151"/>
        <v>0</v>
      </c>
      <c r="FJ105" s="38">
        <f t="shared" si="151"/>
        <v>0</v>
      </c>
      <c r="FK105" s="38">
        <f t="shared" si="151"/>
        <v>0</v>
      </c>
      <c r="FL105" s="38">
        <f t="shared" si="151"/>
        <v>0</v>
      </c>
      <c r="FM105" s="38">
        <f t="shared" si="151"/>
        <v>0</v>
      </c>
      <c r="FN105" s="38">
        <f t="shared" si="151"/>
        <v>0</v>
      </c>
      <c r="FO105" s="38">
        <f t="shared" si="151"/>
        <v>0</v>
      </c>
    </row>
    <row r="106" spans="1:171" ht="14.25" customHeight="1">
      <c r="A106" s="10"/>
      <c r="B106" s="18" t="s">
        <v>63</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row>
    <row r="107" spans="1:171"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row>
    <row r="108" spans="1:171" ht="15.75" customHeight="1">
      <c r="A108" s="10"/>
      <c r="B108" s="104" t="s">
        <v>65</v>
      </c>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c r="BI108" s="105"/>
      <c r="BJ108" s="105"/>
      <c r="BK108" s="105"/>
      <c r="BL108" s="105"/>
      <c r="BM108" s="105"/>
      <c r="BN108" s="105"/>
      <c r="BO108" s="105"/>
      <c r="BP108" s="105"/>
      <c r="BQ108" s="105"/>
      <c r="BR108" s="105"/>
      <c r="BS108" s="105"/>
      <c r="BT108" s="105"/>
      <c r="BU108" s="105"/>
      <c r="BV108" s="105"/>
      <c r="BW108" s="105"/>
      <c r="BX108" s="105"/>
      <c r="BY108" s="105"/>
      <c r="BZ108" s="105"/>
      <c r="CA108" s="105"/>
      <c r="CB108" s="105"/>
      <c r="CC108" s="105"/>
      <c r="CD108" s="105"/>
      <c r="CE108" s="105"/>
      <c r="CF108" s="105"/>
      <c r="CG108" s="105"/>
      <c r="CH108" s="105"/>
      <c r="CI108" s="105"/>
      <c r="CJ108" s="105"/>
      <c r="CK108" s="105"/>
      <c r="CL108" s="105"/>
      <c r="CM108" s="105"/>
      <c r="CN108" s="105"/>
      <c r="CO108" s="105"/>
      <c r="CP108" s="105"/>
      <c r="CQ108" s="105"/>
      <c r="CR108" s="105"/>
      <c r="CS108" s="105"/>
      <c r="CT108" s="105"/>
      <c r="CU108" s="105"/>
      <c r="CV108" s="105"/>
      <c r="CW108" s="105"/>
      <c r="CX108" s="105"/>
      <c r="CY108" s="105"/>
      <c r="CZ108" s="105"/>
      <c r="DA108" s="105"/>
      <c r="DB108" s="105"/>
      <c r="DC108" s="105"/>
      <c r="DD108" s="105"/>
      <c r="DE108" s="105"/>
      <c r="DF108" s="105"/>
      <c r="DG108" s="105"/>
      <c r="DH108" s="105"/>
      <c r="DI108" s="105"/>
      <c r="DJ108" s="105"/>
      <c r="DK108" s="105"/>
      <c r="DL108" s="105"/>
      <c r="DM108" s="105"/>
      <c r="DN108" s="105"/>
      <c r="DO108" s="105"/>
      <c r="DP108" s="105"/>
      <c r="DQ108" s="105"/>
      <c r="DR108" s="105"/>
      <c r="DS108" s="105"/>
      <c r="DT108" s="105"/>
      <c r="DU108" s="105"/>
      <c r="DV108" s="105"/>
      <c r="DW108" s="105"/>
      <c r="DX108" s="105"/>
      <c r="DY108" s="105"/>
      <c r="DZ108" s="105"/>
      <c r="EA108" s="105"/>
      <c r="EB108" s="105"/>
      <c r="EC108" s="105"/>
      <c r="ED108" s="105"/>
      <c r="EE108" s="105"/>
      <c r="EF108" s="105"/>
      <c r="EG108" s="105"/>
      <c r="EH108" s="105"/>
      <c r="EI108" s="105"/>
      <c r="EJ108" s="105"/>
      <c r="EK108" s="105"/>
      <c r="EL108" s="105"/>
      <c r="EM108" s="105"/>
      <c r="EN108" s="105"/>
      <c r="EO108" s="105"/>
      <c r="EP108" s="105"/>
      <c r="EQ108" s="105"/>
      <c r="ER108" s="105"/>
      <c r="ES108" s="105"/>
      <c r="ET108" s="105"/>
      <c r="EU108" s="105"/>
      <c r="EV108" s="105"/>
      <c r="EW108" s="105"/>
      <c r="EX108" s="105"/>
      <c r="EY108" s="105"/>
      <c r="EZ108" s="105"/>
      <c r="FA108" s="105"/>
      <c r="FB108" s="105"/>
      <c r="FC108" s="105"/>
      <c r="FD108" s="105"/>
      <c r="FE108" s="105"/>
      <c r="FF108" s="105"/>
      <c r="FG108" s="105"/>
      <c r="FH108" s="105"/>
      <c r="FI108" s="105"/>
      <c r="FJ108" s="105"/>
      <c r="FK108" s="105"/>
      <c r="FL108" s="105"/>
      <c r="FM108" s="105"/>
      <c r="FN108" s="105"/>
      <c r="FO108" s="105"/>
    </row>
    <row r="109" spans="1:171" ht="21.75" customHeight="1">
      <c r="A109" s="10"/>
      <c r="B109" s="14"/>
      <c r="C109" s="102" t="s">
        <v>4</v>
      </c>
      <c r="D109" s="103"/>
      <c r="E109" s="103"/>
      <c r="F109" s="103"/>
      <c r="G109" s="103"/>
      <c r="H109" s="103"/>
      <c r="I109" s="103"/>
      <c r="J109" s="103"/>
      <c r="K109" s="103"/>
      <c r="L109" s="103"/>
      <c r="M109" s="103"/>
      <c r="N109" s="103"/>
      <c r="O109" s="103"/>
      <c r="P109" s="102" t="s">
        <v>5</v>
      </c>
      <c r="Q109" s="103"/>
      <c r="R109" s="103"/>
      <c r="S109" s="103"/>
      <c r="T109" s="103"/>
      <c r="U109" s="103"/>
      <c r="V109" s="103"/>
      <c r="W109" s="103"/>
      <c r="X109" s="103"/>
      <c r="Y109" s="103"/>
      <c r="Z109" s="103"/>
      <c r="AA109" s="103"/>
      <c r="AB109" s="103"/>
      <c r="AC109" s="102" t="s">
        <v>6</v>
      </c>
      <c r="AD109" s="103"/>
      <c r="AE109" s="103"/>
      <c r="AF109" s="103"/>
      <c r="AG109" s="103"/>
      <c r="AH109" s="103"/>
      <c r="AI109" s="103"/>
      <c r="AJ109" s="103"/>
      <c r="AK109" s="103"/>
      <c r="AL109" s="103"/>
      <c r="AM109" s="103"/>
      <c r="AN109" s="103"/>
      <c r="AO109" s="103"/>
      <c r="AP109" s="102" t="s">
        <v>7</v>
      </c>
      <c r="AQ109" s="103"/>
      <c r="AR109" s="103"/>
      <c r="AS109" s="103"/>
      <c r="AT109" s="103"/>
      <c r="AU109" s="103"/>
      <c r="AV109" s="103"/>
      <c r="AW109" s="103"/>
      <c r="AX109" s="103"/>
      <c r="AY109" s="103"/>
      <c r="AZ109" s="103"/>
      <c r="BA109" s="103"/>
      <c r="BB109" s="103"/>
      <c r="BC109" s="102" t="s">
        <v>8</v>
      </c>
      <c r="BD109" s="103"/>
      <c r="BE109" s="103"/>
      <c r="BF109" s="103"/>
      <c r="BG109" s="103"/>
      <c r="BH109" s="103"/>
      <c r="BI109" s="103"/>
      <c r="BJ109" s="103"/>
      <c r="BK109" s="103"/>
      <c r="BL109" s="103"/>
      <c r="BM109" s="103"/>
      <c r="BN109" s="103"/>
      <c r="BO109" s="103"/>
      <c r="BP109" s="102" t="s">
        <v>9</v>
      </c>
      <c r="BQ109" s="103"/>
      <c r="BR109" s="103"/>
      <c r="BS109" s="103"/>
      <c r="BT109" s="103"/>
      <c r="BU109" s="103"/>
      <c r="BV109" s="103"/>
      <c r="BW109" s="103"/>
      <c r="BX109" s="103"/>
      <c r="BY109" s="103"/>
      <c r="BZ109" s="103"/>
      <c r="CA109" s="103"/>
      <c r="CB109" s="103"/>
      <c r="CC109" s="102" t="s">
        <v>10</v>
      </c>
      <c r="CD109" s="103"/>
      <c r="CE109" s="103"/>
      <c r="CF109" s="103"/>
      <c r="CG109" s="103"/>
      <c r="CH109" s="103"/>
      <c r="CI109" s="103"/>
      <c r="CJ109" s="103"/>
      <c r="CK109" s="103"/>
      <c r="CL109" s="103"/>
      <c r="CM109" s="103"/>
      <c r="CN109" s="103"/>
      <c r="CO109" s="103"/>
      <c r="CP109" s="102" t="s">
        <v>57</v>
      </c>
      <c r="CQ109" s="103"/>
      <c r="CR109" s="103"/>
      <c r="CS109" s="103"/>
      <c r="CT109" s="103"/>
      <c r="CU109" s="103"/>
      <c r="CV109" s="103"/>
      <c r="CW109" s="103"/>
      <c r="CX109" s="103"/>
      <c r="CY109" s="103"/>
      <c r="CZ109" s="103"/>
      <c r="DA109" s="103"/>
      <c r="DB109" s="103"/>
      <c r="DC109" s="102" t="s">
        <v>58</v>
      </c>
      <c r="DD109" s="103"/>
      <c r="DE109" s="103"/>
      <c r="DF109" s="103"/>
      <c r="DG109" s="103"/>
      <c r="DH109" s="103"/>
      <c r="DI109" s="103"/>
      <c r="DJ109" s="103"/>
      <c r="DK109" s="103"/>
      <c r="DL109" s="103"/>
      <c r="DM109" s="103"/>
      <c r="DN109" s="103"/>
      <c r="DO109" s="103"/>
      <c r="DP109" s="102" t="s">
        <v>13</v>
      </c>
      <c r="DQ109" s="103"/>
      <c r="DR109" s="103"/>
      <c r="DS109" s="103"/>
      <c r="DT109" s="103"/>
      <c r="DU109" s="103"/>
      <c r="DV109" s="103"/>
      <c r="DW109" s="103"/>
      <c r="DX109" s="103"/>
      <c r="DY109" s="103"/>
      <c r="DZ109" s="103"/>
      <c r="EA109" s="103"/>
      <c r="EB109" s="103"/>
      <c r="EC109" s="102" t="s">
        <v>14</v>
      </c>
      <c r="ED109" s="103"/>
      <c r="EE109" s="103"/>
      <c r="EF109" s="103"/>
      <c r="EG109" s="103"/>
      <c r="EH109" s="103"/>
      <c r="EI109" s="103"/>
      <c r="EJ109" s="103"/>
      <c r="EK109" s="103"/>
      <c r="EL109" s="103"/>
      <c r="EM109" s="103"/>
      <c r="EN109" s="103"/>
      <c r="EO109" s="103"/>
      <c r="EP109" s="102" t="s">
        <v>15</v>
      </c>
      <c r="EQ109" s="103"/>
      <c r="ER109" s="103"/>
      <c r="ES109" s="103"/>
      <c r="ET109" s="103"/>
      <c r="EU109" s="103"/>
      <c r="EV109" s="103"/>
      <c r="EW109" s="103"/>
      <c r="EX109" s="103"/>
      <c r="EY109" s="103"/>
      <c r="EZ109" s="103"/>
      <c r="FA109" s="103"/>
      <c r="FB109" s="103"/>
      <c r="FC109" s="102" t="s">
        <v>16</v>
      </c>
      <c r="FD109" s="103"/>
      <c r="FE109" s="103"/>
      <c r="FF109" s="103"/>
      <c r="FG109" s="103"/>
      <c r="FH109" s="103"/>
      <c r="FI109" s="103"/>
      <c r="FJ109" s="103"/>
      <c r="FK109" s="103"/>
      <c r="FL109" s="103"/>
      <c r="FM109" s="103"/>
      <c r="FN109" s="103"/>
      <c r="FO109" s="103"/>
    </row>
    <row r="110" spans="1:171" ht="27.75" customHeight="1">
      <c r="A110" s="10"/>
      <c r="B110" s="15" t="s">
        <v>17</v>
      </c>
      <c r="C110" s="16" t="s">
        <v>18</v>
      </c>
      <c r="D110" s="16" t="s">
        <v>19</v>
      </c>
      <c r="E110" s="16" t="s">
        <v>20</v>
      </c>
      <c r="F110" s="16" t="s">
        <v>21</v>
      </c>
      <c r="G110" s="16" t="s">
        <v>22</v>
      </c>
      <c r="H110" s="16" t="s">
        <v>23</v>
      </c>
      <c r="I110" s="16" t="s">
        <v>24</v>
      </c>
      <c r="J110" s="16" t="s">
        <v>25</v>
      </c>
      <c r="K110" s="16" t="s">
        <v>26</v>
      </c>
      <c r="L110" s="16" t="s">
        <v>27</v>
      </c>
      <c r="M110" s="16" t="s">
        <v>28</v>
      </c>
      <c r="N110" s="16" t="s">
        <v>29</v>
      </c>
      <c r="O110" s="16" t="s">
        <v>30</v>
      </c>
      <c r="P110" s="16" t="s">
        <v>18</v>
      </c>
      <c r="Q110" s="16" t="s">
        <v>19</v>
      </c>
      <c r="R110" s="16" t="s">
        <v>20</v>
      </c>
      <c r="S110" s="16" t="s">
        <v>21</v>
      </c>
      <c r="T110" s="16" t="s">
        <v>22</v>
      </c>
      <c r="U110" s="16" t="s">
        <v>23</v>
      </c>
      <c r="V110" s="16" t="s">
        <v>24</v>
      </c>
      <c r="W110" s="16" t="s">
        <v>25</v>
      </c>
      <c r="X110" s="16" t="s">
        <v>26</v>
      </c>
      <c r="Y110" s="16" t="s">
        <v>27</v>
      </c>
      <c r="Z110" s="16" t="s">
        <v>28</v>
      </c>
      <c r="AA110" s="16" t="s">
        <v>29</v>
      </c>
      <c r="AB110" s="16" t="s">
        <v>31</v>
      </c>
      <c r="AC110" s="16" t="s">
        <v>18</v>
      </c>
      <c r="AD110" s="16" t="s">
        <v>19</v>
      </c>
      <c r="AE110" s="16" t="s">
        <v>20</v>
      </c>
      <c r="AF110" s="16" t="s">
        <v>21</v>
      </c>
      <c r="AG110" s="16" t="s">
        <v>22</v>
      </c>
      <c r="AH110" s="16" t="s">
        <v>23</v>
      </c>
      <c r="AI110" s="16" t="s">
        <v>24</v>
      </c>
      <c r="AJ110" s="16" t="s">
        <v>25</v>
      </c>
      <c r="AK110" s="16" t="s">
        <v>26</v>
      </c>
      <c r="AL110" s="16" t="s">
        <v>27</v>
      </c>
      <c r="AM110" s="16" t="s">
        <v>28</v>
      </c>
      <c r="AN110" s="16" t="s">
        <v>29</v>
      </c>
      <c r="AO110" s="16" t="s">
        <v>32</v>
      </c>
      <c r="AP110" s="16" t="s">
        <v>18</v>
      </c>
      <c r="AQ110" s="16" t="s">
        <v>19</v>
      </c>
      <c r="AR110" s="16" t="s">
        <v>20</v>
      </c>
      <c r="AS110" s="16" t="s">
        <v>21</v>
      </c>
      <c r="AT110" s="16" t="s">
        <v>22</v>
      </c>
      <c r="AU110" s="16" t="s">
        <v>23</v>
      </c>
      <c r="AV110" s="16" t="s">
        <v>24</v>
      </c>
      <c r="AW110" s="16" t="s">
        <v>25</v>
      </c>
      <c r="AX110" s="16" t="s">
        <v>26</v>
      </c>
      <c r="AY110" s="16" t="s">
        <v>27</v>
      </c>
      <c r="AZ110" s="16" t="s">
        <v>28</v>
      </c>
      <c r="BA110" s="16" t="s">
        <v>29</v>
      </c>
      <c r="BB110" s="16" t="s">
        <v>33</v>
      </c>
      <c r="BC110" s="16" t="s">
        <v>18</v>
      </c>
      <c r="BD110" s="16" t="s">
        <v>19</v>
      </c>
      <c r="BE110" s="16" t="s">
        <v>20</v>
      </c>
      <c r="BF110" s="16" t="s">
        <v>21</v>
      </c>
      <c r="BG110" s="16" t="s">
        <v>22</v>
      </c>
      <c r="BH110" s="16" t="s">
        <v>23</v>
      </c>
      <c r="BI110" s="16" t="s">
        <v>24</v>
      </c>
      <c r="BJ110" s="16" t="s">
        <v>25</v>
      </c>
      <c r="BK110" s="16" t="s">
        <v>26</v>
      </c>
      <c r="BL110" s="16" t="s">
        <v>27</v>
      </c>
      <c r="BM110" s="16" t="s">
        <v>28</v>
      </c>
      <c r="BN110" s="16" t="s">
        <v>29</v>
      </c>
      <c r="BO110" s="16" t="s">
        <v>34</v>
      </c>
      <c r="BP110" s="16" t="s">
        <v>18</v>
      </c>
      <c r="BQ110" s="16" t="s">
        <v>19</v>
      </c>
      <c r="BR110" s="16" t="s">
        <v>20</v>
      </c>
      <c r="BS110" s="16" t="s">
        <v>21</v>
      </c>
      <c r="BT110" s="16" t="s">
        <v>22</v>
      </c>
      <c r="BU110" s="16" t="s">
        <v>23</v>
      </c>
      <c r="BV110" s="16" t="s">
        <v>24</v>
      </c>
      <c r="BW110" s="16" t="s">
        <v>25</v>
      </c>
      <c r="BX110" s="16" t="s">
        <v>26</v>
      </c>
      <c r="BY110" s="16" t="s">
        <v>27</v>
      </c>
      <c r="BZ110" s="16" t="s">
        <v>28</v>
      </c>
      <c r="CA110" s="16" t="s">
        <v>29</v>
      </c>
      <c r="CB110" s="16" t="s">
        <v>35</v>
      </c>
      <c r="CC110" s="16" t="s">
        <v>18</v>
      </c>
      <c r="CD110" s="16" t="s">
        <v>19</v>
      </c>
      <c r="CE110" s="16" t="s">
        <v>20</v>
      </c>
      <c r="CF110" s="16" t="s">
        <v>21</v>
      </c>
      <c r="CG110" s="16" t="s">
        <v>22</v>
      </c>
      <c r="CH110" s="16" t="s">
        <v>23</v>
      </c>
      <c r="CI110" s="16" t="s">
        <v>24</v>
      </c>
      <c r="CJ110" s="16" t="s">
        <v>25</v>
      </c>
      <c r="CK110" s="16" t="s">
        <v>26</v>
      </c>
      <c r="CL110" s="16" t="s">
        <v>27</v>
      </c>
      <c r="CM110" s="16" t="s">
        <v>28</v>
      </c>
      <c r="CN110" s="16" t="s">
        <v>29</v>
      </c>
      <c r="CO110" s="16" t="s">
        <v>36</v>
      </c>
      <c r="CP110" s="16" t="s">
        <v>18</v>
      </c>
      <c r="CQ110" s="16" t="s">
        <v>19</v>
      </c>
      <c r="CR110" s="16" t="s">
        <v>20</v>
      </c>
      <c r="CS110" s="16" t="s">
        <v>21</v>
      </c>
      <c r="CT110" s="16" t="s">
        <v>22</v>
      </c>
      <c r="CU110" s="16" t="s">
        <v>23</v>
      </c>
      <c r="CV110" s="16" t="s">
        <v>24</v>
      </c>
      <c r="CW110" s="16" t="s">
        <v>25</v>
      </c>
      <c r="CX110" s="16" t="s">
        <v>26</v>
      </c>
      <c r="CY110" s="16" t="s">
        <v>27</v>
      </c>
      <c r="CZ110" s="16" t="s">
        <v>28</v>
      </c>
      <c r="DA110" s="16" t="s">
        <v>29</v>
      </c>
      <c r="DB110" s="16" t="s">
        <v>37</v>
      </c>
      <c r="DC110" s="16" t="s">
        <v>18</v>
      </c>
      <c r="DD110" s="16" t="s">
        <v>19</v>
      </c>
      <c r="DE110" s="16" t="s">
        <v>20</v>
      </c>
      <c r="DF110" s="16" t="s">
        <v>21</v>
      </c>
      <c r="DG110" s="16" t="s">
        <v>22</v>
      </c>
      <c r="DH110" s="16" t="s">
        <v>23</v>
      </c>
      <c r="DI110" s="16" t="s">
        <v>24</v>
      </c>
      <c r="DJ110" s="16" t="s">
        <v>25</v>
      </c>
      <c r="DK110" s="16" t="s">
        <v>26</v>
      </c>
      <c r="DL110" s="16" t="s">
        <v>27</v>
      </c>
      <c r="DM110" s="16" t="s">
        <v>28</v>
      </c>
      <c r="DN110" s="16" t="s">
        <v>29</v>
      </c>
      <c r="DO110" s="16" t="s">
        <v>38</v>
      </c>
      <c r="DP110" s="16" t="s">
        <v>18</v>
      </c>
      <c r="DQ110" s="16" t="s">
        <v>19</v>
      </c>
      <c r="DR110" s="16" t="s">
        <v>20</v>
      </c>
      <c r="DS110" s="16" t="s">
        <v>21</v>
      </c>
      <c r="DT110" s="16" t="s">
        <v>22</v>
      </c>
      <c r="DU110" s="16" t="s">
        <v>23</v>
      </c>
      <c r="DV110" s="16" t="s">
        <v>24</v>
      </c>
      <c r="DW110" s="16" t="s">
        <v>25</v>
      </c>
      <c r="DX110" s="16" t="s">
        <v>26</v>
      </c>
      <c r="DY110" s="16" t="s">
        <v>27</v>
      </c>
      <c r="DZ110" s="16" t="s">
        <v>28</v>
      </c>
      <c r="EA110" s="16" t="s">
        <v>29</v>
      </c>
      <c r="EB110" s="16" t="s">
        <v>39</v>
      </c>
      <c r="EC110" s="16" t="s">
        <v>18</v>
      </c>
      <c r="ED110" s="16" t="s">
        <v>19</v>
      </c>
      <c r="EE110" s="16" t="s">
        <v>20</v>
      </c>
      <c r="EF110" s="16" t="s">
        <v>21</v>
      </c>
      <c r="EG110" s="16" t="s">
        <v>22</v>
      </c>
      <c r="EH110" s="16" t="s">
        <v>23</v>
      </c>
      <c r="EI110" s="16" t="s">
        <v>24</v>
      </c>
      <c r="EJ110" s="16" t="s">
        <v>25</v>
      </c>
      <c r="EK110" s="16" t="s">
        <v>26</v>
      </c>
      <c r="EL110" s="16" t="s">
        <v>27</v>
      </c>
      <c r="EM110" s="16" t="s">
        <v>28</v>
      </c>
      <c r="EN110" s="16" t="s">
        <v>29</v>
      </c>
      <c r="EO110" s="16" t="s">
        <v>40</v>
      </c>
      <c r="EP110" s="16" t="s">
        <v>18</v>
      </c>
      <c r="EQ110" s="16" t="s">
        <v>19</v>
      </c>
      <c r="ER110" s="16" t="s">
        <v>20</v>
      </c>
      <c r="ES110" s="16" t="s">
        <v>21</v>
      </c>
      <c r="ET110" s="16" t="s">
        <v>22</v>
      </c>
      <c r="EU110" s="16" t="s">
        <v>23</v>
      </c>
      <c r="EV110" s="16" t="s">
        <v>24</v>
      </c>
      <c r="EW110" s="16" t="s">
        <v>25</v>
      </c>
      <c r="EX110" s="16" t="s">
        <v>26</v>
      </c>
      <c r="EY110" s="16" t="s">
        <v>27</v>
      </c>
      <c r="EZ110" s="16" t="s">
        <v>28</v>
      </c>
      <c r="FA110" s="16" t="s">
        <v>29</v>
      </c>
      <c r="FB110" s="16" t="s">
        <v>41</v>
      </c>
      <c r="FC110" s="16" t="s">
        <v>18</v>
      </c>
      <c r="FD110" s="16" t="s">
        <v>19</v>
      </c>
      <c r="FE110" s="16" t="s">
        <v>20</v>
      </c>
      <c r="FF110" s="16" t="s">
        <v>21</v>
      </c>
      <c r="FG110" s="16" t="s">
        <v>22</v>
      </c>
      <c r="FH110" s="16" t="s">
        <v>23</v>
      </c>
      <c r="FI110" s="16" t="s">
        <v>24</v>
      </c>
      <c r="FJ110" s="16" t="s">
        <v>25</v>
      </c>
      <c r="FK110" s="16" t="s">
        <v>26</v>
      </c>
      <c r="FL110" s="16" t="s">
        <v>27</v>
      </c>
      <c r="FM110" s="16" t="s">
        <v>28</v>
      </c>
      <c r="FN110" s="16" t="s">
        <v>29</v>
      </c>
      <c r="FO110" s="16" t="s">
        <v>42</v>
      </c>
    </row>
    <row r="111" spans="1:171" ht="27.75" customHeight="1">
      <c r="A111" s="10"/>
      <c r="B111" s="19" t="s">
        <v>43</v>
      </c>
      <c r="C111" s="20">
        <f>+MOP_Mes_Corriente!C112*MOP_Mes_Constante!$C$1</f>
        <v>0</v>
      </c>
      <c r="D111" s="20">
        <f>+MOP_Mes_Corriente!D112*MOP_Mes_Constante!$C$1</f>
        <v>0</v>
      </c>
      <c r="E111" s="20">
        <f>+MOP_Mes_Corriente!E112*MOP_Mes_Constante!$C$1</f>
        <v>0</v>
      </c>
      <c r="F111" s="20">
        <f>+MOP_Mes_Corriente!F112*MOP_Mes_Constante!$C$1</f>
        <v>0</v>
      </c>
      <c r="G111" s="20">
        <f>+MOP_Mes_Corriente!G112*MOP_Mes_Constante!$C$1</f>
        <v>0</v>
      </c>
      <c r="H111" s="20">
        <f>+MOP_Mes_Corriente!H112*MOP_Mes_Constante!$C$1</f>
        <v>0</v>
      </c>
      <c r="I111" s="20">
        <f>+MOP_Mes_Corriente!I112*MOP_Mes_Constante!$C$1</f>
        <v>0</v>
      </c>
      <c r="J111" s="20">
        <f>+MOP_Mes_Corriente!J112*MOP_Mes_Constante!$C$1</f>
        <v>0</v>
      </c>
      <c r="K111" s="20">
        <f>+MOP_Mes_Corriente!K112*MOP_Mes_Constante!$C$1</f>
        <v>0</v>
      </c>
      <c r="L111" s="20">
        <f>+MOP_Mes_Corriente!L112*MOP_Mes_Constante!$C$1</f>
        <v>0</v>
      </c>
      <c r="M111" s="20">
        <f>+MOP_Mes_Corriente!M112*MOP_Mes_Constante!$C$1</f>
        <v>0</v>
      </c>
      <c r="N111" s="20">
        <f>+MOP_Mes_Corriente!N112*MOP_Mes_Constante!$C$1</f>
        <v>0</v>
      </c>
      <c r="O111" s="20">
        <f t="shared" ref="O111:O116" si="152">N111</f>
        <v>0</v>
      </c>
      <c r="P111" s="20">
        <f>+MOP_Mes_Corriente!P112*MOP_Mes_Constante!$P$1</f>
        <v>0</v>
      </c>
      <c r="Q111" s="20">
        <f>+MOP_Mes_Corriente!Q112*MOP_Mes_Constante!$P$1</f>
        <v>0</v>
      </c>
      <c r="R111" s="20">
        <f>+MOP_Mes_Corriente!R112*MOP_Mes_Constante!$P$1</f>
        <v>0</v>
      </c>
      <c r="S111" s="20">
        <f>+MOP_Mes_Corriente!S112*MOP_Mes_Constante!$P$1</f>
        <v>0</v>
      </c>
      <c r="T111" s="20">
        <f>+MOP_Mes_Corriente!T112*MOP_Mes_Constante!$P$1</f>
        <v>0</v>
      </c>
      <c r="U111" s="20">
        <f>+MOP_Mes_Corriente!U112*MOP_Mes_Constante!$P$1</f>
        <v>0</v>
      </c>
      <c r="V111" s="20">
        <f>+MOP_Mes_Corriente!V112*MOP_Mes_Constante!$P$1</f>
        <v>0</v>
      </c>
      <c r="W111" s="20">
        <f>+MOP_Mes_Corriente!W112*MOP_Mes_Constante!$P$1</f>
        <v>0</v>
      </c>
      <c r="X111" s="20">
        <f>+MOP_Mes_Corriente!X112*MOP_Mes_Constante!$P$1</f>
        <v>0</v>
      </c>
      <c r="Y111" s="20">
        <f>+MOP_Mes_Corriente!Y112*MOP_Mes_Constante!$P$1</f>
        <v>0</v>
      </c>
      <c r="Z111" s="20">
        <f>+MOP_Mes_Corriente!Z112*MOP_Mes_Constante!$P$1</f>
        <v>0</v>
      </c>
      <c r="AA111" s="20">
        <f>+MOP_Mes_Corriente!AA112*MOP_Mes_Constante!$P$1</f>
        <v>0</v>
      </c>
      <c r="AB111" s="20">
        <f t="shared" ref="AB111:AB116" si="153">AA111</f>
        <v>0</v>
      </c>
      <c r="AC111" s="20">
        <f>+MOP_Mes_Corriente!AC112*MOP_Mes_Constante!$AC$1</f>
        <v>0</v>
      </c>
      <c r="AD111" s="20">
        <f>+MOP_Mes_Corriente!AD112*MOP_Mes_Constante!$AC$1</f>
        <v>0</v>
      </c>
      <c r="AE111" s="20">
        <f>+MOP_Mes_Corriente!AE112*MOP_Mes_Constante!$AC$1</f>
        <v>0</v>
      </c>
      <c r="AF111" s="20">
        <f>+MOP_Mes_Corriente!AF112*MOP_Mes_Constante!$AC$1</f>
        <v>0</v>
      </c>
      <c r="AG111" s="20">
        <f>+MOP_Mes_Corriente!AG112*MOP_Mes_Constante!$AC$1</f>
        <v>0</v>
      </c>
      <c r="AH111" s="20">
        <f>+MOP_Mes_Corriente!AH112*MOP_Mes_Constante!$AC$1</f>
        <v>0</v>
      </c>
      <c r="AI111" s="20">
        <f>+MOP_Mes_Corriente!AI112*MOP_Mes_Constante!$AC$1</f>
        <v>0</v>
      </c>
      <c r="AJ111" s="20">
        <f>+MOP_Mes_Corriente!AJ112*MOP_Mes_Constante!$AC$1</f>
        <v>0</v>
      </c>
      <c r="AK111" s="20">
        <f>+MOP_Mes_Corriente!AK112*MOP_Mes_Constante!$AC$1</f>
        <v>0</v>
      </c>
      <c r="AL111" s="20">
        <f>+MOP_Mes_Corriente!AL112*MOP_Mes_Constante!$AC$1</f>
        <v>0</v>
      </c>
      <c r="AM111" s="20">
        <f>+MOP_Mes_Corriente!AM112*MOP_Mes_Constante!$AC$1</f>
        <v>0</v>
      </c>
      <c r="AN111" s="20">
        <f>+MOP_Mes_Corriente!AN112*MOP_Mes_Constante!$AC$1</f>
        <v>0</v>
      </c>
      <c r="AO111" s="20">
        <f t="shared" ref="AO111:AO116" si="154">AN111</f>
        <v>0</v>
      </c>
      <c r="AP111" s="20">
        <f>+MOP_Mes_Corriente!AP112*MOP_Mes_Constante!$AP$1</f>
        <v>0</v>
      </c>
      <c r="AQ111" s="20">
        <f>+MOP_Mes_Corriente!AQ112*MOP_Mes_Constante!$AP$1</f>
        <v>0</v>
      </c>
      <c r="AR111" s="20">
        <f>+MOP_Mes_Corriente!AR112*MOP_Mes_Constante!$AP$1</f>
        <v>0</v>
      </c>
      <c r="AS111" s="20">
        <f>+MOP_Mes_Corriente!AS112*MOP_Mes_Constante!$AP$1</f>
        <v>0</v>
      </c>
      <c r="AT111" s="20">
        <f>+MOP_Mes_Corriente!AT112*MOP_Mes_Constante!$AP$1</f>
        <v>0</v>
      </c>
      <c r="AU111" s="20">
        <f>+MOP_Mes_Corriente!AU112*MOP_Mes_Constante!$AP$1</f>
        <v>0</v>
      </c>
      <c r="AV111" s="20">
        <f>+MOP_Mes_Corriente!AV112*MOP_Mes_Constante!$AP$1</f>
        <v>0</v>
      </c>
      <c r="AW111" s="20">
        <f>+MOP_Mes_Corriente!AW112*MOP_Mes_Constante!$AP$1</f>
        <v>0</v>
      </c>
      <c r="AX111" s="20">
        <f>+MOP_Mes_Corriente!AX112*MOP_Mes_Constante!$AP$1</f>
        <v>0</v>
      </c>
      <c r="AY111" s="20">
        <f>+MOP_Mes_Corriente!AY112*MOP_Mes_Constante!$AP$1</f>
        <v>0</v>
      </c>
      <c r="AZ111" s="20">
        <f>+MOP_Mes_Corriente!AZ112*MOP_Mes_Constante!$AP$1</f>
        <v>0</v>
      </c>
      <c r="BA111" s="20">
        <f>+MOP_Mes_Corriente!BA112*MOP_Mes_Constante!$AP$1</f>
        <v>0</v>
      </c>
      <c r="BB111" s="20">
        <f t="shared" ref="BB111:BB116" si="155">BA111</f>
        <v>0</v>
      </c>
      <c r="BC111" s="20">
        <f>+MOP_Mes_Corriente!BC112*MOP_Mes_Constante!$BC$1</f>
        <v>0</v>
      </c>
      <c r="BD111" s="20">
        <f>+MOP_Mes_Corriente!BD112*MOP_Mes_Constante!$BC$1</f>
        <v>0</v>
      </c>
      <c r="BE111" s="20">
        <f>+MOP_Mes_Corriente!BE112*MOP_Mes_Constante!$BC$1</f>
        <v>0</v>
      </c>
      <c r="BF111" s="20">
        <f>+MOP_Mes_Corriente!BF112*MOP_Mes_Constante!$BC$1</f>
        <v>0</v>
      </c>
      <c r="BG111" s="20">
        <f>+MOP_Mes_Corriente!BG112*MOP_Mes_Constante!$BC$1</f>
        <v>0</v>
      </c>
      <c r="BH111" s="20">
        <f>+MOP_Mes_Corriente!BH112*MOP_Mes_Constante!$BC$1</f>
        <v>0</v>
      </c>
      <c r="BI111" s="20">
        <f>+MOP_Mes_Corriente!BI112*MOP_Mes_Constante!$BC$1</f>
        <v>0</v>
      </c>
      <c r="BJ111" s="20">
        <f>+MOP_Mes_Corriente!BJ112*MOP_Mes_Constante!$BC$1</f>
        <v>0</v>
      </c>
      <c r="BK111" s="20">
        <f>+MOP_Mes_Corriente!BK112*MOP_Mes_Constante!$BC$1</f>
        <v>0</v>
      </c>
      <c r="BL111" s="20">
        <f>+MOP_Mes_Corriente!BL112*MOP_Mes_Constante!$BC$1</f>
        <v>0</v>
      </c>
      <c r="BM111" s="20">
        <f>+MOP_Mes_Corriente!BM112*MOP_Mes_Constante!$BC$1</f>
        <v>0</v>
      </c>
      <c r="BN111" s="20">
        <f>+MOP_Mes_Corriente!BN112*MOP_Mes_Constante!$BC$1</f>
        <v>0</v>
      </c>
      <c r="BO111" s="20">
        <f t="shared" ref="BO111:BO116" si="156">BN111</f>
        <v>0</v>
      </c>
      <c r="BP111" s="20">
        <f>+MOP_Mes_Corriente!BP112*MOP_Mes_Constante!$BP$1</f>
        <v>0</v>
      </c>
      <c r="BQ111" s="20">
        <f>+MOP_Mes_Corriente!BQ112*MOP_Mes_Constante!$BP$1</f>
        <v>0</v>
      </c>
      <c r="BR111" s="20">
        <f>+MOP_Mes_Corriente!BR112*MOP_Mes_Constante!$BP$1</f>
        <v>0</v>
      </c>
      <c r="BS111" s="20">
        <f>+MOP_Mes_Corriente!BS112*MOP_Mes_Constante!$BP$1</f>
        <v>0</v>
      </c>
      <c r="BT111" s="20">
        <f>+MOP_Mes_Corriente!BT112*MOP_Mes_Constante!$BP$1</f>
        <v>0</v>
      </c>
      <c r="BU111" s="20">
        <f>+MOP_Mes_Corriente!BU112*MOP_Mes_Constante!$BP$1</f>
        <v>0</v>
      </c>
      <c r="BV111" s="20">
        <f>+MOP_Mes_Corriente!BV112*MOP_Mes_Constante!$BP$1</f>
        <v>0</v>
      </c>
      <c r="BW111" s="20">
        <f>+MOP_Mes_Corriente!BW112*MOP_Mes_Constante!$BP$1</f>
        <v>0</v>
      </c>
      <c r="BX111" s="20">
        <f>+MOP_Mes_Corriente!BX112*MOP_Mes_Constante!$BP$1</f>
        <v>0</v>
      </c>
      <c r="BY111" s="20">
        <f>+MOP_Mes_Corriente!BY112*MOP_Mes_Constante!$BP$1</f>
        <v>0</v>
      </c>
      <c r="BZ111" s="20">
        <f>+MOP_Mes_Corriente!BZ112*MOP_Mes_Constante!$BP$1</f>
        <v>0</v>
      </c>
      <c r="CA111" s="20">
        <f>+MOP_Mes_Corriente!CA112*MOP_Mes_Constante!$BP$1</f>
        <v>0</v>
      </c>
      <c r="CB111" s="20">
        <f t="shared" ref="CB111:CB116" si="157">CA111</f>
        <v>0</v>
      </c>
      <c r="CC111" s="20">
        <f>+MOP_Mes_Corriente!CC112*MOP_Mes_Constante!$CC$1</f>
        <v>0</v>
      </c>
      <c r="CD111" s="20">
        <f>+MOP_Mes_Corriente!CD112*MOP_Mes_Constante!$CC$1</f>
        <v>0</v>
      </c>
      <c r="CE111" s="20">
        <f>+MOP_Mes_Corriente!CE112*MOP_Mes_Constante!$CC$1</f>
        <v>0</v>
      </c>
      <c r="CF111" s="20">
        <f>+MOP_Mes_Corriente!CF112*MOP_Mes_Constante!$CC$1</f>
        <v>0</v>
      </c>
      <c r="CG111" s="20">
        <f>+MOP_Mes_Corriente!CG112*MOP_Mes_Constante!$CC$1</f>
        <v>0</v>
      </c>
      <c r="CH111" s="20">
        <f>+MOP_Mes_Corriente!CH112*MOP_Mes_Constante!$CC$1</f>
        <v>0</v>
      </c>
      <c r="CI111" s="20">
        <f>+MOP_Mes_Corriente!CI112*MOP_Mes_Constante!$CC$1</f>
        <v>0</v>
      </c>
      <c r="CJ111" s="20">
        <f>+MOP_Mes_Corriente!CJ112*MOP_Mes_Constante!$CC$1</f>
        <v>0</v>
      </c>
      <c r="CK111" s="20">
        <f>+MOP_Mes_Corriente!CK112*MOP_Mes_Constante!$CC$1</f>
        <v>0</v>
      </c>
      <c r="CL111" s="20">
        <f>+MOP_Mes_Corriente!CL112*MOP_Mes_Constante!$CC$1</f>
        <v>0</v>
      </c>
      <c r="CM111" s="20">
        <f>+MOP_Mes_Corriente!CM112*MOP_Mes_Constante!$CC$1</f>
        <v>0</v>
      </c>
      <c r="CN111" s="20">
        <f>+MOP_Mes_Corriente!CN112*MOP_Mes_Constante!$CC$1</f>
        <v>0</v>
      </c>
      <c r="CO111" s="20">
        <f t="shared" ref="CO111:CO116" si="158">CN111</f>
        <v>0</v>
      </c>
      <c r="CP111" s="20">
        <f>+MOP_Mes_Corriente!CP112*MOP_Mes_Constante!$CP$1</f>
        <v>0</v>
      </c>
      <c r="CQ111" s="20">
        <f>+MOP_Mes_Corriente!CQ112*MOP_Mes_Constante!$CP$1</f>
        <v>0</v>
      </c>
      <c r="CR111" s="20">
        <f>+MOP_Mes_Corriente!CR112*MOP_Mes_Constante!$CP$1</f>
        <v>0</v>
      </c>
      <c r="CS111" s="20">
        <f>+MOP_Mes_Corriente!CS112*MOP_Mes_Constante!$CP$1</f>
        <v>0</v>
      </c>
      <c r="CT111" s="20">
        <f>+MOP_Mes_Corriente!CT112*MOP_Mes_Constante!$CP$1</f>
        <v>0</v>
      </c>
      <c r="CU111" s="20">
        <f>+MOP_Mes_Corriente!CU112*MOP_Mes_Constante!$CP$1</f>
        <v>0</v>
      </c>
      <c r="CV111" s="20">
        <f>+MOP_Mes_Corriente!CV112*MOP_Mes_Constante!$CP$1</f>
        <v>0</v>
      </c>
      <c r="CW111" s="20">
        <f>+MOP_Mes_Corriente!CW112*MOP_Mes_Constante!$CP$1</f>
        <v>0</v>
      </c>
      <c r="CX111" s="20">
        <f>+MOP_Mes_Corriente!CX112*MOP_Mes_Constante!$CP$1</f>
        <v>0</v>
      </c>
      <c r="CY111" s="20">
        <f>+MOP_Mes_Corriente!CY112*MOP_Mes_Constante!$CP$1</f>
        <v>0</v>
      </c>
      <c r="CZ111" s="20">
        <f>+MOP_Mes_Corriente!CZ112*MOP_Mes_Constante!$CP$1</f>
        <v>0</v>
      </c>
      <c r="DA111" s="20">
        <f>+MOP_Mes_Corriente!DA112*MOP_Mes_Constante!$CP$1</f>
        <v>0</v>
      </c>
      <c r="DB111" s="20">
        <f t="shared" ref="DB111:DB116" si="159">DA111</f>
        <v>0</v>
      </c>
      <c r="DC111" s="20">
        <f>+MOP_Mes_Corriente!DC112*MOP_Mes_Constante!$DC$1</f>
        <v>0</v>
      </c>
      <c r="DD111" s="20">
        <f>+MOP_Mes_Corriente!DD112*MOP_Mes_Constante!$DC$1</f>
        <v>0</v>
      </c>
      <c r="DE111" s="20">
        <f>+MOP_Mes_Corriente!DE112*MOP_Mes_Constante!$DC$1</f>
        <v>0</v>
      </c>
      <c r="DF111" s="20">
        <f>+MOP_Mes_Corriente!DF112*MOP_Mes_Constante!$DC$1</f>
        <v>0</v>
      </c>
      <c r="DG111" s="20">
        <f>+MOP_Mes_Corriente!DG112*MOP_Mes_Constante!$DC$1</f>
        <v>0</v>
      </c>
      <c r="DH111" s="20">
        <f>+MOP_Mes_Corriente!DH112*MOP_Mes_Constante!$DC$1</f>
        <v>0</v>
      </c>
      <c r="DI111" s="20">
        <f>+MOP_Mes_Corriente!DI112*MOP_Mes_Constante!$DC$1</f>
        <v>0</v>
      </c>
      <c r="DJ111" s="20">
        <f>+MOP_Mes_Corriente!DJ112*MOP_Mes_Constante!$DC$1</f>
        <v>0</v>
      </c>
      <c r="DK111" s="20">
        <f>+MOP_Mes_Corriente!DK112*MOP_Mes_Constante!$DC$1</f>
        <v>0</v>
      </c>
      <c r="DL111" s="20">
        <f>+MOP_Mes_Corriente!DL112*MOP_Mes_Constante!$DC$1</f>
        <v>0</v>
      </c>
      <c r="DM111" s="20">
        <f>+MOP_Mes_Corriente!DM112*MOP_Mes_Constante!$DC$1</f>
        <v>0</v>
      </c>
      <c r="DN111" s="20">
        <f>+MOP_Mes_Corriente!DN112*MOP_Mes_Constante!$DC$1</f>
        <v>0</v>
      </c>
      <c r="DO111" s="20">
        <f t="shared" ref="DO111:DO116" si="160">DN111</f>
        <v>0</v>
      </c>
      <c r="DP111" s="20">
        <f>+MOP_Mes_Corriente!DP112*MOP_Mes_Constante!$DP$1</f>
        <v>0</v>
      </c>
      <c r="DQ111" s="20">
        <f>+MOP_Mes_Corriente!DQ112*MOP_Mes_Constante!$DP$1</f>
        <v>0</v>
      </c>
      <c r="DR111" s="20">
        <f>+MOP_Mes_Corriente!DR112*MOP_Mes_Constante!$DP$1</f>
        <v>0</v>
      </c>
      <c r="DS111" s="20">
        <f>+MOP_Mes_Corriente!DS112*MOP_Mes_Constante!$DP$1</f>
        <v>0</v>
      </c>
      <c r="DT111" s="20">
        <f>+MOP_Mes_Corriente!DT112*MOP_Mes_Constante!$DP$1</f>
        <v>0</v>
      </c>
      <c r="DU111" s="20">
        <f>+MOP_Mes_Corriente!DU112*MOP_Mes_Constante!$DP$1</f>
        <v>0</v>
      </c>
      <c r="DV111" s="20">
        <f>+MOP_Mes_Corriente!DV112*MOP_Mes_Constante!$DP$1</f>
        <v>0</v>
      </c>
      <c r="DW111" s="20">
        <f>+MOP_Mes_Corriente!DW112*MOP_Mes_Constante!$DP$1</f>
        <v>0</v>
      </c>
      <c r="DX111" s="20">
        <f>+MOP_Mes_Corriente!DX112*MOP_Mes_Constante!$DP$1</f>
        <v>0</v>
      </c>
      <c r="DY111" s="20">
        <f>+MOP_Mes_Corriente!DY112*MOP_Mes_Constante!$DP$1</f>
        <v>0</v>
      </c>
      <c r="DZ111" s="20">
        <f>+MOP_Mes_Corriente!DZ112*MOP_Mes_Constante!$DP$1</f>
        <v>0</v>
      </c>
      <c r="EA111" s="20">
        <f>+MOP_Mes_Corriente!EA112*MOP_Mes_Constante!$DP$1</f>
        <v>0</v>
      </c>
      <c r="EB111" s="20">
        <f t="shared" ref="EB111:EB116" si="161">EA111</f>
        <v>0</v>
      </c>
      <c r="EC111" s="20">
        <f>+MOP_Mes_Corriente!EC112*MOP_Mes_Constante!$EC$1</f>
        <v>0</v>
      </c>
      <c r="ED111" s="20">
        <f>+MOP_Mes_Corriente!ED112*MOP_Mes_Constante!$EC$1</f>
        <v>0</v>
      </c>
      <c r="EE111" s="20">
        <f>+MOP_Mes_Corriente!EE112*MOP_Mes_Constante!$EC$1</f>
        <v>0</v>
      </c>
      <c r="EF111" s="20">
        <f>+MOP_Mes_Corriente!EF112*MOP_Mes_Constante!$EC$1</f>
        <v>0</v>
      </c>
      <c r="EG111" s="20">
        <f>+MOP_Mes_Corriente!EG112*MOP_Mes_Constante!$EC$1</f>
        <v>0</v>
      </c>
      <c r="EH111" s="20">
        <f>+MOP_Mes_Corriente!EH112*MOP_Mes_Constante!$EC$1</f>
        <v>0</v>
      </c>
      <c r="EI111" s="20">
        <f>+MOP_Mes_Corriente!EI112*MOP_Mes_Constante!$EC$1</f>
        <v>0</v>
      </c>
      <c r="EJ111" s="20">
        <f>+MOP_Mes_Corriente!EJ112*MOP_Mes_Constante!$EC$1</f>
        <v>0</v>
      </c>
      <c r="EK111" s="20">
        <f>+MOP_Mes_Corriente!EK112*MOP_Mes_Constante!$EC$1</f>
        <v>0</v>
      </c>
      <c r="EL111" s="20">
        <f>+MOP_Mes_Corriente!EL112*MOP_Mes_Constante!$EC$1</f>
        <v>0</v>
      </c>
      <c r="EM111" s="20">
        <f>+MOP_Mes_Corriente!EM112*MOP_Mes_Constante!$EC$1</f>
        <v>0</v>
      </c>
      <c r="EN111" s="20">
        <f>+MOP_Mes_Corriente!EN112*MOP_Mes_Constante!$EC$1</f>
        <v>0</v>
      </c>
      <c r="EO111" s="20">
        <f t="shared" ref="EO111:EO116" si="162">EN111</f>
        <v>0</v>
      </c>
      <c r="EP111" s="20">
        <f>+MOP_Mes_Corriente!EP112*MOP_Mes_Constante!$EP$1</f>
        <v>0</v>
      </c>
      <c r="EQ111" s="20">
        <f>+MOP_Mes_Corriente!EQ112*MOP_Mes_Constante!$EP$1</f>
        <v>0</v>
      </c>
      <c r="ER111" s="20">
        <f>+MOP_Mes_Corriente!ER112*MOP_Mes_Constante!$EP$1</f>
        <v>0</v>
      </c>
      <c r="ES111" s="20">
        <f>+MOP_Mes_Corriente!ES112*MOP_Mes_Constante!$EP$1</f>
        <v>0</v>
      </c>
      <c r="ET111" s="20">
        <f>+MOP_Mes_Corriente!ET112*MOP_Mes_Constante!$EP$1</f>
        <v>0</v>
      </c>
      <c r="EU111" s="20">
        <f>+MOP_Mes_Corriente!EU112*MOP_Mes_Constante!$EP$1</f>
        <v>0</v>
      </c>
      <c r="EV111" s="20">
        <f>+MOP_Mes_Corriente!EV112*MOP_Mes_Constante!$EP$1</f>
        <v>0</v>
      </c>
      <c r="EW111" s="20">
        <f>+MOP_Mes_Corriente!EW112*MOP_Mes_Constante!$EP$1</f>
        <v>0</v>
      </c>
      <c r="EX111" s="20">
        <f>+MOP_Mes_Corriente!EX112*MOP_Mes_Constante!$EP$1</f>
        <v>0</v>
      </c>
      <c r="EY111" s="20">
        <f>+MOP_Mes_Corriente!EY112*MOP_Mes_Constante!$EP$1</f>
        <v>0</v>
      </c>
      <c r="EZ111" s="20">
        <f>+MOP_Mes_Corriente!EZ112*MOP_Mes_Constante!$EP$1</f>
        <v>0</v>
      </c>
      <c r="FA111" s="20">
        <f>+MOP_Mes_Corriente!FA112*MOP_Mes_Constante!$EP$1</f>
        <v>0</v>
      </c>
      <c r="FB111" s="20">
        <f t="shared" ref="FB111:FB116" si="163">FA111</f>
        <v>0</v>
      </c>
      <c r="FC111" s="20">
        <f>+MOP_Mes_Corriente!FC112*MOP_Mes_Constante!$FC$1</f>
        <v>0</v>
      </c>
      <c r="FD111" s="20">
        <f>+MOP_Mes_Corriente!FD112*MOP_Mes_Constante!$FC$1</f>
        <v>0</v>
      </c>
      <c r="FE111" s="20">
        <f>+MOP_Mes_Corriente!FE112*MOP_Mes_Constante!$FC$1</f>
        <v>0</v>
      </c>
      <c r="FF111" s="20">
        <f>+MOP_Mes_Corriente!FF112*MOP_Mes_Constante!$FC$1</f>
        <v>0</v>
      </c>
      <c r="FG111" s="20">
        <f>+MOP_Mes_Corriente!FG112*MOP_Mes_Constante!$FC$1</f>
        <v>0</v>
      </c>
      <c r="FH111" s="20">
        <f>+MOP_Mes_Corriente!FH112*MOP_Mes_Constante!$FC$1</f>
        <v>0</v>
      </c>
      <c r="FI111" s="20">
        <f>+MOP_Mes_Corriente!FI112*MOP_Mes_Constante!$FC$1</f>
        <v>0</v>
      </c>
      <c r="FJ111" s="10"/>
      <c r="FK111" s="10"/>
      <c r="FL111" s="10"/>
      <c r="FM111" s="10"/>
      <c r="FN111" s="10"/>
      <c r="FO111" s="20">
        <f t="shared" ref="FO111:FO116" si="164">FI111</f>
        <v>0</v>
      </c>
    </row>
    <row r="112" spans="1:171" ht="27.75" customHeight="1">
      <c r="A112" s="10"/>
      <c r="B112" s="19" t="s">
        <v>44</v>
      </c>
      <c r="C112" s="20">
        <f>+MOP_Mes_Corriente!C113*MOP_Mes_Constante!$C$1</f>
        <v>0</v>
      </c>
      <c r="D112" s="20">
        <f>+MOP_Mes_Corriente!D113*MOP_Mes_Constante!$C$1</f>
        <v>0</v>
      </c>
      <c r="E112" s="20">
        <f>+MOP_Mes_Corriente!E113*MOP_Mes_Constante!$C$1</f>
        <v>0</v>
      </c>
      <c r="F112" s="20">
        <f>+MOP_Mes_Corriente!F113*MOP_Mes_Constante!$C$1</f>
        <v>0</v>
      </c>
      <c r="G112" s="20">
        <f>+MOP_Mes_Corriente!G113*MOP_Mes_Constante!$C$1</f>
        <v>0</v>
      </c>
      <c r="H112" s="20">
        <f>+MOP_Mes_Corriente!H113*MOP_Mes_Constante!$C$1</f>
        <v>0</v>
      </c>
      <c r="I112" s="20">
        <f>+MOP_Mes_Corriente!I113*MOP_Mes_Constante!$C$1</f>
        <v>0</v>
      </c>
      <c r="J112" s="20">
        <f>+MOP_Mes_Corriente!J113*MOP_Mes_Constante!$C$1</f>
        <v>0</v>
      </c>
      <c r="K112" s="20">
        <f>+MOP_Mes_Corriente!K113*MOP_Mes_Constante!$C$1</f>
        <v>0</v>
      </c>
      <c r="L112" s="20">
        <f>+MOP_Mes_Corriente!L113*MOP_Mes_Constante!$C$1</f>
        <v>0</v>
      </c>
      <c r="M112" s="20">
        <f>+MOP_Mes_Corriente!M113*MOP_Mes_Constante!$C$1</f>
        <v>0</v>
      </c>
      <c r="N112" s="20">
        <f>+MOP_Mes_Corriente!N113*MOP_Mes_Constante!$C$1</f>
        <v>0</v>
      </c>
      <c r="O112" s="20">
        <f t="shared" si="152"/>
        <v>0</v>
      </c>
      <c r="P112" s="20">
        <f>+MOP_Mes_Corriente!P113*MOP_Mes_Constante!$P$1</f>
        <v>0</v>
      </c>
      <c r="Q112" s="20">
        <f>+MOP_Mes_Corriente!Q113*MOP_Mes_Constante!$P$1</f>
        <v>0</v>
      </c>
      <c r="R112" s="20">
        <f>+MOP_Mes_Corriente!R113*MOP_Mes_Constante!$P$1</f>
        <v>0</v>
      </c>
      <c r="S112" s="20">
        <f>+MOP_Mes_Corriente!S113*MOP_Mes_Constante!$P$1</f>
        <v>0</v>
      </c>
      <c r="T112" s="20">
        <f>+MOP_Mes_Corriente!T113*MOP_Mes_Constante!$P$1</f>
        <v>0</v>
      </c>
      <c r="U112" s="20">
        <f>+MOP_Mes_Corriente!U113*MOP_Mes_Constante!$P$1</f>
        <v>0</v>
      </c>
      <c r="V112" s="20">
        <f>+MOP_Mes_Corriente!V113*MOP_Mes_Constante!$P$1</f>
        <v>0</v>
      </c>
      <c r="W112" s="20">
        <f>+MOP_Mes_Corriente!W113*MOP_Mes_Constante!$P$1</f>
        <v>0</v>
      </c>
      <c r="X112" s="20">
        <f>+MOP_Mes_Corriente!X113*MOP_Mes_Constante!$P$1</f>
        <v>0</v>
      </c>
      <c r="Y112" s="20">
        <f>+MOP_Mes_Corriente!Y113*MOP_Mes_Constante!$P$1</f>
        <v>0</v>
      </c>
      <c r="Z112" s="20">
        <f>+MOP_Mes_Corriente!Z113*MOP_Mes_Constante!$P$1</f>
        <v>0</v>
      </c>
      <c r="AA112" s="20">
        <f>+MOP_Mes_Corriente!AA113*MOP_Mes_Constante!$P$1</f>
        <v>0</v>
      </c>
      <c r="AB112" s="20">
        <f t="shared" si="153"/>
        <v>0</v>
      </c>
      <c r="AC112" s="20">
        <f>+MOP_Mes_Corriente!AC113*MOP_Mes_Constante!$AC$1</f>
        <v>0</v>
      </c>
      <c r="AD112" s="20">
        <f>+MOP_Mes_Corriente!AD113*MOP_Mes_Constante!$AC$1</f>
        <v>0</v>
      </c>
      <c r="AE112" s="20">
        <f>+MOP_Mes_Corriente!AE113*MOP_Mes_Constante!$AC$1</f>
        <v>0</v>
      </c>
      <c r="AF112" s="20">
        <f>+MOP_Mes_Corriente!AF113*MOP_Mes_Constante!$AC$1</f>
        <v>0</v>
      </c>
      <c r="AG112" s="20">
        <f>+MOP_Mes_Corriente!AG113*MOP_Mes_Constante!$AC$1</f>
        <v>0</v>
      </c>
      <c r="AH112" s="20">
        <f>+MOP_Mes_Corriente!AH113*MOP_Mes_Constante!$AC$1</f>
        <v>0</v>
      </c>
      <c r="AI112" s="20">
        <f>+MOP_Mes_Corriente!AI113*MOP_Mes_Constante!$AC$1</f>
        <v>0</v>
      </c>
      <c r="AJ112" s="20">
        <f>+MOP_Mes_Corriente!AJ113*MOP_Mes_Constante!$AC$1</f>
        <v>0</v>
      </c>
      <c r="AK112" s="20">
        <f>+MOP_Mes_Corriente!AK113*MOP_Mes_Constante!$AC$1</f>
        <v>0</v>
      </c>
      <c r="AL112" s="20">
        <f>+MOP_Mes_Corriente!AL113*MOP_Mes_Constante!$AC$1</f>
        <v>0</v>
      </c>
      <c r="AM112" s="20">
        <f>+MOP_Mes_Corriente!AM113*MOP_Mes_Constante!$AC$1</f>
        <v>0</v>
      </c>
      <c r="AN112" s="20">
        <f>+MOP_Mes_Corriente!AN113*MOP_Mes_Constante!$AC$1</f>
        <v>0</v>
      </c>
      <c r="AO112" s="20">
        <f t="shared" si="154"/>
        <v>0</v>
      </c>
      <c r="AP112" s="20">
        <f>+MOP_Mes_Corriente!AP113*MOP_Mes_Constante!$AP$1</f>
        <v>0</v>
      </c>
      <c r="AQ112" s="20">
        <f>+MOP_Mes_Corriente!AQ113*MOP_Mes_Constante!$AP$1</f>
        <v>0</v>
      </c>
      <c r="AR112" s="20">
        <f>+MOP_Mes_Corriente!AR113*MOP_Mes_Constante!$AP$1</f>
        <v>0</v>
      </c>
      <c r="AS112" s="20">
        <f>+MOP_Mes_Corriente!AS113*MOP_Mes_Constante!$AP$1</f>
        <v>0</v>
      </c>
      <c r="AT112" s="20">
        <f>+MOP_Mes_Corriente!AT113*MOP_Mes_Constante!$AP$1</f>
        <v>0</v>
      </c>
      <c r="AU112" s="20">
        <f>+MOP_Mes_Corriente!AU113*MOP_Mes_Constante!$AP$1</f>
        <v>0</v>
      </c>
      <c r="AV112" s="20">
        <f>+MOP_Mes_Corriente!AV113*MOP_Mes_Constante!$AP$1</f>
        <v>0</v>
      </c>
      <c r="AW112" s="20">
        <f>+MOP_Mes_Corriente!AW113*MOP_Mes_Constante!$AP$1</f>
        <v>0</v>
      </c>
      <c r="AX112" s="20">
        <f>+MOP_Mes_Corriente!AX113*MOP_Mes_Constante!$AP$1</f>
        <v>0</v>
      </c>
      <c r="AY112" s="20">
        <f>+MOP_Mes_Corriente!AY113*MOP_Mes_Constante!$AP$1</f>
        <v>0</v>
      </c>
      <c r="AZ112" s="20">
        <f>+MOP_Mes_Corriente!AZ113*MOP_Mes_Constante!$AP$1</f>
        <v>0</v>
      </c>
      <c r="BA112" s="20">
        <f>+MOP_Mes_Corriente!BA113*MOP_Mes_Constante!$AP$1</f>
        <v>0</v>
      </c>
      <c r="BB112" s="20">
        <f t="shared" si="155"/>
        <v>0</v>
      </c>
      <c r="BC112" s="20">
        <f>+MOP_Mes_Corriente!BC113*MOP_Mes_Constante!$BC$1</f>
        <v>0</v>
      </c>
      <c r="BD112" s="20">
        <f>+MOP_Mes_Corriente!BD113*MOP_Mes_Constante!$BC$1</f>
        <v>0</v>
      </c>
      <c r="BE112" s="20">
        <f>+MOP_Mes_Corriente!BE113*MOP_Mes_Constante!$BC$1</f>
        <v>0</v>
      </c>
      <c r="BF112" s="20">
        <f>+MOP_Mes_Corriente!BF113*MOP_Mes_Constante!$BC$1</f>
        <v>0</v>
      </c>
      <c r="BG112" s="20">
        <f>+MOP_Mes_Corriente!BG113*MOP_Mes_Constante!$BC$1</f>
        <v>0</v>
      </c>
      <c r="BH112" s="20">
        <f>+MOP_Mes_Corriente!BH113*MOP_Mes_Constante!$BC$1</f>
        <v>0</v>
      </c>
      <c r="BI112" s="20">
        <f>+MOP_Mes_Corriente!BI113*MOP_Mes_Constante!$BC$1</f>
        <v>0</v>
      </c>
      <c r="BJ112" s="20">
        <f>+MOP_Mes_Corriente!BJ113*MOP_Mes_Constante!$BC$1</f>
        <v>0</v>
      </c>
      <c r="BK112" s="20">
        <f>+MOP_Mes_Corriente!BK113*MOP_Mes_Constante!$BC$1</f>
        <v>0</v>
      </c>
      <c r="BL112" s="20">
        <f>+MOP_Mes_Corriente!BL113*MOP_Mes_Constante!$BC$1</f>
        <v>0</v>
      </c>
      <c r="BM112" s="20">
        <f>+MOP_Mes_Corriente!BM113*MOP_Mes_Constante!$BC$1</f>
        <v>0</v>
      </c>
      <c r="BN112" s="20">
        <f>+MOP_Mes_Corriente!BN113*MOP_Mes_Constante!$BC$1</f>
        <v>0</v>
      </c>
      <c r="BO112" s="20">
        <f t="shared" si="156"/>
        <v>0</v>
      </c>
      <c r="BP112" s="20">
        <f>+MOP_Mes_Corriente!BP113*MOP_Mes_Constante!$BP$1</f>
        <v>0</v>
      </c>
      <c r="BQ112" s="20">
        <f>+MOP_Mes_Corriente!BQ113*MOP_Mes_Constante!$BP$1</f>
        <v>0</v>
      </c>
      <c r="BR112" s="20">
        <f>+MOP_Mes_Corriente!BR113*MOP_Mes_Constante!$BP$1</f>
        <v>0</v>
      </c>
      <c r="BS112" s="20">
        <f>+MOP_Mes_Corriente!BS113*MOP_Mes_Constante!$BP$1</f>
        <v>0</v>
      </c>
      <c r="BT112" s="20">
        <f>+MOP_Mes_Corriente!BT113*MOP_Mes_Constante!$BP$1</f>
        <v>0</v>
      </c>
      <c r="BU112" s="20">
        <f>+MOP_Mes_Corriente!BU113*MOP_Mes_Constante!$BP$1</f>
        <v>0</v>
      </c>
      <c r="BV112" s="20">
        <f>+MOP_Mes_Corriente!BV113*MOP_Mes_Constante!$BP$1</f>
        <v>0</v>
      </c>
      <c r="BW112" s="20">
        <f>+MOP_Mes_Corriente!BW113*MOP_Mes_Constante!$BP$1</f>
        <v>0</v>
      </c>
      <c r="BX112" s="20">
        <f>+MOP_Mes_Corriente!BX113*MOP_Mes_Constante!$BP$1</f>
        <v>0</v>
      </c>
      <c r="BY112" s="20">
        <f>+MOP_Mes_Corriente!BY113*MOP_Mes_Constante!$BP$1</f>
        <v>0</v>
      </c>
      <c r="BZ112" s="20">
        <f>+MOP_Mes_Corriente!BZ113*MOP_Mes_Constante!$BP$1</f>
        <v>0</v>
      </c>
      <c r="CA112" s="20">
        <f>+MOP_Mes_Corriente!CA113*MOP_Mes_Constante!$BP$1</f>
        <v>0</v>
      </c>
      <c r="CB112" s="20">
        <f t="shared" si="157"/>
        <v>0</v>
      </c>
      <c r="CC112" s="20">
        <f>+MOP_Mes_Corriente!CC113*MOP_Mes_Constante!$CC$1</f>
        <v>0</v>
      </c>
      <c r="CD112" s="20">
        <f>+MOP_Mes_Corriente!CD113*MOP_Mes_Constante!$CC$1</f>
        <v>0</v>
      </c>
      <c r="CE112" s="20">
        <f>+MOP_Mes_Corriente!CE113*MOP_Mes_Constante!$CC$1</f>
        <v>0</v>
      </c>
      <c r="CF112" s="20">
        <f>+MOP_Mes_Corriente!CF113*MOP_Mes_Constante!$CC$1</f>
        <v>0</v>
      </c>
      <c r="CG112" s="20">
        <f>+MOP_Mes_Corriente!CG113*MOP_Mes_Constante!$CC$1</f>
        <v>0</v>
      </c>
      <c r="CH112" s="20">
        <f>+MOP_Mes_Corriente!CH113*MOP_Mes_Constante!$CC$1</f>
        <v>0</v>
      </c>
      <c r="CI112" s="20">
        <f>+MOP_Mes_Corriente!CI113*MOP_Mes_Constante!$CC$1</f>
        <v>0</v>
      </c>
      <c r="CJ112" s="20">
        <f>+MOP_Mes_Corriente!CJ113*MOP_Mes_Constante!$CC$1</f>
        <v>0</v>
      </c>
      <c r="CK112" s="20">
        <f>+MOP_Mes_Corriente!CK113*MOP_Mes_Constante!$CC$1</f>
        <v>0</v>
      </c>
      <c r="CL112" s="20">
        <f>+MOP_Mes_Corriente!CL113*MOP_Mes_Constante!$CC$1</f>
        <v>0</v>
      </c>
      <c r="CM112" s="20">
        <f>+MOP_Mes_Corriente!CM113*MOP_Mes_Constante!$CC$1</f>
        <v>0</v>
      </c>
      <c r="CN112" s="20">
        <f>+MOP_Mes_Corriente!CN113*MOP_Mes_Constante!$CC$1</f>
        <v>0</v>
      </c>
      <c r="CO112" s="20">
        <f t="shared" si="158"/>
        <v>0</v>
      </c>
      <c r="CP112" s="20">
        <f>+MOP_Mes_Corriente!CP113*MOP_Mes_Constante!$CP$1</f>
        <v>0</v>
      </c>
      <c r="CQ112" s="20">
        <f>+MOP_Mes_Corriente!CQ113*MOP_Mes_Constante!$CP$1</f>
        <v>0</v>
      </c>
      <c r="CR112" s="20">
        <f>+MOP_Mes_Corriente!CR113*MOP_Mes_Constante!$CP$1</f>
        <v>0</v>
      </c>
      <c r="CS112" s="20">
        <f>+MOP_Mes_Corriente!CS113*MOP_Mes_Constante!$CP$1</f>
        <v>0</v>
      </c>
      <c r="CT112" s="20">
        <f>+MOP_Mes_Corriente!CT113*MOP_Mes_Constante!$CP$1</f>
        <v>0</v>
      </c>
      <c r="CU112" s="20">
        <f>+MOP_Mes_Corriente!CU113*MOP_Mes_Constante!$CP$1</f>
        <v>0</v>
      </c>
      <c r="CV112" s="20">
        <f>+MOP_Mes_Corriente!CV113*MOP_Mes_Constante!$CP$1</f>
        <v>0</v>
      </c>
      <c r="CW112" s="20">
        <f>+MOP_Mes_Corriente!CW113*MOP_Mes_Constante!$CP$1</f>
        <v>0</v>
      </c>
      <c r="CX112" s="20">
        <f>+MOP_Mes_Corriente!CX113*MOP_Mes_Constante!$CP$1</f>
        <v>0</v>
      </c>
      <c r="CY112" s="20">
        <f>+MOP_Mes_Corriente!CY113*MOP_Mes_Constante!$CP$1</f>
        <v>0</v>
      </c>
      <c r="CZ112" s="20">
        <f>+MOP_Mes_Corriente!CZ113*MOP_Mes_Constante!$CP$1</f>
        <v>0</v>
      </c>
      <c r="DA112" s="20">
        <f>+MOP_Mes_Corriente!DA113*MOP_Mes_Constante!$CP$1</f>
        <v>0</v>
      </c>
      <c r="DB112" s="20">
        <f t="shared" si="159"/>
        <v>0</v>
      </c>
      <c r="DC112" s="20">
        <f>+MOP_Mes_Corriente!DC113*MOP_Mes_Constante!$DC$1</f>
        <v>0</v>
      </c>
      <c r="DD112" s="20">
        <f>+MOP_Mes_Corriente!DD113*MOP_Mes_Constante!$DC$1</f>
        <v>0</v>
      </c>
      <c r="DE112" s="20">
        <f>+MOP_Mes_Corriente!DE113*MOP_Mes_Constante!$DC$1</f>
        <v>0</v>
      </c>
      <c r="DF112" s="20">
        <f>+MOP_Mes_Corriente!DF113*MOP_Mes_Constante!$DC$1</f>
        <v>0</v>
      </c>
      <c r="DG112" s="20">
        <f>+MOP_Mes_Corriente!DG113*MOP_Mes_Constante!$DC$1</f>
        <v>0</v>
      </c>
      <c r="DH112" s="20">
        <f>+MOP_Mes_Corriente!DH113*MOP_Mes_Constante!$DC$1</f>
        <v>0</v>
      </c>
      <c r="DI112" s="20">
        <f>+MOP_Mes_Corriente!DI113*MOP_Mes_Constante!$DC$1</f>
        <v>0</v>
      </c>
      <c r="DJ112" s="20">
        <f>+MOP_Mes_Corriente!DJ113*MOP_Mes_Constante!$DC$1</f>
        <v>0</v>
      </c>
      <c r="DK112" s="20">
        <f>+MOP_Mes_Corriente!DK113*MOP_Mes_Constante!$DC$1</f>
        <v>0</v>
      </c>
      <c r="DL112" s="20">
        <f>+MOP_Mes_Corriente!DL113*MOP_Mes_Constante!$DC$1</f>
        <v>0</v>
      </c>
      <c r="DM112" s="20">
        <f>+MOP_Mes_Corriente!DM113*MOP_Mes_Constante!$DC$1</f>
        <v>0</v>
      </c>
      <c r="DN112" s="20">
        <f>+MOP_Mes_Corriente!DN113*MOP_Mes_Constante!$DC$1</f>
        <v>0</v>
      </c>
      <c r="DO112" s="20">
        <f t="shared" si="160"/>
        <v>0</v>
      </c>
      <c r="DP112" s="20">
        <f>+MOP_Mes_Corriente!DP113*MOP_Mes_Constante!$DP$1</f>
        <v>0</v>
      </c>
      <c r="DQ112" s="20">
        <f>+MOP_Mes_Corriente!DQ113*MOP_Mes_Constante!$DP$1</f>
        <v>0</v>
      </c>
      <c r="DR112" s="20">
        <f>+MOP_Mes_Corriente!DR113*MOP_Mes_Constante!$DP$1</f>
        <v>0</v>
      </c>
      <c r="DS112" s="20">
        <f>+MOP_Mes_Corriente!DS113*MOP_Mes_Constante!$DP$1</f>
        <v>0</v>
      </c>
      <c r="DT112" s="20">
        <f>+MOP_Mes_Corriente!DT113*MOP_Mes_Constante!$DP$1</f>
        <v>0</v>
      </c>
      <c r="DU112" s="20">
        <f>+MOP_Mes_Corriente!DU113*MOP_Mes_Constante!$DP$1</f>
        <v>0</v>
      </c>
      <c r="DV112" s="20">
        <f>+MOP_Mes_Corriente!DV113*MOP_Mes_Constante!$DP$1</f>
        <v>0</v>
      </c>
      <c r="DW112" s="20">
        <f>+MOP_Mes_Corriente!DW113*MOP_Mes_Constante!$DP$1</f>
        <v>0</v>
      </c>
      <c r="DX112" s="20">
        <f>+MOP_Mes_Corriente!DX113*MOP_Mes_Constante!$DP$1</f>
        <v>0</v>
      </c>
      <c r="DY112" s="20">
        <f>+MOP_Mes_Corriente!DY113*MOP_Mes_Constante!$DP$1</f>
        <v>0</v>
      </c>
      <c r="DZ112" s="20">
        <f>+MOP_Mes_Corriente!DZ113*MOP_Mes_Constante!$DP$1</f>
        <v>0</v>
      </c>
      <c r="EA112" s="20">
        <f>+MOP_Mes_Corriente!EA113*MOP_Mes_Constante!$DP$1</f>
        <v>0</v>
      </c>
      <c r="EB112" s="20">
        <f t="shared" si="161"/>
        <v>0</v>
      </c>
      <c r="EC112" s="20">
        <f>+MOP_Mes_Corriente!EC113*MOP_Mes_Constante!$EC$1</f>
        <v>0</v>
      </c>
      <c r="ED112" s="20">
        <f>+MOP_Mes_Corriente!ED113*MOP_Mes_Constante!$EC$1</f>
        <v>0</v>
      </c>
      <c r="EE112" s="20">
        <f>+MOP_Mes_Corriente!EE113*MOP_Mes_Constante!$EC$1</f>
        <v>0</v>
      </c>
      <c r="EF112" s="20">
        <f>+MOP_Mes_Corriente!EF113*MOP_Mes_Constante!$EC$1</f>
        <v>0</v>
      </c>
      <c r="EG112" s="20">
        <f>+MOP_Mes_Corriente!EG113*MOP_Mes_Constante!$EC$1</f>
        <v>0</v>
      </c>
      <c r="EH112" s="20">
        <f>+MOP_Mes_Corriente!EH113*MOP_Mes_Constante!$EC$1</f>
        <v>0</v>
      </c>
      <c r="EI112" s="20">
        <f>+MOP_Mes_Corriente!EI113*MOP_Mes_Constante!$EC$1</f>
        <v>0</v>
      </c>
      <c r="EJ112" s="20">
        <f>+MOP_Mes_Corriente!EJ113*MOP_Mes_Constante!$EC$1</f>
        <v>0</v>
      </c>
      <c r="EK112" s="20">
        <f>+MOP_Mes_Corriente!EK113*MOP_Mes_Constante!$EC$1</f>
        <v>0</v>
      </c>
      <c r="EL112" s="20">
        <f>+MOP_Mes_Corriente!EL113*MOP_Mes_Constante!$EC$1</f>
        <v>0</v>
      </c>
      <c r="EM112" s="20">
        <f>+MOP_Mes_Corriente!EM113*MOP_Mes_Constante!$EC$1</f>
        <v>0</v>
      </c>
      <c r="EN112" s="20">
        <f>+MOP_Mes_Corriente!EN113*MOP_Mes_Constante!$EC$1</f>
        <v>0</v>
      </c>
      <c r="EO112" s="20">
        <f t="shared" si="162"/>
        <v>0</v>
      </c>
      <c r="EP112" s="20">
        <f>+MOP_Mes_Corriente!EP113*MOP_Mes_Constante!$EP$1</f>
        <v>0</v>
      </c>
      <c r="EQ112" s="20">
        <f>+MOP_Mes_Corriente!EQ113*MOP_Mes_Constante!$EP$1</f>
        <v>0</v>
      </c>
      <c r="ER112" s="20">
        <f>+MOP_Mes_Corriente!ER113*MOP_Mes_Constante!$EP$1</f>
        <v>0</v>
      </c>
      <c r="ES112" s="20">
        <f>+MOP_Mes_Corriente!ES113*MOP_Mes_Constante!$EP$1</f>
        <v>0</v>
      </c>
      <c r="ET112" s="20">
        <f>+MOP_Mes_Corriente!ET113*MOP_Mes_Constante!$EP$1</f>
        <v>0</v>
      </c>
      <c r="EU112" s="20">
        <f>+MOP_Mes_Corriente!EU113*MOP_Mes_Constante!$EP$1</f>
        <v>0</v>
      </c>
      <c r="EV112" s="20">
        <f>+MOP_Mes_Corriente!EV113*MOP_Mes_Constante!$EP$1</f>
        <v>0</v>
      </c>
      <c r="EW112" s="20">
        <f>+MOP_Mes_Corriente!EW113*MOP_Mes_Constante!$EP$1</f>
        <v>0</v>
      </c>
      <c r="EX112" s="20">
        <f>+MOP_Mes_Corriente!EX113*MOP_Mes_Constante!$EP$1</f>
        <v>0</v>
      </c>
      <c r="EY112" s="20">
        <f>+MOP_Mes_Corriente!EY113*MOP_Mes_Constante!$EP$1</f>
        <v>0</v>
      </c>
      <c r="EZ112" s="20">
        <f>+MOP_Mes_Corriente!EZ113*MOP_Mes_Constante!$EP$1</f>
        <v>0</v>
      </c>
      <c r="FA112" s="20">
        <f>+MOP_Mes_Corriente!FA113*MOP_Mes_Constante!$EP$1</f>
        <v>0</v>
      </c>
      <c r="FB112" s="20">
        <f t="shared" si="163"/>
        <v>0</v>
      </c>
      <c r="FC112" s="20">
        <f>+MOP_Mes_Corriente!FC113*MOP_Mes_Constante!$FC$1</f>
        <v>0</v>
      </c>
      <c r="FD112" s="20">
        <f>+MOP_Mes_Corriente!FD113*MOP_Mes_Constante!$FC$1</f>
        <v>0</v>
      </c>
      <c r="FE112" s="20">
        <f>+MOP_Mes_Corriente!FE113*MOP_Mes_Constante!$FC$1</f>
        <v>0</v>
      </c>
      <c r="FF112" s="20">
        <f>+MOP_Mes_Corriente!FF113*MOP_Mes_Constante!$FC$1</f>
        <v>0</v>
      </c>
      <c r="FG112" s="20">
        <f>+MOP_Mes_Corriente!FG113*MOP_Mes_Constante!$FC$1</f>
        <v>0</v>
      </c>
      <c r="FH112" s="20">
        <f>+MOP_Mes_Corriente!FH113*MOP_Mes_Constante!$FC$1</f>
        <v>0</v>
      </c>
      <c r="FI112" s="20">
        <f>+MOP_Mes_Corriente!FI113*MOP_Mes_Constante!$FC$1</f>
        <v>0</v>
      </c>
      <c r="FJ112" s="10"/>
      <c r="FK112" s="10"/>
      <c r="FL112" s="10"/>
      <c r="FM112" s="10"/>
      <c r="FN112" s="10"/>
      <c r="FO112" s="20">
        <f t="shared" si="164"/>
        <v>0</v>
      </c>
    </row>
    <row r="113" spans="1:171" ht="27.75" customHeight="1">
      <c r="A113" s="10"/>
      <c r="B113" s="19" t="s">
        <v>45</v>
      </c>
      <c r="C113" s="20">
        <f>+MOP_Mes_Corriente!C114*MOP_Mes_Constante!$C$1</f>
        <v>0</v>
      </c>
      <c r="D113" s="20">
        <f>+MOP_Mes_Corriente!D114*MOP_Mes_Constante!$C$1</f>
        <v>0</v>
      </c>
      <c r="E113" s="20">
        <f>+MOP_Mes_Corriente!E114*MOP_Mes_Constante!$C$1</f>
        <v>0</v>
      </c>
      <c r="F113" s="20">
        <f>+MOP_Mes_Corriente!F114*MOP_Mes_Constante!$C$1</f>
        <v>0</v>
      </c>
      <c r="G113" s="20">
        <f>+MOP_Mes_Corriente!G114*MOP_Mes_Constante!$C$1</f>
        <v>0</v>
      </c>
      <c r="H113" s="20">
        <f>+MOP_Mes_Corriente!H114*MOP_Mes_Constante!$C$1</f>
        <v>0</v>
      </c>
      <c r="I113" s="20">
        <f>+MOP_Mes_Corriente!I114*MOP_Mes_Constante!$C$1</f>
        <v>0</v>
      </c>
      <c r="J113" s="20">
        <f>+MOP_Mes_Corriente!J114*MOP_Mes_Constante!$C$1</f>
        <v>0</v>
      </c>
      <c r="K113" s="20">
        <f>+MOP_Mes_Corriente!K114*MOP_Mes_Constante!$C$1</f>
        <v>0</v>
      </c>
      <c r="L113" s="20">
        <f>+MOP_Mes_Corriente!L114*MOP_Mes_Constante!$C$1</f>
        <v>0</v>
      </c>
      <c r="M113" s="20">
        <f>+MOP_Mes_Corriente!M114*MOP_Mes_Constante!$C$1</f>
        <v>0</v>
      </c>
      <c r="N113" s="20">
        <f>+MOP_Mes_Corriente!N114*MOP_Mes_Constante!$C$1</f>
        <v>0</v>
      </c>
      <c r="O113" s="20">
        <f t="shared" si="152"/>
        <v>0</v>
      </c>
      <c r="P113" s="20">
        <f>+MOP_Mes_Corriente!P114*MOP_Mes_Constante!$P$1</f>
        <v>0</v>
      </c>
      <c r="Q113" s="20">
        <f>+MOP_Mes_Corriente!Q114*MOP_Mes_Constante!$P$1</f>
        <v>0</v>
      </c>
      <c r="R113" s="20">
        <f>+MOP_Mes_Corriente!R114*MOP_Mes_Constante!$P$1</f>
        <v>0</v>
      </c>
      <c r="S113" s="20">
        <f>+MOP_Mes_Corriente!S114*MOP_Mes_Constante!$P$1</f>
        <v>0</v>
      </c>
      <c r="T113" s="20">
        <f>+MOP_Mes_Corriente!T114*MOP_Mes_Constante!$P$1</f>
        <v>0</v>
      </c>
      <c r="U113" s="20">
        <f>+MOP_Mes_Corriente!U114*MOP_Mes_Constante!$P$1</f>
        <v>0</v>
      </c>
      <c r="V113" s="20">
        <f>+MOP_Mes_Corriente!V114*MOP_Mes_Constante!$P$1</f>
        <v>0</v>
      </c>
      <c r="W113" s="20">
        <f>+MOP_Mes_Corriente!W114*MOP_Mes_Constante!$P$1</f>
        <v>0</v>
      </c>
      <c r="X113" s="20">
        <f>+MOP_Mes_Corriente!X114*MOP_Mes_Constante!$P$1</f>
        <v>0</v>
      </c>
      <c r="Y113" s="20">
        <f>+MOP_Mes_Corriente!Y114*MOP_Mes_Constante!$P$1</f>
        <v>0</v>
      </c>
      <c r="Z113" s="20">
        <f>+MOP_Mes_Corriente!Z114*MOP_Mes_Constante!$P$1</f>
        <v>0</v>
      </c>
      <c r="AA113" s="20">
        <f>+MOP_Mes_Corriente!AA114*MOP_Mes_Constante!$P$1</f>
        <v>0</v>
      </c>
      <c r="AB113" s="20">
        <f t="shared" si="153"/>
        <v>0</v>
      </c>
      <c r="AC113" s="20">
        <f>+MOP_Mes_Corriente!AC114*MOP_Mes_Constante!$AC$1</f>
        <v>0</v>
      </c>
      <c r="AD113" s="20">
        <f>+MOP_Mes_Corriente!AD114*MOP_Mes_Constante!$AC$1</f>
        <v>0</v>
      </c>
      <c r="AE113" s="20">
        <f>+MOP_Mes_Corriente!AE114*MOP_Mes_Constante!$AC$1</f>
        <v>0</v>
      </c>
      <c r="AF113" s="20">
        <f>+MOP_Mes_Corriente!AF114*MOP_Mes_Constante!$AC$1</f>
        <v>0</v>
      </c>
      <c r="AG113" s="20">
        <f>+MOP_Mes_Corriente!AG114*MOP_Mes_Constante!$AC$1</f>
        <v>0</v>
      </c>
      <c r="AH113" s="20">
        <f>+MOP_Mes_Corriente!AH114*MOP_Mes_Constante!$AC$1</f>
        <v>0</v>
      </c>
      <c r="AI113" s="20">
        <f>+MOP_Mes_Corriente!AI114*MOP_Mes_Constante!$AC$1</f>
        <v>0</v>
      </c>
      <c r="AJ113" s="20">
        <f>+MOP_Mes_Corriente!AJ114*MOP_Mes_Constante!$AC$1</f>
        <v>0</v>
      </c>
      <c r="AK113" s="20">
        <f>+MOP_Mes_Corriente!AK114*MOP_Mes_Constante!$AC$1</f>
        <v>0</v>
      </c>
      <c r="AL113" s="20">
        <f>+MOP_Mes_Corriente!AL114*MOP_Mes_Constante!$AC$1</f>
        <v>0</v>
      </c>
      <c r="AM113" s="20">
        <f>+MOP_Mes_Corriente!AM114*MOP_Mes_Constante!$AC$1</f>
        <v>0</v>
      </c>
      <c r="AN113" s="20">
        <f>+MOP_Mes_Corriente!AN114*MOP_Mes_Constante!$AC$1</f>
        <v>0</v>
      </c>
      <c r="AO113" s="20">
        <f t="shared" si="154"/>
        <v>0</v>
      </c>
      <c r="AP113" s="20">
        <f>+MOP_Mes_Corriente!AP114*MOP_Mes_Constante!$AP$1</f>
        <v>0</v>
      </c>
      <c r="AQ113" s="20">
        <f>+MOP_Mes_Corriente!AQ114*MOP_Mes_Constante!$AP$1</f>
        <v>0</v>
      </c>
      <c r="AR113" s="20">
        <f>+MOP_Mes_Corriente!AR114*MOP_Mes_Constante!$AP$1</f>
        <v>0</v>
      </c>
      <c r="AS113" s="20">
        <f>+MOP_Mes_Corriente!AS114*MOP_Mes_Constante!$AP$1</f>
        <v>0</v>
      </c>
      <c r="AT113" s="20">
        <f>+MOP_Mes_Corriente!AT114*MOP_Mes_Constante!$AP$1</f>
        <v>0</v>
      </c>
      <c r="AU113" s="20">
        <f>+MOP_Mes_Corriente!AU114*MOP_Mes_Constante!$AP$1</f>
        <v>0</v>
      </c>
      <c r="AV113" s="20">
        <f>+MOP_Mes_Corriente!AV114*MOP_Mes_Constante!$AP$1</f>
        <v>0</v>
      </c>
      <c r="AW113" s="20">
        <f>+MOP_Mes_Corriente!AW114*MOP_Mes_Constante!$AP$1</f>
        <v>0</v>
      </c>
      <c r="AX113" s="20">
        <f>+MOP_Mes_Corriente!AX114*MOP_Mes_Constante!$AP$1</f>
        <v>0</v>
      </c>
      <c r="AY113" s="20">
        <f>+MOP_Mes_Corriente!AY114*MOP_Mes_Constante!$AP$1</f>
        <v>0</v>
      </c>
      <c r="AZ113" s="20">
        <f>+MOP_Mes_Corriente!AZ114*MOP_Mes_Constante!$AP$1</f>
        <v>0</v>
      </c>
      <c r="BA113" s="20">
        <f>+MOP_Mes_Corriente!BA114*MOP_Mes_Constante!$AP$1</f>
        <v>0</v>
      </c>
      <c r="BB113" s="20">
        <f t="shared" si="155"/>
        <v>0</v>
      </c>
      <c r="BC113" s="20">
        <f>+MOP_Mes_Corriente!BC114*MOP_Mes_Constante!$BC$1</f>
        <v>0</v>
      </c>
      <c r="BD113" s="20">
        <f>+MOP_Mes_Corriente!BD114*MOP_Mes_Constante!$BC$1</f>
        <v>0</v>
      </c>
      <c r="BE113" s="20">
        <f>+MOP_Mes_Corriente!BE114*MOP_Mes_Constante!$BC$1</f>
        <v>0</v>
      </c>
      <c r="BF113" s="20">
        <f>+MOP_Mes_Corriente!BF114*MOP_Mes_Constante!$BC$1</f>
        <v>0</v>
      </c>
      <c r="BG113" s="20">
        <f>+MOP_Mes_Corriente!BG114*MOP_Mes_Constante!$BC$1</f>
        <v>0</v>
      </c>
      <c r="BH113" s="20">
        <f>+MOP_Mes_Corriente!BH114*MOP_Mes_Constante!$BC$1</f>
        <v>0</v>
      </c>
      <c r="BI113" s="20">
        <f>+MOP_Mes_Corriente!BI114*MOP_Mes_Constante!$BC$1</f>
        <v>0</v>
      </c>
      <c r="BJ113" s="20">
        <f>+MOP_Mes_Corriente!BJ114*MOP_Mes_Constante!$BC$1</f>
        <v>0</v>
      </c>
      <c r="BK113" s="20">
        <f>+MOP_Mes_Corriente!BK114*MOP_Mes_Constante!$BC$1</f>
        <v>0</v>
      </c>
      <c r="BL113" s="20">
        <f>+MOP_Mes_Corriente!BL114*MOP_Mes_Constante!$BC$1</f>
        <v>0</v>
      </c>
      <c r="BM113" s="20">
        <f>+MOP_Mes_Corriente!BM114*MOP_Mes_Constante!$BC$1</f>
        <v>0</v>
      </c>
      <c r="BN113" s="20">
        <f>+MOP_Mes_Corriente!BN114*MOP_Mes_Constante!$BC$1</f>
        <v>0</v>
      </c>
      <c r="BO113" s="20">
        <f t="shared" si="156"/>
        <v>0</v>
      </c>
      <c r="BP113" s="20">
        <f>+MOP_Mes_Corriente!BP114*MOP_Mes_Constante!$BP$1</f>
        <v>0</v>
      </c>
      <c r="BQ113" s="20">
        <f>+MOP_Mes_Corriente!BQ114*MOP_Mes_Constante!$BP$1</f>
        <v>0</v>
      </c>
      <c r="BR113" s="20">
        <f>+MOP_Mes_Corriente!BR114*MOP_Mes_Constante!$BP$1</f>
        <v>0</v>
      </c>
      <c r="BS113" s="20">
        <f>+MOP_Mes_Corriente!BS114*MOP_Mes_Constante!$BP$1</f>
        <v>0</v>
      </c>
      <c r="BT113" s="20">
        <f>+MOP_Mes_Corriente!BT114*MOP_Mes_Constante!$BP$1</f>
        <v>0</v>
      </c>
      <c r="BU113" s="20">
        <f>+MOP_Mes_Corriente!BU114*MOP_Mes_Constante!$BP$1</f>
        <v>0</v>
      </c>
      <c r="BV113" s="20">
        <f>+MOP_Mes_Corriente!BV114*MOP_Mes_Constante!$BP$1</f>
        <v>0</v>
      </c>
      <c r="BW113" s="20">
        <f>+MOP_Mes_Corriente!BW114*MOP_Mes_Constante!$BP$1</f>
        <v>0</v>
      </c>
      <c r="BX113" s="20">
        <f>+MOP_Mes_Corriente!BX114*MOP_Mes_Constante!$BP$1</f>
        <v>0</v>
      </c>
      <c r="BY113" s="20">
        <f>+MOP_Mes_Corriente!BY114*MOP_Mes_Constante!$BP$1</f>
        <v>0</v>
      </c>
      <c r="BZ113" s="20">
        <f>+MOP_Mes_Corriente!BZ114*MOP_Mes_Constante!$BP$1</f>
        <v>0</v>
      </c>
      <c r="CA113" s="20">
        <f>+MOP_Mes_Corriente!CA114*MOP_Mes_Constante!$BP$1</f>
        <v>0</v>
      </c>
      <c r="CB113" s="20">
        <f t="shared" si="157"/>
        <v>0</v>
      </c>
      <c r="CC113" s="20">
        <f>+MOP_Mes_Corriente!CC114*MOP_Mes_Constante!$CC$1</f>
        <v>0</v>
      </c>
      <c r="CD113" s="20">
        <f>+MOP_Mes_Corriente!CD114*MOP_Mes_Constante!$CC$1</f>
        <v>0</v>
      </c>
      <c r="CE113" s="20">
        <f>+MOP_Mes_Corriente!CE114*MOP_Mes_Constante!$CC$1</f>
        <v>0</v>
      </c>
      <c r="CF113" s="20">
        <f>+MOP_Mes_Corriente!CF114*MOP_Mes_Constante!$CC$1</f>
        <v>0</v>
      </c>
      <c r="CG113" s="20">
        <f>+MOP_Mes_Corriente!CG114*MOP_Mes_Constante!$CC$1</f>
        <v>0</v>
      </c>
      <c r="CH113" s="20">
        <f>+MOP_Mes_Corriente!CH114*MOP_Mes_Constante!$CC$1</f>
        <v>0</v>
      </c>
      <c r="CI113" s="20">
        <f>+MOP_Mes_Corriente!CI114*MOP_Mes_Constante!$CC$1</f>
        <v>0</v>
      </c>
      <c r="CJ113" s="20">
        <f>+MOP_Mes_Corriente!CJ114*MOP_Mes_Constante!$CC$1</f>
        <v>0</v>
      </c>
      <c r="CK113" s="20">
        <f>+MOP_Mes_Corriente!CK114*MOP_Mes_Constante!$CC$1</f>
        <v>0</v>
      </c>
      <c r="CL113" s="20">
        <f>+MOP_Mes_Corriente!CL114*MOP_Mes_Constante!$CC$1</f>
        <v>0</v>
      </c>
      <c r="CM113" s="20">
        <f>+MOP_Mes_Corriente!CM114*MOP_Mes_Constante!$CC$1</f>
        <v>0</v>
      </c>
      <c r="CN113" s="20">
        <f>+MOP_Mes_Corriente!CN114*MOP_Mes_Constante!$CC$1</f>
        <v>0</v>
      </c>
      <c r="CO113" s="20">
        <f t="shared" si="158"/>
        <v>0</v>
      </c>
      <c r="CP113" s="20">
        <f>+MOP_Mes_Corriente!CP114*MOP_Mes_Constante!$CP$1</f>
        <v>0</v>
      </c>
      <c r="CQ113" s="20">
        <f>+MOP_Mes_Corriente!CQ114*MOP_Mes_Constante!$CP$1</f>
        <v>0</v>
      </c>
      <c r="CR113" s="20">
        <f>+MOP_Mes_Corriente!CR114*MOP_Mes_Constante!$CP$1</f>
        <v>0</v>
      </c>
      <c r="CS113" s="20">
        <f>+MOP_Mes_Corriente!CS114*MOP_Mes_Constante!$CP$1</f>
        <v>0</v>
      </c>
      <c r="CT113" s="20">
        <f>+MOP_Mes_Corriente!CT114*MOP_Mes_Constante!$CP$1</f>
        <v>0</v>
      </c>
      <c r="CU113" s="20">
        <f>+MOP_Mes_Corriente!CU114*MOP_Mes_Constante!$CP$1</f>
        <v>0</v>
      </c>
      <c r="CV113" s="20">
        <f>+MOP_Mes_Corriente!CV114*MOP_Mes_Constante!$CP$1</f>
        <v>0</v>
      </c>
      <c r="CW113" s="20">
        <f>+MOP_Mes_Corriente!CW114*MOP_Mes_Constante!$CP$1</f>
        <v>0</v>
      </c>
      <c r="CX113" s="20">
        <f>+MOP_Mes_Corriente!CX114*MOP_Mes_Constante!$CP$1</f>
        <v>0</v>
      </c>
      <c r="CY113" s="20">
        <f>+MOP_Mes_Corriente!CY114*MOP_Mes_Constante!$CP$1</f>
        <v>0</v>
      </c>
      <c r="CZ113" s="20">
        <f>+MOP_Mes_Corriente!CZ114*MOP_Mes_Constante!$CP$1</f>
        <v>0</v>
      </c>
      <c r="DA113" s="20">
        <f>+MOP_Mes_Corriente!DA114*MOP_Mes_Constante!$CP$1</f>
        <v>0</v>
      </c>
      <c r="DB113" s="20">
        <f t="shared" si="159"/>
        <v>0</v>
      </c>
      <c r="DC113" s="20">
        <f>+MOP_Mes_Corriente!DC114*MOP_Mes_Constante!$DC$1</f>
        <v>0</v>
      </c>
      <c r="DD113" s="20">
        <f>+MOP_Mes_Corriente!DD114*MOP_Mes_Constante!$DC$1</f>
        <v>0</v>
      </c>
      <c r="DE113" s="20">
        <f>+MOP_Mes_Corriente!DE114*MOP_Mes_Constante!$DC$1</f>
        <v>0</v>
      </c>
      <c r="DF113" s="20">
        <f>+MOP_Mes_Corriente!DF114*MOP_Mes_Constante!$DC$1</f>
        <v>0</v>
      </c>
      <c r="DG113" s="20">
        <f>+MOP_Mes_Corriente!DG114*MOP_Mes_Constante!$DC$1</f>
        <v>0</v>
      </c>
      <c r="DH113" s="20">
        <f>+MOP_Mes_Corriente!DH114*MOP_Mes_Constante!$DC$1</f>
        <v>0</v>
      </c>
      <c r="DI113" s="20">
        <f>+MOP_Mes_Corriente!DI114*MOP_Mes_Constante!$DC$1</f>
        <v>0</v>
      </c>
      <c r="DJ113" s="20">
        <f>+MOP_Mes_Corriente!DJ114*MOP_Mes_Constante!$DC$1</f>
        <v>0</v>
      </c>
      <c r="DK113" s="20">
        <f>+MOP_Mes_Corriente!DK114*MOP_Mes_Constante!$DC$1</f>
        <v>0</v>
      </c>
      <c r="DL113" s="20">
        <f>+MOP_Mes_Corriente!DL114*MOP_Mes_Constante!$DC$1</f>
        <v>0</v>
      </c>
      <c r="DM113" s="20">
        <f>+MOP_Mes_Corriente!DM114*MOP_Mes_Constante!$DC$1</f>
        <v>0</v>
      </c>
      <c r="DN113" s="20">
        <f>+MOP_Mes_Corriente!DN114*MOP_Mes_Constante!$DC$1</f>
        <v>0</v>
      </c>
      <c r="DO113" s="20">
        <f t="shared" si="160"/>
        <v>0</v>
      </c>
      <c r="DP113" s="20">
        <f>+MOP_Mes_Corriente!DP114*MOP_Mes_Constante!$DP$1</f>
        <v>0</v>
      </c>
      <c r="DQ113" s="20">
        <f>+MOP_Mes_Corriente!DQ114*MOP_Mes_Constante!$DP$1</f>
        <v>0</v>
      </c>
      <c r="DR113" s="20">
        <f>+MOP_Mes_Corriente!DR114*MOP_Mes_Constante!$DP$1</f>
        <v>0</v>
      </c>
      <c r="DS113" s="20">
        <f>+MOP_Mes_Corriente!DS114*MOP_Mes_Constante!$DP$1</f>
        <v>0</v>
      </c>
      <c r="DT113" s="20">
        <f>+MOP_Mes_Corriente!DT114*MOP_Mes_Constante!$DP$1</f>
        <v>0</v>
      </c>
      <c r="DU113" s="20">
        <f>+MOP_Mes_Corriente!DU114*MOP_Mes_Constante!$DP$1</f>
        <v>0</v>
      </c>
      <c r="DV113" s="20">
        <f>+MOP_Mes_Corriente!DV114*MOP_Mes_Constante!$DP$1</f>
        <v>1135.4216152019003</v>
      </c>
      <c r="DW113" s="20">
        <f>+MOP_Mes_Corriente!DW114*MOP_Mes_Constante!$DP$1</f>
        <v>1135.4216152019003</v>
      </c>
      <c r="DX113" s="20">
        <f>+MOP_Mes_Corriente!DX114*MOP_Mes_Constante!$DP$1</f>
        <v>40869.771377672216</v>
      </c>
      <c r="DY113" s="20">
        <f>+MOP_Mes_Corriente!DY114*MOP_Mes_Constante!$DP$1</f>
        <v>183271.10629453685</v>
      </c>
      <c r="DZ113" s="20">
        <f>+MOP_Mes_Corriente!DZ114*MOP_Mes_Constante!$DP$1</f>
        <v>911617.03859857493</v>
      </c>
      <c r="EA113" s="20">
        <f>+MOP_Mes_Corriente!EA114*MOP_Mes_Constante!$DP$1</f>
        <v>4176036.3652019007</v>
      </c>
      <c r="EB113" s="20">
        <f t="shared" si="161"/>
        <v>4176036.3652019007</v>
      </c>
      <c r="EC113" s="20">
        <f>+MOP_Mes_Corriente!EC114*MOP_Mes_Constante!$EC$1</f>
        <v>0</v>
      </c>
      <c r="ED113" s="20">
        <f>+MOP_Mes_Corriente!ED114*MOP_Mes_Constante!$EC$1</f>
        <v>0</v>
      </c>
      <c r="EE113" s="20">
        <f>+MOP_Mes_Corriente!EE114*MOP_Mes_Constante!$EC$1</f>
        <v>0</v>
      </c>
      <c r="EF113" s="20">
        <f>+MOP_Mes_Corriente!EF114*MOP_Mes_Constante!$EC$1</f>
        <v>0</v>
      </c>
      <c r="EG113" s="20">
        <f>+MOP_Mes_Corriente!EG114*MOP_Mes_Constante!$EC$1</f>
        <v>0</v>
      </c>
      <c r="EH113" s="20">
        <f>+MOP_Mes_Corriente!EH114*MOP_Mes_Constante!$EC$1</f>
        <v>0</v>
      </c>
      <c r="EI113" s="20">
        <f>+MOP_Mes_Corriente!EI114*MOP_Mes_Constante!$EC$1</f>
        <v>0</v>
      </c>
      <c r="EJ113" s="20">
        <f>+MOP_Mes_Corriente!EJ114*MOP_Mes_Constante!$EC$1</f>
        <v>0</v>
      </c>
      <c r="EK113" s="20">
        <f>+MOP_Mes_Corriente!EK114*MOP_Mes_Constante!$EC$1</f>
        <v>0</v>
      </c>
      <c r="EL113" s="20">
        <f>+MOP_Mes_Corriente!EL114*MOP_Mes_Constante!$EC$1</f>
        <v>0</v>
      </c>
      <c r="EM113" s="20">
        <f>+MOP_Mes_Corriente!EM114*MOP_Mes_Constante!$EC$1</f>
        <v>0</v>
      </c>
      <c r="EN113" s="20">
        <f>+MOP_Mes_Corriente!EN114*MOP_Mes_Constante!$EC$1</f>
        <v>0</v>
      </c>
      <c r="EO113" s="20">
        <f t="shared" si="162"/>
        <v>0</v>
      </c>
      <c r="EP113" s="20">
        <f>+MOP_Mes_Corriente!EP114*MOP_Mes_Constante!$EP$1</f>
        <v>0</v>
      </c>
      <c r="EQ113" s="20">
        <f>+MOP_Mes_Corriente!EQ114*MOP_Mes_Constante!$EP$1</f>
        <v>0</v>
      </c>
      <c r="ER113" s="20">
        <f>+MOP_Mes_Corriente!ER114*MOP_Mes_Constante!$EP$1</f>
        <v>0</v>
      </c>
      <c r="ES113" s="20">
        <f>+MOP_Mes_Corriente!ES114*MOP_Mes_Constante!$EP$1</f>
        <v>0</v>
      </c>
      <c r="ET113" s="20">
        <f>+MOP_Mes_Corriente!ET114*MOP_Mes_Constante!$EP$1</f>
        <v>0</v>
      </c>
      <c r="EU113" s="20">
        <f>+MOP_Mes_Corriente!EU114*MOP_Mes_Constante!$EP$1</f>
        <v>0</v>
      </c>
      <c r="EV113" s="20">
        <f>+MOP_Mes_Corriente!EV114*MOP_Mes_Constante!$EP$1</f>
        <v>0</v>
      </c>
      <c r="EW113" s="20">
        <f>+MOP_Mes_Corriente!EW114*MOP_Mes_Constante!$EP$1</f>
        <v>0</v>
      </c>
      <c r="EX113" s="20">
        <f>+MOP_Mes_Corriente!EX114*MOP_Mes_Constante!$EP$1</f>
        <v>0</v>
      </c>
      <c r="EY113" s="20">
        <f>+MOP_Mes_Corriente!EY114*MOP_Mes_Constante!$EP$1</f>
        <v>0</v>
      </c>
      <c r="EZ113" s="20">
        <f>+MOP_Mes_Corriente!EZ114*MOP_Mes_Constante!$EP$1</f>
        <v>0</v>
      </c>
      <c r="FA113" s="20">
        <f>+MOP_Mes_Corriente!FA114*MOP_Mes_Constante!$EP$1</f>
        <v>0</v>
      </c>
      <c r="FB113" s="20">
        <f t="shared" si="163"/>
        <v>0</v>
      </c>
      <c r="FC113" s="20">
        <f>+MOP_Mes_Corriente!FC114*MOP_Mes_Constante!$FC$1</f>
        <v>0</v>
      </c>
      <c r="FD113" s="20">
        <f>+MOP_Mes_Corriente!FD114*MOP_Mes_Constante!$FC$1</f>
        <v>0</v>
      </c>
      <c r="FE113" s="20">
        <f>+MOP_Mes_Corriente!FE114*MOP_Mes_Constante!$FC$1</f>
        <v>0</v>
      </c>
      <c r="FF113" s="20">
        <f>+MOP_Mes_Corriente!FF114*MOP_Mes_Constante!$FC$1</f>
        <v>0</v>
      </c>
      <c r="FG113" s="20">
        <f>+MOP_Mes_Corriente!FG114*MOP_Mes_Constante!$FC$1</f>
        <v>0</v>
      </c>
      <c r="FH113" s="20">
        <f>+MOP_Mes_Corriente!FH114*MOP_Mes_Constante!$FC$1</f>
        <v>0</v>
      </c>
      <c r="FI113" s="20">
        <f>+MOP_Mes_Corriente!FI114*MOP_Mes_Constante!$FC$1</f>
        <v>0</v>
      </c>
      <c r="FJ113" s="10"/>
      <c r="FK113" s="10"/>
      <c r="FL113" s="10"/>
      <c r="FM113" s="10"/>
      <c r="FN113" s="10"/>
      <c r="FO113" s="20">
        <f t="shared" si="164"/>
        <v>0</v>
      </c>
    </row>
    <row r="114" spans="1:171" ht="27.75" customHeight="1">
      <c r="A114" s="10"/>
      <c r="B114" s="19" t="s">
        <v>46</v>
      </c>
      <c r="C114" s="20">
        <f>+MOP_Mes_Corriente!C115*MOP_Mes_Constante!$C$1</f>
        <v>0</v>
      </c>
      <c r="D114" s="20">
        <f>+MOP_Mes_Corriente!D115*MOP_Mes_Constante!$C$1</f>
        <v>0</v>
      </c>
      <c r="E114" s="20">
        <f>+MOP_Mes_Corriente!E115*MOP_Mes_Constante!$C$1</f>
        <v>0</v>
      </c>
      <c r="F114" s="20">
        <f>+MOP_Mes_Corriente!F115*MOP_Mes_Constante!$C$1</f>
        <v>0</v>
      </c>
      <c r="G114" s="20">
        <f>+MOP_Mes_Corriente!G115*MOP_Mes_Constante!$C$1</f>
        <v>0</v>
      </c>
      <c r="H114" s="20">
        <f>+MOP_Mes_Corriente!H115*MOP_Mes_Constante!$C$1</f>
        <v>0</v>
      </c>
      <c r="I114" s="20">
        <f>+MOP_Mes_Corriente!I115*MOP_Mes_Constante!$C$1</f>
        <v>0</v>
      </c>
      <c r="J114" s="20">
        <f>+MOP_Mes_Corriente!J115*MOP_Mes_Constante!$C$1</f>
        <v>0</v>
      </c>
      <c r="K114" s="20">
        <f>+MOP_Mes_Corriente!K115*MOP_Mes_Constante!$C$1</f>
        <v>0</v>
      </c>
      <c r="L114" s="20">
        <f>+MOP_Mes_Corriente!L115*MOP_Mes_Constante!$C$1</f>
        <v>0</v>
      </c>
      <c r="M114" s="20">
        <f>+MOP_Mes_Corriente!M115*MOP_Mes_Constante!$C$1</f>
        <v>0</v>
      </c>
      <c r="N114" s="20">
        <f>+MOP_Mes_Corriente!N115*MOP_Mes_Constante!$C$1</f>
        <v>0</v>
      </c>
      <c r="O114" s="20">
        <f t="shared" si="152"/>
        <v>0</v>
      </c>
      <c r="P114" s="20">
        <f>+MOP_Mes_Corriente!P115*MOP_Mes_Constante!$P$1</f>
        <v>0</v>
      </c>
      <c r="Q114" s="20">
        <f>+MOP_Mes_Corriente!Q115*MOP_Mes_Constante!$P$1</f>
        <v>0</v>
      </c>
      <c r="R114" s="20">
        <f>+MOP_Mes_Corriente!R115*MOP_Mes_Constante!$P$1</f>
        <v>0</v>
      </c>
      <c r="S114" s="20">
        <f>+MOP_Mes_Corriente!S115*MOP_Mes_Constante!$P$1</f>
        <v>0</v>
      </c>
      <c r="T114" s="20">
        <f>+MOP_Mes_Corriente!T115*MOP_Mes_Constante!$P$1</f>
        <v>0</v>
      </c>
      <c r="U114" s="20">
        <f>+MOP_Mes_Corriente!U115*MOP_Mes_Constante!$P$1</f>
        <v>0</v>
      </c>
      <c r="V114" s="20">
        <f>+MOP_Mes_Corriente!V115*MOP_Mes_Constante!$P$1</f>
        <v>0</v>
      </c>
      <c r="W114" s="20">
        <f>+MOP_Mes_Corriente!W115*MOP_Mes_Constante!$P$1</f>
        <v>0</v>
      </c>
      <c r="X114" s="20">
        <f>+MOP_Mes_Corriente!X115*MOP_Mes_Constante!$P$1</f>
        <v>0</v>
      </c>
      <c r="Y114" s="20">
        <f>+MOP_Mes_Corriente!Y115*MOP_Mes_Constante!$P$1</f>
        <v>0</v>
      </c>
      <c r="Z114" s="20">
        <f>+MOP_Mes_Corriente!Z115*MOP_Mes_Constante!$P$1</f>
        <v>0</v>
      </c>
      <c r="AA114" s="20">
        <f>+MOP_Mes_Corriente!AA115*MOP_Mes_Constante!$P$1</f>
        <v>0</v>
      </c>
      <c r="AB114" s="20">
        <f t="shared" si="153"/>
        <v>0</v>
      </c>
      <c r="AC114" s="20">
        <f>+MOP_Mes_Corriente!AC115*MOP_Mes_Constante!$AC$1</f>
        <v>0</v>
      </c>
      <c r="AD114" s="20">
        <f>+MOP_Mes_Corriente!AD115*MOP_Mes_Constante!$AC$1</f>
        <v>0</v>
      </c>
      <c r="AE114" s="20">
        <f>+MOP_Mes_Corriente!AE115*MOP_Mes_Constante!$AC$1</f>
        <v>0</v>
      </c>
      <c r="AF114" s="20">
        <f>+MOP_Mes_Corriente!AF115*MOP_Mes_Constante!$AC$1</f>
        <v>0</v>
      </c>
      <c r="AG114" s="20">
        <f>+MOP_Mes_Corriente!AG115*MOP_Mes_Constante!$AC$1</f>
        <v>0</v>
      </c>
      <c r="AH114" s="20">
        <f>+MOP_Mes_Corriente!AH115*MOP_Mes_Constante!$AC$1</f>
        <v>0</v>
      </c>
      <c r="AI114" s="20">
        <f>+MOP_Mes_Corriente!AI115*MOP_Mes_Constante!$AC$1</f>
        <v>0</v>
      </c>
      <c r="AJ114" s="20">
        <f>+MOP_Mes_Corriente!AJ115*MOP_Mes_Constante!$AC$1</f>
        <v>0</v>
      </c>
      <c r="AK114" s="20">
        <f>+MOP_Mes_Corriente!AK115*MOP_Mes_Constante!$AC$1</f>
        <v>0</v>
      </c>
      <c r="AL114" s="20">
        <f>+MOP_Mes_Corriente!AL115*MOP_Mes_Constante!$AC$1</f>
        <v>0</v>
      </c>
      <c r="AM114" s="20">
        <f>+MOP_Mes_Corriente!AM115*MOP_Mes_Constante!$AC$1</f>
        <v>0</v>
      </c>
      <c r="AN114" s="20">
        <f>+MOP_Mes_Corriente!AN115*MOP_Mes_Constante!$AC$1</f>
        <v>0</v>
      </c>
      <c r="AO114" s="20">
        <f t="shared" si="154"/>
        <v>0</v>
      </c>
      <c r="AP114" s="20">
        <f>+MOP_Mes_Corriente!AP115*MOP_Mes_Constante!$AP$1</f>
        <v>0</v>
      </c>
      <c r="AQ114" s="20">
        <f>+MOP_Mes_Corriente!AQ115*MOP_Mes_Constante!$AP$1</f>
        <v>0</v>
      </c>
      <c r="AR114" s="20">
        <f>+MOP_Mes_Corriente!AR115*MOP_Mes_Constante!$AP$1</f>
        <v>0</v>
      </c>
      <c r="AS114" s="20">
        <f>+MOP_Mes_Corriente!AS115*MOP_Mes_Constante!$AP$1</f>
        <v>0</v>
      </c>
      <c r="AT114" s="20">
        <f>+MOP_Mes_Corriente!AT115*MOP_Mes_Constante!$AP$1</f>
        <v>0</v>
      </c>
      <c r="AU114" s="20">
        <f>+MOP_Mes_Corriente!AU115*MOP_Mes_Constante!$AP$1</f>
        <v>0</v>
      </c>
      <c r="AV114" s="20">
        <f>+MOP_Mes_Corriente!AV115*MOP_Mes_Constante!$AP$1</f>
        <v>0</v>
      </c>
      <c r="AW114" s="20">
        <f>+MOP_Mes_Corriente!AW115*MOP_Mes_Constante!$AP$1</f>
        <v>0</v>
      </c>
      <c r="AX114" s="20">
        <f>+MOP_Mes_Corriente!AX115*MOP_Mes_Constante!$AP$1</f>
        <v>0</v>
      </c>
      <c r="AY114" s="20">
        <f>+MOP_Mes_Corriente!AY115*MOP_Mes_Constante!$AP$1</f>
        <v>0</v>
      </c>
      <c r="AZ114" s="20">
        <f>+MOP_Mes_Corriente!AZ115*MOP_Mes_Constante!$AP$1</f>
        <v>0</v>
      </c>
      <c r="BA114" s="20">
        <f>+MOP_Mes_Corriente!BA115*MOP_Mes_Constante!$AP$1</f>
        <v>0</v>
      </c>
      <c r="BB114" s="20">
        <f t="shared" si="155"/>
        <v>0</v>
      </c>
      <c r="BC114" s="20">
        <f>+MOP_Mes_Corriente!BC115*MOP_Mes_Constante!$BC$1</f>
        <v>0</v>
      </c>
      <c r="BD114" s="20">
        <f>+MOP_Mes_Corriente!BD115*MOP_Mes_Constante!$BC$1</f>
        <v>0</v>
      </c>
      <c r="BE114" s="20">
        <f>+MOP_Mes_Corriente!BE115*MOP_Mes_Constante!$BC$1</f>
        <v>0</v>
      </c>
      <c r="BF114" s="20">
        <f>+MOP_Mes_Corriente!BF115*MOP_Mes_Constante!$BC$1</f>
        <v>0</v>
      </c>
      <c r="BG114" s="20">
        <f>+MOP_Mes_Corriente!BG115*MOP_Mes_Constante!$BC$1</f>
        <v>0</v>
      </c>
      <c r="BH114" s="20">
        <f>+MOP_Mes_Corriente!BH115*MOP_Mes_Constante!$BC$1</f>
        <v>0</v>
      </c>
      <c r="BI114" s="20">
        <f>+MOP_Mes_Corriente!BI115*MOP_Mes_Constante!$BC$1</f>
        <v>0</v>
      </c>
      <c r="BJ114" s="20">
        <f>+MOP_Mes_Corriente!BJ115*MOP_Mes_Constante!$BC$1</f>
        <v>0</v>
      </c>
      <c r="BK114" s="20">
        <f>+MOP_Mes_Corriente!BK115*MOP_Mes_Constante!$BC$1</f>
        <v>0</v>
      </c>
      <c r="BL114" s="20">
        <f>+MOP_Mes_Corriente!BL115*MOP_Mes_Constante!$BC$1</f>
        <v>0</v>
      </c>
      <c r="BM114" s="20">
        <f>+MOP_Mes_Corriente!BM115*MOP_Mes_Constante!$BC$1</f>
        <v>0</v>
      </c>
      <c r="BN114" s="20">
        <f>+MOP_Mes_Corriente!BN115*MOP_Mes_Constante!$BC$1</f>
        <v>0</v>
      </c>
      <c r="BO114" s="20">
        <f t="shared" si="156"/>
        <v>0</v>
      </c>
      <c r="BP114" s="20">
        <f>+MOP_Mes_Corriente!BP115*MOP_Mes_Constante!$BP$1</f>
        <v>0</v>
      </c>
      <c r="BQ114" s="20">
        <f>+MOP_Mes_Corriente!BQ115*MOP_Mes_Constante!$BP$1</f>
        <v>0</v>
      </c>
      <c r="BR114" s="20">
        <f>+MOP_Mes_Corriente!BR115*MOP_Mes_Constante!$BP$1</f>
        <v>0</v>
      </c>
      <c r="BS114" s="20">
        <f>+MOP_Mes_Corriente!BS115*MOP_Mes_Constante!$BP$1</f>
        <v>0</v>
      </c>
      <c r="BT114" s="20">
        <f>+MOP_Mes_Corriente!BT115*MOP_Mes_Constante!$BP$1</f>
        <v>0</v>
      </c>
      <c r="BU114" s="20">
        <f>+MOP_Mes_Corriente!BU115*MOP_Mes_Constante!$BP$1</f>
        <v>0</v>
      </c>
      <c r="BV114" s="20">
        <f>+MOP_Mes_Corriente!BV115*MOP_Mes_Constante!$BP$1</f>
        <v>0</v>
      </c>
      <c r="BW114" s="20">
        <f>+MOP_Mes_Corriente!BW115*MOP_Mes_Constante!$BP$1</f>
        <v>0</v>
      </c>
      <c r="BX114" s="20">
        <f>+MOP_Mes_Corriente!BX115*MOP_Mes_Constante!$BP$1</f>
        <v>0</v>
      </c>
      <c r="BY114" s="20">
        <f>+MOP_Mes_Corriente!BY115*MOP_Mes_Constante!$BP$1</f>
        <v>0</v>
      </c>
      <c r="BZ114" s="20">
        <f>+MOP_Mes_Corriente!BZ115*MOP_Mes_Constante!$BP$1</f>
        <v>0</v>
      </c>
      <c r="CA114" s="20">
        <f>+MOP_Mes_Corriente!CA115*MOP_Mes_Constante!$BP$1</f>
        <v>0</v>
      </c>
      <c r="CB114" s="20">
        <f t="shared" si="157"/>
        <v>0</v>
      </c>
      <c r="CC114" s="20">
        <f>+MOP_Mes_Corriente!CC115*MOP_Mes_Constante!$CC$1</f>
        <v>0</v>
      </c>
      <c r="CD114" s="20">
        <f>+MOP_Mes_Corriente!CD115*MOP_Mes_Constante!$CC$1</f>
        <v>0</v>
      </c>
      <c r="CE114" s="20">
        <f>+MOP_Mes_Corriente!CE115*MOP_Mes_Constante!$CC$1</f>
        <v>0</v>
      </c>
      <c r="CF114" s="20">
        <f>+MOP_Mes_Corriente!CF115*MOP_Mes_Constante!$CC$1</f>
        <v>0</v>
      </c>
      <c r="CG114" s="20">
        <f>+MOP_Mes_Corriente!CG115*MOP_Mes_Constante!$CC$1</f>
        <v>0</v>
      </c>
      <c r="CH114" s="20">
        <f>+MOP_Mes_Corriente!CH115*MOP_Mes_Constante!$CC$1</f>
        <v>0</v>
      </c>
      <c r="CI114" s="20">
        <f>+MOP_Mes_Corriente!CI115*MOP_Mes_Constante!$CC$1</f>
        <v>0</v>
      </c>
      <c r="CJ114" s="20">
        <f>+MOP_Mes_Corriente!CJ115*MOP_Mes_Constante!$CC$1</f>
        <v>0</v>
      </c>
      <c r="CK114" s="20">
        <f>+MOP_Mes_Corriente!CK115*MOP_Mes_Constante!$CC$1</f>
        <v>0</v>
      </c>
      <c r="CL114" s="20">
        <f>+MOP_Mes_Corriente!CL115*MOP_Mes_Constante!$CC$1</f>
        <v>0</v>
      </c>
      <c r="CM114" s="20">
        <f>+MOP_Mes_Corriente!CM115*MOP_Mes_Constante!$CC$1</f>
        <v>0</v>
      </c>
      <c r="CN114" s="20">
        <f>+MOP_Mes_Corriente!CN115*MOP_Mes_Constante!$CC$1</f>
        <v>0</v>
      </c>
      <c r="CO114" s="20">
        <f t="shared" si="158"/>
        <v>0</v>
      </c>
      <c r="CP114" s="20">
        <f>+MOP_Mes_Corriente!CP115*MOP_Mes_Constante!$CP$1</f>
        <v>0</v>
      </c>
      <c r="CQ114" s="20">
        <f>+MOP_Mes_Corriente!CQ115*MOP_Mes_Constante!$CP$1</f>
        <v>0</v>
      </c>
      <c r="CR114" s="20">
        <f>+MOP_Mes_Corriente!CR115*MOP_Mes_Constante!$CP$1</f>
        <v>0</v>
      </c>
      <c r="CS114" s="20">
        <f>+MOP_Mes_Corriente!CS115*MOP_Mes_Constante!$CP$1</f>
        <v>0</v>
      </c>
      <c r="CT114" s="20">
        <f>+MOP_Mes_Corriente!CT115*MOP_Mes_Constante!$CP$1</f>
        <v>0</v>
      </c>
      <c r="CU114" s="20">
        <f>+MOP_Mes_Corriente!CU115*MOP_Mes_Constante!$CP$1</f>
        <v>0</v>
      </c>
      <c r="CV114" s="20">
        <f>+MOP_Mes_Corriente!CV115*MOP_Mes_Constante!$CP$1</f>
        <v>0</v>
      </c>
      <c r="CW114" s="20">
        <f>+MOP_Mes_Corriente!CW115*MOP_Mes_Constante!$CP$1</f>
        <v>0</v>
      </c>
      <c r="CX114" s="20">
        <f>+MOP_Mes_Corriente!CX115*MOP_Mes_Constante!$CP$1</f>
        <v>0</v>
      </c>
      <c r="CY114" s="20">
        <f>+MOP_Mes_Corriente!CY115*MOP_Mes_Constante!$CP$1</f>
        <v>0</v>
      </c>
      <c r="CZ114" s="20">
        <f>+MOP_Mes_Corriente!CZ115*MOP_Mes_Constante!$CP$1</f>
        <v>0</v>
      </c>
      <c r="DA114" s="20">
        <f>+MOP_Mes_Corriente!DA115*MOP_Mes_Constante!$CP$1</f>
        <v>0</v>
      </c>
      <c r="DB114" s="20">
        <f t="shared" si="159"/>
        <v>0</v>
      </c>
      <c r="DC114" s="20">
        <f>+MOP_Mes_Corriente!DC115*MOP_Mes_Constante!$DC$1</f>
        <v>0</v>
      </c>
      <c r="DD114" s="20">
        <f>+MOP_Mes_Corriente!DD115*MOP_Mes_Constante!$DC$1</f>
        <v>0</v>
      </c>
      <c r="DE114" s="20">
        <f>+MOP_Mes_Corriente!DE115*MOP_Mes_Constante!$DC$1</f>
        <v>0</v>
      </c>
      <c r="DF114" s="20">
        <f>+MOP_Mes_Corriente!DF115*MOP_Mes_Constante!$DC$1</f>
        <v>0</v>
      </c>
      <c r="DG114" s="20">
        <f>+MOP_Mes_Corriente!DG115*MOP_Mes_Constante!$DC$1</f>
        <v>0</v>
      </c>
      <c r="DH114" s="20">
        <f>+MOP_Mes_Corriente!DH115*MOP_Mes_Constante!$DC$1</f>
        <v>0</v>
      </c>
      <c r="DI114" s="20">
        <f>+MOP_Mes_Corriente!DI115*MOP_Mes_Constante!$DC$1</f>
        <v>0</v>
      </c>
      <c r="DJ114" s="20">
        <f>+MOP_Mes_Corriente!DJ115*MOP_Mes_Constante!$DC$1</f>
        <v>0</v>
      </c>
      <c r="DK114" s="20">
        <f>+MOP_Mes_Corriente!DK115*MOP_Mes_Constante!$DC$1</f>
        <v>0</v>
      </c>
      <c r="DL114" s="20">
        <f>+MOP_Mes_Corriente!DL115*MOP_Mes_Constante!$DC$1</f>
        <v>0</v>
      </c>
      <c r="DM114" s="20">
        <f>+MOP_Mes_Corriente!DM115*MOP_Mes_Constante!$DC$1</f>
        <v>0</v>
      </c>
      <c r="DN114" s="20">
        <f>+MOP_Mes_Corriente!DN115*MOP_Mes_Constante!$DC$1</f>
        <v>0</v>
      </c>
      <c r="DO114" s="20">
        <f t="shared" si="160"/>
        <v>0</v>
      </c>
      <c r="DP114" s="20">
        <f>+MOP_Mes_Corriente!DP115*MOP_Mes_Constante!$DP$1</f>
        <v>0</v>
      </c>
      <c r="DQ114" s="20">
        <f>+MOP_Mes_Corriente!DQ115*MOP_Mes_Constante!$DP$1</f>
        <v>0</v>
      </c>
      <c r="DR114" s="20">
        <f>+MOP_Mes_Corriente!DR115*MOP_Mes_Constante!$DP$1</f>
        <v>0</v>
      </c>
      <c r="DS114" s="20">
        <f>+MOP_Mes_Corriente!DS115*MOP_Mes_Constante!$DP$1</f>
        <v>0</v>
      </c>
      <c r="DT114" s="20">
        <f>+MOP_Mes_Corriente!DT115*MOP_Mes_Constante!$DP$1</f>
        <v>0</v>
      </c>
      <c r="DU114" s="20">
        <f>+MOP_Mes_Corriente!DU115*MOP_Mes_Constante!$DP$1</f>
        <v>0</v>
      </c>
      <c r="DV114" s="20">
        <f>+MOP_Mes_Corriente!DV115*MOP_Mes_Constante!$DP$1</f>
        <v>0</v>
      </c>
      <c r="DW114" s="20">
        <f>+MOP_Mes_Corriente!DW115*MOP_Mes_Constante!$DP$1</f>
        <v>0</v>
      </c>
      <c r="DX114" s="20">
        <f>+MOP_Mes_Corriente!DX115*MOP_Mes_Constante!$DP$1</f>
        <v>0</v>
      </c>
      <c r="DY114" s="20">
        <f>+MOP_Mes_Corriente!DY115*MOP_Mes_Constante!$DP$1</f>
        <v>0</v>
      </c>
      <c r="DZ114" s="20">
        <f>+MOP_Mes_Corriente!DZ115*MOP_Mes_Constante!$DP$1</f>
        <v>0</v>
      </c>
      <c r="EA114" s="20">
        <f>+MOP_Mes_Corriente!EA115*MOP_Mes_Constante!$DP$1</f>
        <v>0</v>
      </c>
      <c r="EB114" s="20">
        <f t="shared" si="161"/>
        <v>0</v>
      </c>
      <c r="EC114" s="20">
        <f>+MOP_Mes_Corriente!EC115*MOP_Mes_Constante!$EC$1</f>
        <v>0</v>
      </c>
      <c r="ED114" s="20">
        <f>+MOP_Mes_Corriente!ED115*MOP_Mes_Constante!$EC$1</f>
        <v>0</v>
      </c>
      <c r="EE114" s="20">
        <f>+MOP_Mes_Corriente!EE115*MOP_Mes_Constante!$EC$1</f>
        <v>0</v>
      </c>
      <c r="EF114" s="20">
        <f>+MOP_Mes_Corriente!EF115*MOP_Mes_Constante!$EC$1</f>
        <v>0</v>
      </c>
      <c r="EG114" s="20">
        <f>+MOP_Mes_Corriente!EG115*MOP_Mes_Constante!$EC$1</f>
        <v>0</v>
      </c>
      <c r="EH114" s="20">
        <f>+MOP_Mes_Corriente!EH115*MOP_Mes_Constante!$EC$1</f>
        <v>0</v>
      </c>
      <c r="EI114" s="20">
        <f>+MOP_Mes_Corriente!EI115*MOP_Mes_Constante!$EC$1</f>
        <v>0</v>
      </c>
      <c r="EJ114" s="20">
        <f>+MOP_Mes_Corriente!EJ115*MOP_Mes_Constante!$EC$1</f>
        <v>0</v>
      </c>
      <c r="EK114" s="20">
        <f>+MOP_Mes_Corriente!EK115*MOP_Mes_Constante!$EC$1</f>
        <v>0</v>
      </c>
      <c r="EL114" s="20">
        <f>+MOP_Mes_Corriente!EL115*MOP_Mes_Constante!$EC$1</f>
        <v>0</v>
      </c>
      <c r="EM114" s="20">
        <f>+MOP_Mes_Corriente!EM115*MOP_Mes_Constante!$EC$1</f>
        <v>0</v>
      </c>
      <c r="EN114" s="20">
        <f>+MOP_Mes_Corriente!EN115*MOP_Mes_Constante!$EC$1</f>
        <v>0</v>
      </c>
      <c r="EO114" s="20">
        <f t="shared" si="162"/>
        <v>0</v>
      </c>
      <c r="EP114" s="20">
        <f>+MOP_Mes_Corriente!EP115*MOP_Mes_Constante!$EP$1</f>
        <v>0</v>
      </c>
      <c r="EQ114" s="20">
        <f>+MOP_Mes_Corriente!EQ115*MOP_Mes_Constante!$EP$1</f>
        <v>0</v>
      </c>
      <c r="ER114" s="20">
        <f>+MOP_Mes_Corriente!ER115*MOP_Mes_Constante!$EP$1</f>
        <v>0</v>
      </c>
      <c r="ES114" s="20">
        <f>+MOP_Mes_Corriente!ES115*MOP_Mes_Constante!$EP$1</f>
        <v>0</v>
      </c>
      <c r="ET114" s="20">
        <f>+MOP_Mes_Corriente!ET115*MOP_Mes_Constante!$EP$1</f>
        <v>0</v>
      </c>
      <c r="EU114" s="20">
        <f>+MOP_Mes_Corriente!EU115*MOP_Mes_Constante!$EP$1</f>
        <v>0</v>
      </c>
      <c r="EV114" s="20">
        <f>+MOP_Mes_Corriente!EV115*MOP_Mes_Constante!$EP$1</f>
        <v>0</v>
      </c>
      <c r="EW114" s="20">
        <f>+MOP_Mes_Corriente!EW115*MOP_Mes_Constante!$EP$1</f>
        <v>0</v>
      </c>
      <c r="EX114" s="20">
        <f>+MOP_Mes_Corriente!EX115*MOP_Mes_Constante!$EP$1</f>
        <v>0</v>
      </c>
      <c r="EY114" s="20">
        <f>+MOP_Mes_Corriente!EY115*MOP_Mes_Constante!$EP$1</f>
        <v>0</v>
      </c>
      <c r="EZ114" s="20">
        <f>+MOP_Mes_Corriente!EZ115*MOP_Mes_Constante!$EP$1</f>
        <v>0</v>
      </c>
      <c r="FA114" s="20">
        <f>+MOP_Mes_Corriente!FA115*MOP_Mes_Constante!$EP$1</f>
        <v>0</v>
      </c>
      <c r="FB114" s="20">
        <f t="shared" si="163"/>
        <v>0</v>
      </c>
      <c r="FC114" s="20">
        <f>+MOP_Mes_Corriente!FC115*MOP_Mes_Constante!$FC$1</f>
        <v>0</v>
      </c>
      <c r="FD114" s="20">
        <f>+MOP_Mes_Corriente!FD115*MOP_Mes_Constante!$FC$1</f>
        <v>0</v>
      </c>
      <c r="FE114" s="20">
        <f>+MOP_Mes_Corriente!FE115*MOP_Mes_Constante!$FC$1</f>
        <v>0</v>
      </c>
      <c r="FF114" s="20">
        <f>+MOP_Mes_Corriente!FF115*MOP_Mes_Constante!$FC$1</f>
        <v>0</v>
      </c>
      <c r="FG114" s="20">
        <f>+MOP_Mes_Corriente!FG115*MOP_Mes_Constante!$FC$1</f>
        <v>0</v>
      </c>
      <c r="FH114" s="20">
        <f>+MOP_Mes_Corriente!FH115*MOP_Mes_Constante!$FC$1</f>
        <v>0</v>
      </c>
      <c r="FI114" s="20">
        <f>+MOP_Mes_Corriente!FI115*MOP_Mes_Constante!$FC$1</f>
        <v>0</v>
      </c>
      <c r="FJ114" s="10"/>
      <c r="FK114" s="10"/>
      <c r="FL114" s="10"/>
      <c r="FM114" s="10"/>
      <c r="FN114" s="10"/>
      <c r="FO114" s="20">
        <f t="shared" si="164"/>
        <v>0</v>
      </c>
    </row>
    <row r="115" spans="1:171" ht="27.75" customHeight="1">
      <c r="A115" s="10"/>
      <c r="B115" s="19" t="s">
        <v>47</v>
      </c>
      <c r="C115" s="20">
        <f>+MOP_Mes_Corriente!C116*MOP_Mes_Constante!$C$1</f>
        <v>0</v>
      </c>
      <c r="D115" s="20">
        <f>+MOP_Mes_Corriente!D116*MOP_Mes_Constante!$C$1</f>
        <v>0</v>
      </c>
      <c r="E115" s="20">
        <f>+MOP_Mes_Corriente!E116*MOP_Mes_Constante!$C$1</f>
        <v>0</v>
      </c>
      <c r="F115" s="20">
        <f>+MOP_Mes_Corriente!F116*MOP_Mes_Constante!$C$1</f>
        <v>0</v>
      </c>
      <c r="G115" s="20">
        <f>+MOP_Mes_Corriente!G116*MOP_Mes_Constante!$C$1</f>
        <v>0</v>
      </c>
      <c r="H115" s="20">
        <f>+MOP_Mes_Corriente!H116*MOP_Mes_Constante!$C$1</f>
        <v>0</v>
      </c>
      <c r="I115" s="20">
        <f>+MOP_Mes_Corriente!I116*MOP_Mes_Constante!$C$1</f>
        <v>0</v>
      </c>
      <c r="J115" s="20">
        <f>+MOP_Mes_Corriente!J116*MOP_Mes_Constante!$C$1</f>
        <v>0</v>
      </c>
      <c r="K115" s="20">
        <f>+MOP_Mes_Corriente!K116*MOP_Mes_Constante!$C$1</f>
        <v>0</v>
      </c>
      <c r="L115" s="20">
        <f>+MOP_Mes_Corriente!L116*MOP_Mes_Constante!$C$1</f>
        <v>0</v>
      </c>
      <c r="M115" s="20">
        <f>+MOP_Mes_Corriente!M116*MOP_Mes_Constante!$C$1</f>
        <v>0</v>
      </c>
      <c r="N115" s="20">
        <f>+MOP_Mes_Corriente!N116*MOP_Mes_Constante!$C$1</f>
        <v>0</v>
      </c>
      <c r="O115" s="20">
        <f t="shared" si="152"/>
        <v>0</v>
      </c>
      <c r="P115" s="20">
        <f>+MOP_Mes_Corriente!P116*MOP_Mes_Constante!$P$1</f>
        <v>0</v>
      </c>
      <c r="Q115" s="20">
        <f>+MOP_Mes_Corriente!Q116*MOP_Mes_Constante!$P$1</f>
        <v>0</v>
      </c>
      <c r="R115" s="20">
        <f>+MOP_Mes_Corriente!R116*MOP_Mes_Constante!$P$1</f>
        <v>0</v>
      </c>
      <c r="S115" s="20">
        <f>+MOP_Mes_Corriente!S116*MOP_Mes_Constante!$P$1</f>
        <v>0</v>
      </c>
      <c r="T115" s="20">
        <f>+MOP_Mes_Corriente!T116*MOP_Mes_Constante!$P$1</f>
        <v>0</v>
      </c>
      <c r="U115" s="20">
        <f>+MOP_Mes_Corriente!U116*MOP_Mes_Constante!$P$1</f>
        <v>0</v>
      </c>
      <c r="V115" s="20">
        <f>+MOP_Mes_Corriente!V116*MOP_Mes_Constante!$P$1</f>
        <v>0</v>
      </c>
      <c r="W115" s="20">
        <f>+MOP_Mes_Corriente!W116*MOP_Mes_Constante!$P$1</f>
        <v>0</v>
      </c>
      <c r="X115" s="20">
        <f>+MOP_Mes_Corriente!X116*MOP_Mes_Constante!$P$1</f>
        <v>0</v>
      </c>
      <c r="Y115" s="20">
        <f>+MOP_Mes_Corriente!Y116*MOP_Mes_Constante!$P$1</f>
        <v>0</v>
      </c>
      <c r="Z115" s="20">
        <f>+MOP_Mes_Corriente!Z116*MOP_Mes_Constante!$P$1</f>
        <v>0</v>
      </c>
      <c r="AA115" s="20">
        <f>+MOP_Mes_Corriente!AA116*MOP_Mes_Constante!$P$1</f>
        <v>0</v>
      </c>
      <c r="AB115" s="20">
        <f t="shared" si="153"/>
        <v>0</v>
      </c>
      <c r="AC115" s="20">
        <f>+MOP_Mes_Corriente!AC116*MOP_Mes_Constante!$AC$1</f>
        <v>0</v>
      </c>
      <c r="AD115" s="20">
        <f>+MOP_Mes_Corriente!AD116*MOP_Mes_Constante!$AC$1</f>
        <v>0</v>
      </c>
      <c r="AE115" s="20">
        <f>+MOP_Mes_Corriente!AE116*MOP_Mes_Constante!$AC$1</f>
        <v>0</v>
      </c>
      <c r="AF115" s="20">
        <f>+MOP_Mes_Corriente!AF116*MOP_Mes_Constante!$AC$1</f>
        <v>0</v>
      </c>
      <c r="AG115" s="20">
        <f>+MOP_Mes_Corriente!AG116*MOP_Mes_Constante!$AC$1</f>
        <v>0</v>
      </c>
      <c r="AH115" s="20">
        <f>+MOP_Mes_Corriente!AH116*MOP_Mes_Constante!$AC$1</f>
        <v>0</v>
      </c>
      <c r="AI115" s="20">
        <f>+MOP_Mes_Corriente!AI116*MOP_Mes_Constante!$AC$1</f>
        <v>0</v>
      </c>
      <c r="AJ115" s="20">
        <f>+MOP_Mes_Corriente!AJ116*MOP_Mes_Constante!$AC$1</f>
        <v>0</v>
      </c>
      <c r="AK115" s="20">
        <f>+MOP_Mes_Corriente!AK116*MOP_Mes_Constante!$AC$1</f>
        <v>0</v>
      </c>
      <c r="AL115" s="20">
        <f>+MOP_Mes_Corriente!AL116*MOP_Mes_Constante!$AC$1</f>
        <v>0</v>
      </c>
      <c r="AM115" s="20">
        <f>+MOP_Mes_Corriente!AM116*MOP_Mes_Constante!$AC$1</f>
        <v>0</v>
      </c>
      <c r="AN115" s="20">
        <f>+MOP_Mes_Corriente!AN116*MOP_Mes_Constante!$AC$1</f>
        <v>0</v>
      </c>
      <c r="AO115" s="20">
        <f t="shared" si="154"/>
        <v>0</v>
      </c>
      <c r="AP115" s="20">
        <f>+MOP_Mes_Corriente!AP116*MOP_Mes_Constante!$AP$1</f>
        <v>0</v>
      </c>
      <c r="AQ115" s="20">
        <f>+MOP_Mes_Corriente!AQ116*MOP_Mes_Constante!$AP$1</f>
        <v>0</v>
      </c>
      <c r="AR115" s="20">
        <f>+MOP_Mes_Corriente!AR116*MOP_Mes_Constante!$AP$1</f>
        <v>0</v>
      </c>
      <c r="AS115" s="20">
        <f>+MOP_Mes_Corriente!AS116*MOP_Mes_Constante!$AP$1</f>
        <v>0</v>
      </c>
      <c r="AT115" s="20">
        <f>+MOP_Mes_Corriente!AT116*MOP_Mes_Constante!$AP$1</f>
        <v>0</v>
      </c>
      <c r="AU115" s="20">
        <f>+MOP_Mes_Corriente!AU116*MOP_Mes_Constante!$AP$1</f>
        <v>0</v>
      </c>
      <c r="AV115" s="20">
        <f>+MOP_Mes_Corriente!AV116*MOP_Mes_Constante!$AP$1</f>
        <v>0</v>
      </c>
      <c r="AW115" s="20">
        <f>+MOP_Mes_Corriente!AW116*MOP_Mes_Constante!$AP$1</f>
        <v>0</v>
      </c>
      <c r="AX115" s="20">
        <f>+MOP_Mes_Corriente!AX116*MOP_Mes_Constante!$AP$1</f>
        <v>0</v>
      </c>
      <c r="AY115" s="20">
        <f>+MOP_Mes_Corriente!AY116*MOP_Mes_Constante!$AP$1</f>
        <v>0</v>
      </c>
      <c r="AZ115" s="20">
        <f>+MOP_Mes_Corriente!AZ116*MOP_Mes_Constante!$AP$1</f>
        <v>0</v>
      </c>
      <c r="BA115" s="20">
        <f>+MOP_Mes_Corriente!BA116*MOP_Mes_Constante!$AP$1</f>
        <v>0</v>
      </c>
      <c r="BB115" s="20">
        <f t="shared" si="155"/>
        <v>0</v>
      </c>
      <c r="BC115" s="20">
        <f>+MOP_Mes_Corriente!BC116*MOP_Mes_Constante!$BC$1</f>
        <v>0</v>
      </c>
      <c r="BD115" s="20">
        <f>+MOP_Mes_Corriente!BD116*MOP_Mes_Constante!$BC$1</f>
        <v>0</v>
      </c>
      <c r="BE115" s="20">
        <f>+MOP_Mes_Corriente!BE116*MOP_Mes_Constante!$BC$1</f>
        <v>0</v>
      </c>
      <c r="BF115" s="20">
        <f>+MOP_Mes_Corriente!BF116*MOP_Mes_Constante!$BC$1</f>
        <v>0</v>
      </c>
      <c r="BG115" s="20">
        <f>+MOP_Mes_Corriente!BG116*MOP_Mes_Constante!$BC$1</f>
        <v>0</v>
      </c>
      <c r="BH115" s="20">
        <f>+MOP_Mes_Corriente!BH116*MOP_Mes_Constante!$BC$1</f>
        <v>0</v>
      </c>
      <c r="BI115" s="20">
        <f>+MOP_Mes_Corriente!BI116*MOP_Mes_Constante!$BC$1</f>
        <v>0</v>
      </c>
      <c r="BJ115" s="20">
        <f>+MOP_Mes_Corriente!BJ116*MOP_Mes_Constante!$BC$1</f>
        <v>0</v>
      </c>
      <c r="BK115" s="20">
        <f>+MOP_Mes_Corriente!BK116*MOP_Mes_Constante!$BC$1</f>
        <v>0</v>
      </c>
      <c r="BL115" s="20">
        <f>+MOP_Mes_Corriente!BL116*MOP_Mes_Constante!$BC$1</f>
        <v>0</v>
      </c>
      <c r="BM115" s="20">
        <f>+MOP_Mes_Corriente!BM116*MOP_Mes_Constante!$BC$1</f>
        <v>0</v>
      </c>
      <c r="BN115" s="20">
        <f>+MOP_Mes_Corriente!BN116*MOP_Mes_Constante!$BC$1</f>
        <v>0</v>
      </c>
      <c r="BO115" s="20">
        <f t="shared" si="156"/>
        <v>0</v>
      </c>
      <c r="BP115" s="20">
        <f>+MOP_Mes_Corriente!BP116*MOP_Mes_Constante!$BP$1</f>
        <v>0</v>
      </c>
      <c r="BQ115" s="20">
        <f>+MOP_Mes_Corriente!BQ116*MOP_Mes_Constante!$BP$1</f>
        <v>0</v>
      </c>
      <c r="BR115" s="20">
        <f>+MOP_Mes_Corriente!BR116*MOP_Mes_Constante!$BP$1</f>
        <v>0</v>
      </c>
      <c r="BS115" s="20">
        <f>+MOP_Mes_Corriente!BS116*MOP_Mes_Constante!$BP$1</f>
        <v>0</v>
      </c>
      <c r="BT115" s="20">
        <f>+MOP_Mes_Corriente!BT116*MOP_Mes_Constante!$BP$1</f>
        <v>0</v>
      </c>
      <c r="BU115" s="20">
        <f>+MOP_Mes_Corriente!BU116*MOP_Mes_Constante!$BP$1</f>
        <v>0</v>
      </c>
      <c r="BV115" s="20">
        <f>+MOP_Mes_Corriente!BV116*MOP_Mes_Constante!$BP$1</f>
        <v>0</v>
      </c>
      <c r="BW115" s="20">
        <f>+MOP_Mes_Corriente!BW116*MOP_Mes_Constante!$BP$1</f>
        <v>0</v>
      </c>
      <c r="BX115" s="20">
        <f>+MOP_Mes_Corriente!BX116*MOP_Mes_Constante!$BP$1</f>
        <v>0</v>
      </c>
      <c r="BY115" s="20">
        <f>+MOP_Mes_Corriente!BY116*MOP_Mes_Constante!$BP$1</f>
        <v>0</v>
      </c>
      <c r="BZ115" s="20">
        <f>+MOP_Mes_Corriente!BZ116*MOP_Mes_Constante!$BP$1</f>
        <v>0</v>
      </c>
      <c r="CA115" s="20">
        <f>+MOP_Mes_Corriente!CA116*MOP_Mes_Constante!$BP$1</f>
        <v>0</v>
      </c>
      <c r="CB115" s="20">
        <f t="shared" si="157"/>
        <v>0</v>
      </c>
      <c r="CC115" s="20">
        <f>+MOP_Mes_Corriente!CC116*MOP_Mes_Constante!$CC$1</f>
        <v>0</v>
      </c>
      <c r="CD115" s="20">
        <f>+MOP_Mes_Corriente!CD116*MOP_Mes_Constante!$CC$1</f>
        <v>0</v>
      </c>
      <c r="CE115" s="20">
        <f>+MOP_Mes_Corriente!CE116*MOP_Mes_Constante!$CC$1</f>
        <v>0</v>
      </c>
      <c r="CF115" s="20">
        <f>+MOP_Mes_Corriente!CF116*MOP_Mes_Constante!$CC$1</f>
        <v>0</v>
      </c>
      <c r="CG115" s="20">
        <f>+MOP_Mes_Corriente!CG116*MOP_Mes_Constante!$CC$1</f>
        <v>0</v>
      </c>
      <c r="CH115" s="20">
        <f>+MOP_Mes_Corriente!CH116*MOP_Mes_Constante!$CC$1</f>
        <v>0</v>
      </c>
      <c r="CI115" s="20">
        <f>+MOP_Mes_Corriente!CI116*MOP_Mes_Constante!$CC$1</f>
        <v>0</v>
      </c>
      <c r="CJ115" s="20">
        <f>+MOP_Mes_Corriente!CJ116*MOP_Mes_Constante!$CC$1</f>
        <v>0</v>
      </c>
      <c r="CK115" s="20">
        <f>+MOP_Mes_Corriente!CK116*MOP_Mes_Constante!$CC$1</f>
        <v>0</v>
      </c>
      <c r="CL115" s="20">
        <f>+MOP_Mes_Corriente!CL116*MOP_Mes_Constante!$CC$1</f>
        <v>0</v>
      </c>
      <c r="CM115" s="20">
        <f>+MOP_Mes_Corriente!CM116*MOP_Mes_Constante!$CC$1</f>
        <v>0</v>
      </c>
      <c r="CN115" s="20">
        <f>+MOP_Mes_Corriente!CN116*MOP_Mes_Constante!$CC$1</f>
        <v>0</v>
      </c>
      <c r="CO115" s="20">
        <f t="shared" si="158"/>
        <v>0</v>
      </c>
      <c r="CP115" s="20">
        <f>+MOP_Mes_Corriente!CP116*MOP_Mes_Constante!$CP$1</f>
        <v>0</v>
      </c>
      <c r="CQ115" s="20">
        <f>+MOP_Mes_Corriente!CQ116*MOP_Mes_Constante!$CP$1</f>
        <v>0</v>
      </c>
      <c r="CR115" s="20">
        <f>+MOP_Mes_Corriente!CR116*MOP_Mes_Constante!$CP$1</f>
        <v>0</v>
      </c>
      <c r="CS115" s="20">
        <f>+MOP_Mes_Corriente!CS116*MOP_Mes_Constante!$CP$1</f>
        <v>0</v>
      </c>
      <c r="CT115" s="20">
        <f>+MOP_Mes_Corriente!CT116*MOP_Mes_Constante!$CP$1</f>
        <v>0</v>
      </c>
      <c r="CU115" s="20">
        <f>+MOP_Mes_Corriente!CU116*MOP_Mes_Constante!$CP$1</f>
        <v>0</v>
      </c>
      <c r="CV115" s="20">
        <f>+MOP_Mes_Corriente!CV116*MOP_Mes_Constante!$CP$1</f>
        <v>0</v>
      </c>
      <c r="CW115" s="20">
        <f>+MOP_Mes_Corriente!CW116*MOP_Mes_Constante!$CP$1</f>
        <v>0</v>
      </c>
      <c r="CX115" s="20">
        <f>+MOP_Mes_Corriente!CX116*MOP_Mes_Constante!$CP$1</f>
        <v>0</v>
      </c>
      <c r="CY115" s="20">
        <f>+MOP_Mes_Corriente!CY116*MOP_Mes_Constante!$CP$1</f>
        <v>0</v>
      </c>
      <c r="CZ115" s="20">
        <f>+MOP_Mes_Corriente!CZ116*MOP_Mes_Constante!$CP$1</f>
        <v>0</v>
      </c>
      <c r="DA115" s="20">
        <f>+MOP_Mes_Corriente!DA116*MOP_Mes_Constante!$CP$1</f>
        <v>0</v>
      </c>
      <c r="DB115" s="20">
        <f t="shared" si="159"/>
        <v>0</v>
      </c>
      <c r="DC115" s="20">
        <f>+MOP_Mes_Corriente!DC116*MOP_Mes_Constante!$DC$1</f>
        <v>0</v>
      </c>
      <c r="DD115" s="20">
        <f>+MOP_Mes_Corriente!DD116*MOP_Mes_Constante!$DC$1</f>
        <v>0</v>
      </c>
      <c r="DE115" s="20">
        <f>+MOP_Mes_Corriente!DE116*MOP_Mes_Constante!$DC$1</f>
        <v>0</v>
      </c>
      <c r="DF115" s="20">
        <f>+MOP_Mes_Corriente!DF116*MOP_Mes_Constante!$DC$1</f>
        <v>0</v>
      </c>
      <c r="DG115" s="20">
        <f>+MOP_Mes_Corriente!DG116*MOP_Mes_Constante!$DC$1</f>
        <v>0</v>
      </c>
      <c r="DH115" s="20">
        <f>+MOP_Mes_Corriente!DH116*MOP_Mes_Constante!$DC$1</f>
        <v>0</v>
      </c>
      <c r="DI115" s="20">
        <f>+MOP_Mes_Corriente!DI116*MOP_Mes_Constante!$DC$1</f>
        <v>0</v>
      </c>
      <c r="DJ115" s="20">
        <f>+MOP_Mes_Corriente!DJ116*MOP_Mes_Constante!$DC$1</f>
        <v>0</v>
      </c>
      <c r="DK115" s="20">
        <f>+MOP_Mes_Corriente!DK116*MOP_Mes_Constante!$DC$1</f>
        <v>0</v>
      </c>
      <c r="DL115" s="20">
        <f>+MOP_Mes_Corriente!DL116*MOP_Mes_Constante!$DC$1</f>
        <v>0</v>
      </c>
      <c r="DM115" s="20">
        <f>+MOP_Mes_Corriente!DM116*MOP_Mes_Constante!$DC$1</f>
        <v>0</v>
      </c>
      <c r="DN115" s="20">
        <f>+MOP_Mes_Corriente!DN116*MOP_Mes_Constante!$DC$1</f>
        <v>0</v>
      </c>
      <c r="DO115" s="20">
        <f t="shared" si="160"/>
        <v>0</v>
      </c>
      <c r="DP115" s="20">
        <f>+MOP_Mes_Corriente!DP116*MOP_Mes_Constante!$DP$1</f>
        <v>0</v>
      </c>
      <c r="DQ115" s="20">
        <f>+MOP_Mes_Corriente!DQ116*MOP_Mes_Constante!$DP$1</f>
        <v>0</v>
      </c>
      <c r="DR115" s="20">
        <f>+MOP_Mes_Corriente!DR116*MOP_Mes_Constante!$DP$1</f>
        <v>0</v>
      </c>
      <c r="DS115" s="20">
        <f>+MOP_Mes_Corriente!DS116*MOP_Mes_Constante!$DP$1</f>
        <v>0</v>
      </c>
      <c r="DT115" s="20">
        <f>+MOP_Mes_Corriente!DT116*MOP_Mes_Constante!$DP$1</f>
        <v>0</v>
      </c>
      <c r="DU115" s="20">
        <f>+MOP_Mes_Corriente!DU116*MOP_Mes_Constante!$DP$1</f>
        <v>0</v>
      </c>
      <c r="DV115" s="20">
        <f>+MOP_Mes_Corriente!DV116*MOP_Mes_Constante!$DP$1</f>
        <v>0</v>
      </c>
      <c r="DW115" s="20">
        <f>+MOP_Mes_Corriente!DW116*MOP_Mes_Constante!$DP$1</f>
        <v>0</v>
      </c>
      <c r="DX115" s="20">
        <f>+MOP_Mes_Corriente!DX116*MOP_Mes_Constante!$DP$1</f>
        <v>0</v>
      </c>
      <c r="DY115" s="20">
        <f>+MOP_Mes_Corriente!DY116*MOP_Mes_Constante!$DP$1</f>
        <v>0</v>
      </c>
      <c r="DZ115" s="20">
        <f>+MOP_Mes_Corriente!DZ116*MOP_Mes_Constante!$DP$1</f>
        <v>0</v>
      </c>
      <c r="EA115" s="20">
        <f>+MOP_Mes_Corriente!EA116*MOP_Mes_Constante!$DP$1</f>
        <v>0</v>
      </c>
      <c r="EB115" s="20">
        <f t="shared" si="161"/>
        <v>0</v>
      </c>
      <c r="EC115" s="20">
        <f>+MOP_Mes_Corriente!EC116*MOP_Mes_Constante!$EC$1</f>
        <v>0</v>
      </c>
      <c r="ED115" s="20">
        <f>+MOP_Mes_Corriente!ED116*MOP_Mes_Constante!$EC$1</f>
        <v>0</v>
      </c>
      <c r="EE115" s="20">
        <f>+MOP_Mes_Corriente!EE116*MOP_Mes_Constante!$EC$1</f>
        <v>0</v>
      </c>
      <c r="EF115" s="20">
        <f>+MOP_Mes_Corriente!EF116*MOP_Mes_Constante!$EC$1</f>
        <v>0</v>
      </c>
      <c r="EG115" s="20">
        <f>+MOP_Mes_Corriente!EG116*MOP_Mes_Constante!$EC$1</f>
        <v>0</v>
      </c>
      <c r="EH115" s="20">
        <f>+MOP_Mes_Corriente!EH116*MOP_Mes_Constante!$EC$1</f>
        <v>0</v>
      </c>
      <c r="EI115" s="20">
        <f>+MOP_Mes_Corriente!EI116*MOP_Mes_Constante!$EC$1</f>
        <v>0</v>
      </c>
      <c r="EJ115" s="20">
        <f>+MOP_Mes_Corriente!EJ116*MOP_Mes_Constante!$EC$1</f>
        <v>0</v>
      </c>
      <c r="EK115" s="20">
        <f>+MOP_Mes_Corriente!EK116*MOP_Mes_Constante!$EC$1</f>
        <v>0</v>
      </c>
      <c r="EL115" s="20">
        <f>+MOP_Mes_Corriente!EL116*MOP_Mes_Constante!$EC$1</f>
        <v>0</v>
      </c>
      <c r="EM115" s="20">
        <f>+MOP_Mes_Corriente!EM116*MOP_Mes_Constante!$EC$1</f>
        <v>0</v>
      </c>
      <c r="EN115" s="20">
        <f>+MOP_Mes_Corriente!EN116*MOP_Mes_Constante!$EC$1</f>
        <v>0</v>
      </c>
      <c r="EO115" s="20">
        <f t="shared" si="162"/>
        <v>0</v>
      </c>
      <c r="EP115" s="20">
        <f>+MOP_Mes_Corriente!EP116*MOP_Mes_Constante!$EP$1</f>
        <v>0</v>
      </c>
      <c r="EQ115" s="20">
        <f>+MOP_Mes_Corriente!EQ116*MOP_Mes_Constante!$EP$1</f>
        <v>0</v>
      </c>
      <c r="ER115" s="20">
        <f>+MOP_Mes_Corriente!ER116*MOP_Mes_Constante!$EP$1</f>
        <v>0</v>
      </c>
      <c r="ES115" s="20">
        <f>+MOP_Mes_Corriente!ES116*MOP_Mes_Constante!$EP$1</f>
        <v>0</v>
      </c>
      <c r="ET115" s="20">
        <f>+MOP_Mes_Corriente!ET116*MOP_Mes_Constante!$EP$1</f>
        <v>0</v>
      </c>
      <c r="EU115" s="20">
        <f>+MOP_Mes_Corriente!EU116*MOP_Mes_Constante!$EP$1</f>
        <v>0</v>
      </c>
      <c r="EV115" s="20">
        <f>+MOP_Mes_Corriente!EV116*MOP_Mes_Constante!$EP$1</f>
        <v>0</v>
      </c>
      <c r="EW115" s="20">
        <f>+MOP_Mes_Corriente!EW116*MOP_Mes_Constante!$EP$1</f>
        <v>0</v>
      </c>
      <c r="EX115" s="20">
        <f>+MOP_Mes_Corriente!EX116*MOP_Mes_Constante!$EP$1</f>
        <v>0</v>
      </c>
      <c r="EY115" s="20">
        <f>+MOP_Mes_Corriente!EY116*MOP_Mes_Constante!$EP$1</f>
        <v>0</v>
      </c>
      <c r="EZ115" s="20">
        <f>+MOP_Mes_Corriente!EZ116*MOP_Mes_Constante!$EP$1</f>
        <v>0</v>
      </c>
      <c r="FA115" s="20">
        <f>+MOP_Mes_Corriente!FA116*MOP_Mes_Constante!$EP$1</f>
        <v>0</v>
      </c>
      <c r="FB115" s="20">
        <f t="shared" si="163"/>
        <v>0</v>
      </c>
      <c r="FC115" s="20">
        <f>+MOP_Mes_Corriente!FC116*MOP_Mes_Constante!$FC$1</f>
        <v>0</v>
      </c>
      <c r="FD115" s="20">
        <f>+MOP_Mes_Corriente!FD116*MOP_Mes_Constante!$FC$1</f>
        <v>0</v>
      </c>
      <c r="FE115" s="20">
        <f>+MOP_Mes_Corriente!FE116*MOP_Mes_Constante!$FC$1</f>
        <v>0</v>
      </c>
      <c r="FF115" s="20">
        <f>+MOP_Mes_Corriente!FF116*MOP_Mes_Constante!$FC$1</f>
        <v>0</v>
      </c>
      <c r="FG115" s="20">
        <f>+MOP_Mes_Corriente!FG116*MOP_Mes_Constante!$FC$1</f>
        <v>0</v>
      </c>
      <c r="FH115" s="20">
        <f>+MOP_Mes_Corriente!FH116*MOP_Mes_Constante!$FC$1</f>
        <v>0</v>
      </c>
      <c r="FI115" s="20">
        <f>+MOP_Mes_Corriente!FI116*MOP_Mes_Constante!$FC$1</f>
        <v>0</v>
      </c>
      <c r="FJ115" s="10"/>
      <c r="FK115" s="10"/>
      <c r="FL115" s="10"/>
      <c r="FM115" s="10"/>
      <c r="FN115" s="10"/>
      <c r="FO115" s="20">
        <f t="shared" si="164"/>
        <v>0</v>
      </c>
    </row>
    <row r="116" spans="1:171" ht="27.75" customHeight="1">
      <c r="A116" s="10"/>
      <c r="B116" s="19" t="s">
        <v>48</v>
      </c>
      <c r="C116" s="20">
        <f>+MOP_Mes_Corriente!C117*MOP_Mes_Constante!$C$1</f>
        <v>0</v>
      </c>
      <c r="D116" s="20">
        <f>+MOP_Mes_Corriente!D117*MOP_Mes_Constante!$C$1</f>
        <v>0</v>
      </c>
      <c r="E116" s="20">
        <f>+MOP_Mes_Corriente!E117*MOP_Mes_Constante!$C$1</f>
        <v>0</v>
      </c>
      <c r="F116" s="20">
        <f>+MOP_Mes_Corriente!F117*MOP_Mes_Constante!$C$1</f>
        <v>0</v>
      </c>
      <c r="G116" s="20">
        <f>+MOP_Mes_Corriente!G117*MOP_Mes_Constante!$C$1</f>
        <v>0</v>
      </c>
      <c r="H116" s="20">
        <f>+MOP_Mes_Corriente!H117*MOP_Mes_Constante!$C$1</f>
        <v>0</v>
      </c>
      <c r="I116" s="20">
        <f>+MOP_Mes_Corriente!I117*MOP_Mes_Constante!$C$1</f>
        <v>0</v>
      </c>
      <c r="J116" s="20">
        <f>+MOP_Mes_Corriente!J117*MOP_Mes_Constante!$C$1</f>
        <v>0</v>
      </c>
      <c r="K116" s="20">
        <f>+MOP_Mes_Corriente!K117*MOP_Mes_Constante!$C$1</f>
        <v>0</v>
      </c>
      <c r="L116" s="20">
        <f>+MOP_Mes_Corriente!L117*MOP_Mes_Constante!$C$1</f>
        <v>0</v>
      </c>
      <c r="M116" s="20">
        <f>+MOP_Mes_Corriente!M117*MOP_Mes_Constante!$C$1</f>
        <v>0</v>
      </c>
      <c r="N116" s="20">
        <f>+MOP_Mes_Corriente!N117*MOP_Mes_Constante!$C$1</f>
        <v>0</v>
      </c>
      <c r="O116" s="20">
        <f t="shared" si="152"/>
        <v>0</v>
      </c>
      <c r="P116" s="20">
        <f>+MOP_Mes_Corriente!P117*MOP_Mes_Constante!$P$1</f>
        <v>0</v>
      </c>
      <c r="Q116" s="20">
        <f>+MOP_Mes_Corriente!Q117*MOP_Mes_Constante!$P$1</f>
        <v>0</v>
      </c>
      <c r="R116" s="20">
        <f>+MOP_Mes_Corriente!R117*MOP_Mes_Constante!$P$1</f>
        <v>0</v>
      </c>
      <c r="S116" s="20">
        <f>+MOP_Mes_Corriente!S117*MOP_Mes_Constante!$P$1</f>
        <v>0</v>
      </c>
      <c r="T116" s="20">
        <f>+MOP_Mes_Corriente!T117*MOP_Mes_Constante!$P$1</f>
        <v>0</v>
      </c>
      <c r="U116" s="20">
        <f>+MOP_Mes_Corriente!U117*MOP_Mes_Constante!$P$1</f>
        <v>0</v>
      </c>
      <c r="V116" s="20">
        <f>+MOP_Mes_Corriente!V117*MOP_Mes_Constante!$P$1</f>
        <v>0</v>
      </c>
      <c r="W116" s="20">
        <f>+MOP_Mes_Corriente!W117*MOP_Mes_Constante!$P$1</f>
        <v>0</v>
      </c>
      <c r="X116" s="20">
        <f>+MOP_Mes_Corriente!X117*MOP_Mes_Constante!$P$1</f>
        <v>0</v>
      </c>
      <c r="Y116" s="20">
        <f>+MOP_Mes_Corriente!Y117*MOP_Mes_Constante!$P$1</f>
        <v>0</v>
      </c>
      <c r="Z116" s="20">
        <f>+MOP_Mes_Corriente!Z117*MOP_Mes_Constante!$P$1</f>
        <v>0</v>
      </c>
      <c r="AA116" s="20">
        <f>+MOP_Mes_Corriente!AA117*MOP_Mes_Constante!$P$1</f>
        <v>0</v>
      </c>
      <c r="AB116" s="20">
        <f t="shared" si="153"/>
        <v>0</v>
      </c>
      <c r="AC116" s="20">
        <f>+MOP_Mes_Corriente!AC117*MOP_Mes_Constante!$AC$1</f>
        <v>0</v>
      </c>
      <c r="AD116" s="20">
        <f>+MOP_Mes_Corriente!AD117*MOP_Mes_Constante!$AC$1</f>
        <v>0</v>
      </c>
      <c r="AE116" s="20">
        <f>+MOP_Mes_Corriente!AE117*MOP_Mes_Constante!$AC$1</f>
        <v>0</v>
      </c>
      <c r="AF116" s="20">
        <f>+MOP_Mes_Corriente!AF117*MOP_Mes_Constante!$AC$1</f>
        <v>0</v>
      </c>
      <c r="AG116" s="20">
        <f>+MOP_Mes_Corriente!AG117*MOP_Mes_Constante!$AC$1</f>
        <v>0</v>
      </c>
      <c r="AH116" s="20">
        <f>+MOP_Mes_Corriente!AH117*MOP_Mes_Constante!$AC$1</f>
        <v>0</v>
      </c>
      <c r="AI116" s="20">
        <f>+MOP_Mes_Corriente!AI117*MOP_Mes_Constante!$AC$1</f>
        <v>0</v>
      </c>
      <c r="AJ116" s="20">
        <f>+MOP_Mes_Corriente!AJ117*MOP_Mes_Constante!$AC$1</f>
        <v>0</v>
      </c>
      <c r="AK116" s="20">
        <f>+MOP_Mes_Corriente!AK117*MOP_Mes_Constante!$AC$1</f>
        <v>0</v>
      </c>
      <c r="AL116" s="20">
        <f>+MOP_Mes_Corriente!AL117*MOP_Mes_Constante!$AC$1</f>
        <v>0</v>
      </c>
      <c r="AM116" s="20">
        <f>+MOP_Mes_Corriente!AM117*MOP_Mes_Constante!$AC$1</f>
        <v>0</v>
      </c>
      <c r="AN116" s="20">
        <f>+MOP_Mes_Corriente!AN117*MOP_Mes_Constante!$AC$1</f>
        <v>0</v>
      </c>
      <c r="AO116" s="20">
        <f t="shared" si="154"/>
        <v>0</v>
      </c>
      <c r="AP116" s="20">
        <f>+MOP_Mes_Corriente!AP117*MOP_Mes_Constante!$AP$1</f>
        <v>0</v>
      </c>
      <c r="AQ116" s="20">
        <f>+MOP_Mes_Corriente!AQ117*MOP_Mes_Constante!$AP$1</f>
        <v>0</v>
      </c>
      <c r="AR116" s="20">
        <f>+MOP_Mes_Corriente!AR117*MOP_Mes_Constante!$AP$1</f>
        <v>0</v>
      </c>
      <c r="AS116" s="20">
        <f>+MOP_Mes_Corriente!AS117*MOP_Mes_Constante!$AP$1</f>
        <v>0</v>
      </c>
      <c r="AT116" s="20">
        <f>+MOP_Mes_Corriente!AT117*MOP_Mes_Constante!$AP$1</f>
        <v>0</v>
      </c>
      <c r="AU116" s="20">
        <f>+MOP_Mes_Corriente!AU117*MOP_Mes_Constante!$AP$1</f>
        <v>0</v>
      </c>
      <c r="AV116" s="20">
        <f>+MOP_Mes_Corriente!AV117*MOP_Mes_Constante!$AP$1</f>
        <v>0</v>
      </c>
      <c r="AW116" s="20">
        <f>+MOP_Mes_Corriente!AW117*MOP_Mes_Constante!$AP$1</f>
        <v>0</v>
      </c>
      <c r="AX116" s="20">
        <f>+MOP_Mes_Corriente!AX117*MOP_Mes_Constante!$AP$1</f>
        <v>0</v>
      </c>
      <c r="AY116" s="20">
        <f>+MOP_Mes_Corriente!AY117*MOP_Mes_Constante!$AP$1</f>
        <v>0</v>
      </c>
      <c r="AZ116" s="20">
        <f>+MOP_Mes_Corriente!AZ117*MOP_Mes_Constante!$AP$1</f>
        <v>0</v>
      </c>
      <c r="BA116" s="20">
        <f>+MOP_Mes_Corriente!BA117*MOP_Mes_Constante!$AP$1</f>
        <v>0</v>
      </c>
      <c r="BB116" s="20">
        <f t="shared" si="155"/>
        <v>0</v>
      </c>
      <c r="BC116" s="20">
        <f>+MOP_Mes_Corriente!BC117*MOP_Mes_Constante!$BC$1</f>
        <v>0</v>
      </c>
      <c r="BD116" s="20">
        <f>+MOP_Mes_Corriente!BD117*MOP_Mes_Constante!$BC$1</f>
        <v>0</v>
      </c>
      <c r="BE116" s="20">
        <f>+MOP_Mes_Corriente!BE117*MOP_Mes_Constante!$BC$1</f>
        <v>0</v>
      </c>
      <c r="BF116" s="20">
        <f>+MOP_Mes_Corriente!BF117*MOP_Mes_Constante!$BC$1</f>
        <v>0</v>
      </c>
      <c r="BG116" s="20">
        <f>+MOP_Mes_Corriente!BG117*MOP_Mes_Constante!$BC$1</f>
        <v>0</v>
      </c>
      <c r="BH116" s="20">
        <f>+MOP_Mes_Corriente!BH117*MOP_Mes_Constante!$BC$1</f>
        <v>0</v>
      </c>
      <c r="BI116" s="20">
        <f>+MOP_Mes_Corriente!BI117*MOP_Mes_Constante!$BC$1</f>
        <v>0</v>
      </c>
      <c r="BJ116" s="20">
        <f>+MOP_Mes_Corriente!BJ117*MOP_Mes_Constante!$BC$1</f>
        <v>0</v>
      </c>
      <c r="BK116" s="20">
        <f>+MOP_Mes_Corriente!BK117*MOP_Mes_Constante!$BC$1</f>
        <v>0</v>
      </c>
      <c r="BL116" s="20">
        <f>+MOP_Mes_Corriente!BL117*MOP_Mes_Constante!$BC$1</f>
        <v>0</v>
      </c>
      <c r="BM116" s="20">
        <f>+MOP_Mes_Corriente!BM117*MOP_Mes_Constante!$BC$1</f>
        <v>0</v>
      </c>
      <c r="BN116" s="20">
        <f>+MOP_Mes_Corriente!BN117*MOP_Mes_Constante!$BC$1</f>
        <v>0</v>
      </c>
      <c r="BO116" s="20">
        <f t="shared" si="156"/>
        <v>0</v>
      </c>
      <c r="BP116" s="20">
        <f>+MOP_Mes_Corriente!BP117*MOP_Mes_Constante!$BP$1</f>
        <v>0</v>
      </c>
      <c r="BQ116" s="20">
        <f>+MOP_Mes_Corriente!BQ117*MOP_Mes_Constante!$BP$1</f>
        <v>0</v>
      </c>
      <c r="BR116" s="20">
        <f>+MOP_Mes_Corriente!BR117*MOP_Mes_Constante!$BP$1</f>
        <v>0</v>
      </c>
      <c r="BS116" s="20">
        <f>+MOP_Mes_Corriente!BS117*MOP_Mes_Constante!$BP$1</f>
        <v>0</v>
      </c>
      <c r="BT116" s="20">
        <f>+MOP_Mes_Corriente!BT117*MOP_Mes_Constante!$BP$1</f>
        <v>0</v>
      </c>
      <c r="BU116" s="20">
        <f>+MOP_Mes_Corriente!BU117*MOP_Mes_Constante!$BP$1</f>
        <v>0</v>
      </c>
      <c r="BV116" s="20">
        <f>+MOP_Mes_Corriente!BV117*MOP_Mes_Constante!$BP$1</f>
        <v>0</v>
      </c>
      <c r="BW116" s="20">
        <f>+MOP_Mes_Corriente!BW117*MOP_Mes_Constante!$BP$1</f>
        <v>0</v>
      </c>
      <c r="BX116" s="20">
        <f>+MOP_Mes_Corriente!BX117*MOP_Mes_Constante!$BP$1</f>
        <v>0</v>
      </c>
      <c r="BY116" s="20">
        <f>+MOP_Mes_Corriente!BY117*MOP_Mes_Constante!$BP$1</f>
        <v>0</v>
      </c>
      <c r="BZ116" s="20">
        <f>+MOP_Mes_Corriente!BZ117*MOP_Mes_Constante!$BP$1</f>
        <v>0</v>
      </c>
      <c r="CA116" s="20">
        <f>+MOP_Mes_Corriente!CA117*MOP_Mes_Constante!$BP$1</f>
        <v>0</v>
      </c>
      <c r="CB116" s="20">
        <f t="shared" si="157"/>
        <v>0</v>
      </c>
      <c r="CC116" s="20">
        <f>+MOP_Mes_Corriente!CC117*MOP_Mes_Constante!$CC$1</f>
        <v>0</v>
      </c>
      <c r="CD116" s="20">
        <f>+MOP_Mes_Corriente!CD117*MOP_Mes_Constante!$CC$1</f>
        <v>0</v>
      </c>
      <c r="CE116" s="20">
        <f>+MOP_Mes_Corriente!CE117*MOP_Mes_Constante!$CC$1</f>
        <v>0</v>
      </c>
      <c r="CF116" s="20">
        <f>+MOP_Mes_Corriente!CF117*MOP_Mes_Constante!$CC$1</f>
        <v>0</v>
      </c>
      <c r="CG116" s="20">
        <f>+MOP_Mes_Corriente!CG117*MOP_Mes_Constante!$CC$1</f>
        <v>0</v>
      </c>
      <c r="CH116" s="20">
        <f>+MOP_Mes_Corriente!CH117*MOP_Mes_Constante!$CC$1</f>
        <v>0</v>
      </c>
      <c r="CI116" s="20">
        <f>+MOP_Mes_Corriente!CI117*MOP_Mes_Constante!$CC$1</f>
        <v>0</v>
      </c>
      <c r="CJ116" s="20">
        <f>+MOP_Mes_Corriente!CJ117*MOP_Mes_Constante!$CC$1</f>
        <v>0</v>
      </c>
      <c r="CK116" s="20">
        <f>+MOP_Mes_Corriente!CK117*MOP_Mes_Constante!$CC$1</f>
        <v>0</v>
      </c>
      <c r="CL116" s="20">
        <f>+MOP_Mes_Corriente!CL117*MOP_Mes_Constante!$CC$1</f>
        <v>0</v>
      </c>
      <c r="CM116" s="20">
        <f>+MOP_Mes_Corriente!CM117*MOP_Mes_Constante!$CC$1</f>
        <v>0</v>
      </c>
      <c r="CN116" s="20">
        <f>+MOP_Mes_Corriente!CN117*MOP_Mes_Constante!$CC$1</f>
        <v>0</v>
      </c>
      <c r="CO116" s="20">
        <f t="shared" si="158"/>
        <v>0</v>
      </c>
      <c r="CP116" s="20">
        <f>+MOP_Mes_Corriente!CP117*MOP_Mes_Constante!$CP$1</f>
        <v>0</v>
      </c>
      <c r="CQ116" s="20">
        <f>+MOP_Mes_Corriente!CQ117*MOP_Mes_Constante!$CP$1</f>
        <v>0</v>
      </c>
      <c r="CR116" s="20">
        <f>+MOP_Mes_Corriente!CR117*MOP_Mes_Constante!$CP$1</f>
        <v>0</v>
      </c>
      <c r="CS116" s="20">
        <f>+MOP_Mes_Corriente!CS117*MOP_Mes_Constante!$CP$1</f>
        <v>0</v>
      </c>
      <c r="CT116" s="20">
        <f>+MOP_Mes_Corriente!CT117*MOP_Mes_Constante!$CP$1</f>
        <v>0</v>
      </c>
      <c r="CU116" s="20">
        <f>+MOP_Mes_Corriente!CU117*MOP_Mes_Constante!$CP$1</f>
        <v>0</v>
      </c>
      <c r="CV116" s="20">
        <f>+MOP_Mes_Corriente!CV117*MOP_Mes_Constante!$CP$1</f>
        <v>0</v>
      </c>
      <c r="CW116" s="20">
        <f>+MOP_Mes_Corriente!CW117*MOP_Mes_Constante!$CP$1</f>
        <v>0</v>
      </c>
      <c r="CX116" s="20">
        <f>+MOP_Mes_Corriente!CX117*MOP_Mes_Constante!$CP$1</f>
        <v>0</v>
      </c>
      <c r="CY116" s="20">
        <f>+MOP_Mes_Corriente!CY117*MOP_Mes_Constante!$CP$1</f>
        <v>0</v>
      </c>
      <c r="CZ116" s="20">
        <f>+MOP_Mes_Corriente!CZ117*MOP_Mes_Constante!$CP$1</f>
        <v>0</v>
      </c>
      <c r="DA116" s="20">
        <f>+MOP_Mes_Corriente!DA117*MOP_Mes_Constante!$CP$1</f>
        <v>0</v>
      </c>
      <c r="DB116" s="20">
        <f t="shared" si="159"/>
        <v>0</v>
      </c>
      <c r="DC116" s="20">
        <f>+MOP_Mes_Corriente!DC117*MOP_Mes_Constante!$DC$1</f>
        <v>0</v>
      </c>
      <c r="DD116" s="20">
        <f>+MOP_Mes_Corriente!DD117*MOP_Mes_Constante!$DC$1</f>
        <v>0</v>
      </c>
      <c r="DE116" s="20">
        <f>+MOP_Mes_Corriente!DE117*MOP_Mes_Constante!$DC$1</f>
        <v>0</v>
      </c>
      <c r="DF116" s="20">
        <f>+MOP_Mes_Corriente!DF117*MOP_Mes_Constante!$DC$1</f>
        <v>0</v>
      </c>
      <c r="DG116" s="20">
        <f>+MOP_Mes_Corriente!DG117*MOP_Mes_Constante!$DC$1</f>
        <v>0</v>
      </c>
      <c r="DH116" s="20">
        <f>+MOP_Mes_Corriente!DH117*MOP_Mes_Constante!$DC$1</f>
        <v>0</v>
      </c>
      <c r="DI116" s="20">
        <f>+MOP_Mes_Corriente!DI117*MOP_Mes_Constante!$DC$1</f>
        <v>0</v>
      </c>
      <c r="DJ116" s="20">
        <f>+MOP_Mes_Corriente!DJ117*MOP_Mes_Constante!$DC$1</f>
        <v>0</v>
      </c>
      <c r="DK116" s="20">
        <f>+MOP_Mes_Corriente!DK117*MOP_Mes_Constante!$DC$1</f>
        <v>0</v>
      </c>
      <c r="DL116" s="20">
        <f>+MOP_Mes_Corriente!DL117*MOP_Mes_Constante!$DC$1</f>
        <v>0</v>
      </c>
      <c r="DM116" s="20">
        <f>+MOP_Mes_Corriente!DM117*MOP_Mes_Constante!$DC$1</f>
        <v>0</v>
      </c>
      <c r="DN116" s="20">
        <f>+MOP_Mes_Corriente!DN117*MOP_Mes_Constante!$DC$1</f>
        <v>0</v>
      </c>
      <c r="DO116" s="20">
        <f t="shared" si="160"/>
        <v>0</v>
      </c>
      <c r="DP116" s="20">
        <f>+MOP_Mes_Corriente!DP117*MOP_Mes_Constante!$DP$1</f>
        <v>0</v>
      </c>
      <c r="DQ116" s="20">
        <f>+MOP_Mes_Corriente!DQ117*MOP_Mes_Constante!$DP$1</f>
        <v>0</v>
      </c>
      <c r="DR116" s="20">
        <f>+MOP_Mes_Corriente!DR117*MOP_Mes_Constante!$DP$1</f>
        <v>0</v>
      </c>
      <c r="DS116" s="20">
        <f>+MOP_Mes_Corriente!DS117*MOP_Mes_Constante!$DP$1</f>
        <v>0</v>
      </c>
      <c r="DT116" s="20">
        <f>+MOP_Mes_Corriente!DT117*MOP_Mes_Constante!$DP$1</f>
        <v>0</v>
      </c>
      <c r="DU116" s="20">
        <f>+MOP_Mes_Corriente!DU117*MOP_Mes_Constante!$DP$1</f>
        <v>0</v>
      </c>
      <c r="DV116" s="20">
        <f>+MOP_Mes_Corriente!DV117*MOP_Mes_Constante!$DP$1</f>
        <v>0</v>
      </c>
      <c r="DW116" s="20">
        <f>+MOP_Mes_Corriente!DW117*MOP_Mes_Constante!$DP$1</f>
        <v>0</v>
      </c>
      <c r="DX116" s="20">
        <f>+MOP_Mes_Corriente!DX117*MOP_Mes_Constante!$DP$1</f>
        <v>0</v>
      </c>
      <c r="DY116" s="20">
        <f>+MOP_Mes_Corriente!DY117*MOP_Mes_Constante!$DP$1</f>
        <v>0</v>
      </c>
      <c r="DZ116" s="20">
        <f>+MOP_Mes_Corriente!DZ117*MOP_Mes_Constante!$DP$1</f>
        <v>0</v>
      </c>
      <c r="EA116" s="20">
        <f>+MOP_Mes_Corriente!EA117*MOP_Mes_Constante!$DP$1</f>
        <v>0</v>
      </c>
      <c r="EB116" s="20">
        <f t="shared" si="161"/>
        <v>0</v>
      </c>
      <c r="EC116" s="20">
        <f>+MOP_Mes_Corriente!EC117*MOP_Mes_Constante!$EC$1</f>
        <v>0</v>
      </c>
      <c r="ED116" s="20">
        <f>+MOP_Mes_Corriente!ED117*MOP_Mes_Constante!$EC$1</f>
        <v>0</v>
      </c>
      <c r="EE116" s="20">
        <f>+MOP_Mes_Corriente!EE117*MOP_Mes_Constante!$EC$1</f>
        <v>0</v>
      </c>
      <c r="EF116" s="20">
        <f>+MOP_Mes_Corriente!EF117*MOP_Mes_Constante!$EC$1</f>
        <v>0</v>
      </c>
      <c r="EG116" s="20">
        <f>+MOP_Mes_Corriente!EG117*MOP_Mes_Constante!$EC$1</f>
        <v>0</v>
      </c>
      <c r="EH116" s="20">
        <f>+MOP_Mes_Corriente!EH117*MOP_Mes_Constante!$EC$1</f>
        <v>0</v>
      </c>
      <c r="EI116" s="20">
        <f>+MOP_Mes_Corriente!EI117*MOP_Mes_Constante!$EC$1</f>
        <v>0</v>
      </c>
      <c r="EJ116" s="20">
        <f>+MOP_Mes_Corriente!EJ117*MOP_Mes_Constante!$EC$1</f>
        <v>0</v>
      </c>
      <c r="EK116" s="20">
        <f>+MOP_Mes_Corriente!EK117*MOP_Mes_Constante!$EC$1</f>
        <v>0</v>
      </c>
      <c r="EL116" s="20">
        <f>+MOP_Mes_Corriente!EL117*MOP_Mes_Constante!$EC$1</f>
        <v>0</v>
      </c>
      <c r="EM116" s="20">
        <f>+MOP_Mes_Corriente!EM117*MOP_Mes_Constante!$EC$1</f>
        <v>0</v>
      </c>
      <c r="EN116" s="20">
        <f>+MOP_Mes_Corriente!EN117*MOP_Mes_Constante!$EC$1</f>
        <v>0</v>
      </c>
      <c r="EO116" s="20">
        <f t="shared" si="162"/>
        <v>0</v>
      </c>
      <c r="EP116" s="20">
        <f>+MOP_Mes_Corriente!EP117*MOP_Mes_Constante!$EP$1</f>
        <v>0</v>
      </c>
      <c r="EQ116" s="20">
        <f>+MOP_Mes_Corriente!EQ117*MOP_Mes_Constante!$EP$1</f>
        <v>0</v>
      </c>
      <c r="ER116" s="20">
        <f>+MOP_Mes_Corriente!ER117*MOP_Mes_Constante!$EP$1</f>
        <v>0</v>
      </c>
      <c r="ES116" s="20">
        <f>+MOP_Mes_Corriente!ES117*MOP_Mes_Constante!$EP$1</f>
        <v>0</v>
      </c>
      <c r="ET116" s="20">
        <f>+MOP_Mes_Corriente!ET117*MOP_Mes_Constante!$EP$1</f>
        <v>0</v>
      </c>
      <c r="EU116" s="20">
        <f>+MOP_Mes_Corriente!EU117*MOP_Mes_Constante!$EP$1</f>
        <v>0</v>
      </c>
      <c r="EV116" s="20">
        <f>+MOP_Mes_Corriente!EV117*MOP_Mes_Constante!$EP$1</f>
        <v>0</v>
      </c>
      <c r="EW116" s="20">
        <f>+MOP_Mes_Corriente!EW117*MOP_Mes_Constante!$EP$1</f>
        <v>0</v>
      </c>
      <c r="EX116" s="20">
        <f>+MOP_Mes_Corriente!EX117*MOP_Mes_Constante!$EP$1</f>
        <v>0</v>
      </c>
      <c r="EY116" s="20">
        <f>+MOP_Mes_Corriente!EY117*MOP_Mes_Constante!$EP$1</f>
        <v>0</v>
      </c>
      <c r="EZ116" s="20">
        <f>+MOP_Mes_Corriente!EZ117*MOP_Mes_Constante!$EP$1</f>
        <v>0</v>
      </c>
      <c r="FA116" s="20">
        <f>+MOP_Mes_Corriente!FA117*MOP_Mes_Constante!$EP$1</f>
        <v>0</v>
      </c>
      <c r="FB116" s="20">
        <f t="shared" si="163"/>
        <v>0</v>
      </c>
      <c r="FC116" s="20">
        <f>+MOP_Mes_Corriente!FC117*MOP_Mes_Constante!$FC$1</f>
        <v>0</v>
      </c>
      <c r="FD116" s="20">
        <f>+MOP_Mes_Corriente!FD117*MOP_Mes_Constante!$FC$1</f>
        <v>0</v>
      </c>
      <c r="FE116" s="20">
        <f>+MOP_Mes_Corriente!FE117*MOP_Mes_Constante!$FC$1</f>
        <v>0</v>
      </c>
      <c r="FF116" s="20">
        <f>+MOP_Mes_Corriente!FF117*MOP_Mes_Constante!$FC$1</f>
        <v>0</v>
      </c>
      <c r="FG116" s="20">
        <f>+MOP_Mes_Corriente!FG117*MOP_Mes_Constante!$FC$1</f>
        <v>0</v>
      </c>
      <c r="FH116" s="20">
        <f>+MOP_Mes_Corriente!FH117*MOP_Mes_Constante!$FC$1</f>
        <v>0</v>
      </c>
      <c r="FI116" s="20">
        <f>+MOP_Mes_Corriente!FI117*MOP_Mes_Constante!$FC$1</f>
        <v>0</v>
      </c>
      <c r="FJ116" s="10"/>
      <c r="FK116" s="10"/>
      <c r="FL116" s="10"/>
      <c r="FM116" s="10"/>
      <c r="FN116" s="10"/>
      <c r="FO116" s="20">
        <f t="shared" si="164"/>
        <v>0</v>
      </c>
    </row>
    <row r="117" spans="1:171" ht="21.75" customHeight="1">
      <c r="A117" s="10"/>
      <c r="B117" s="15" t="s">
        <v>49</v>
      </c>
      <c r="C117" s="38">
        <f t="shared" ref="C117:AH117" si="165">SUM(C111:C116)</f>
        <v>0</v>
      </c>
      <c r="D117" s="38">
        <f t="shared" si="165"/>
        <v>0</v>
      </c>
      <c r="E117" s="38">
        <f t="shared" si="165"/>
        <v>0</v>
      </c>
      <c r="F117" s="38">
        <f t="shared" si="165"/>
        <v>0</v>
      </c>
      <c r="G117" s="38">
        <f t="shared" si="165"/>
        <v>0</v>
      </c>
      <c r="H117" s="38">
        <f t="shared" si="165"/>
        <v>0</v>
      </c>
      <c r="I117" s="38">
        <f t="shared" si="165"/>
        <v>0</v>
      </c>
      <c r="J117" s="38">
        <f t="shared" si="165"/>
        <v>0</v>
      </c>
      <c r="K117" s="38">
        <f t="shared" si="165"/>
        <v>0</v>
      </c>
      <c r="L117" s="38">
        <f t="shared" si="165"/>
        <v>0</v>
      </c>
      <c r="M117" s="38">
        <f t="shared" si="165"/>
        <v>0</v>
      </c>
      <c r="N117" s="38">
        <f t="shared" si="165"/>
        <v>0</v>
      </c>
      <c r="O117" s="38">
        <f t="shared" si="165"/>
        <v>0</v>
      </c>
      <c r="P117" s="38">
        <f t="shared" si="165"/>
        <v>0</v>
      </c>
      <c r="Q117" s="38">
        <f t="shared" si="165"/>
        <v>0</v>
      </c>
      <c r="R117" s="38">
        <f t="shared" si="165"/>
        <v>0</v>
      </c>
      <c r="S117" s="38">
        <f t="shared" si="165"/>
        <v>0</v>
      </c>
      <c r="T117" s="38">
        <f t="shared" si="165"/>
        <v>0</v>
      </c>
      <c r="U117" s="38">
        <f t="shared" si="165"/>
        <v>0</v>
      </c>
      <c r="V117" s="38">
        <f t="shared" si="165"/>
        <v>0</v>
      </c>
      <c r="W117" s="38">
        <f t="shared" si="165"/>
        <v>0</v>
      </c>
      <c r="X117" s="38">
        <f t="shared" si="165"/>
        <v>0</v>
      </c>
      <c r="Y117" s="38">
        <f t="shared" si="165"/>
        <v>0</v>
      </c>
      <c r="Z117" s="38">
        <f t="shared" si="165"/>
        <v>0</v>
      </c>
      <c r="AA117" s="38">
        <f t="shared" si="165"/>
        <v>0</v>
      </c>
      <c r="AB117" s="38">
        <f t="shared" si="165"/>
        <v>0</v>
      </c>
      <c r="AC117" s="38">
        <f t="shared" si="165"/>
        <v>0</v>
      </c>
      <c r="AD117" s="38">
        <f t="shared" si="165"/>
        <v>0</v>
      </c>
      <c r="AE117" s="38">
        <f t="shared" si="165"/>
        <v>0</v>
      </c>
      <c r="AF117" s="38">
        <f t="shared" si="165"/>
        <v>0</v>
      </c>
      <c r="AG117" s="38">
        <f t="shared" si="165"/>
        <v>0</v>
      </c>
      <c r="AH117" s="38">
        <f t="shared" si="165"/>
        <v>0</v>
      </c>
      <c r="AI117" s="38">
        <f t="shared" ref="AI117:BN117" si="166">SUM(AI111:AI116)</f>
        <v>0</v>
      </c>
      <c r="AJ117" s="38">
        <f t="shared" si="166"/>
        <v>0</v>
      </c>
      <c r="AK117" s="38">
        <f t="shared" si="166"/>
        <v>0</v>
      </c>
      <c r="AL117" s="38">
        <f t="shared" si="166"/>
        <v>0</v>
      </c>
      <c r="AM117" s="38">
        <f t="shared" si="166"/>
        <v>0</v>
      </c>
      <c r="AN117" s="38">
        <f t="shared" si="166"/>
        <v>0</v>
      </c>
      <c r="AO117" s="38">
        <f t="shared" si="166"/>
        <v>0</v>
      </c>
      <c r="AP117" s="38">
        <f t="shared" si="166"/>
        <v>0</v>
      </c>
      <c r="AQ117" s="38">
        <f t="shared" si="166"/>
        <v>0</v>
      </c>
      <c r="AR117" s="38">
        <f t="shared" si="166"/>
        <v>0</v>
      </c>
      <c r="AS117" s="38">
        <f t="shared" si="166"/>
        <v>0</v>
      </c>
      <c r="AT117" s="38">
        <f t="shared" si="166"/>
        <v>0</v>
      </c>
      <c r="AU117" s="38">
        <f t="shared" si="166"/>
        <v>0</v>
      </c>
      <c r="AV117" s="38">
        <f t="shared" si="166"/>
        <v>0</v>
      </c>
      <c r="AW117" s="38">
        <f t="shared" si="166"/>
        <v>0</v>
      </c>
      <c r="AX117" s="38">
        <f t="shared" si="166"/>
        <v>0</v>
      </c>
      <c r="AY117" s="38">
        <f t="shared" si="166"/>
        <v>0</v>
      </c>
      <c r="AZ117" s="38">
        <f t="shared" si="166"/>
        <v>0</v>
      </c>
      <c r="BA117" s="38">
        <f t="shared" si="166"/>
        <v>0</v>
      </c>
      <c r="BB117" s="38">
        <f t="shared" si="166"/>
        <v>0</v>
      </c>
      <c r="BC117" s="38">
        <f t="shared" si="166"/>
        <v>0</v>
      </c>
      <c r="BD117" s="38">
        <f t="shared" si="166"/>
        <v>0</v>
      </c>
      <c r="BE117" s="38">
        <f t="shared" si="166"/>
        <v>0</v>
      </c>
      <c r="BF117" s="38">
        <f t="shared" si="166"/>
        <v>0</v>
      </c>
      <c r="BG117" s="38">
        <f t="shared" si="166"/>
        <v>0</v>
      </c>
      <c r="BH117" s="38">
        <f t="shared" si="166"/>
        <v>0</v>
      </c>
      <c r="BI117" s="38">
        <f t="shared" si="166"/>
        <v>0</v>
      </c>
      <c r="BJ117" s="38">
        <f t="shared" si="166"/>
        <v>0</v>
      </c>
      <c r="BK117" s="38">
        <f t="shared" si="166"/>
        <v>0</v>
      </c>
      <c r="BL117" s="38">
        <f t="shared" si="166"/>
        <v>0</v>
      </c>
      <c r="BM117" s="38">
        <f t="shared" si="166"/>
        <v>0</v>
      </c>
      <c r="BN117" s="38">
        <f t="shared" si="166"/>
        <v>0</v>
      </c>
      <c r="BO117" s="38">
        <f t="shared" ref="BO117:CT117" si="167">SUM(BO111:BO116)</f>
        <v>0</v>
      </c>
      <c r="BP117" s="38">
        <f t="shared" si="167"/>
        <v>0</v>
      </c>
      <c r="BQ117" s="38">
        <f t="shared" si="167"/>
        <v>0</v>
      </c>
      <c r="BR117" s="38">
        <f t="shared" si="167"/>
        <v>0</v>
      </c>
      <c r="BS117" s="38">
        <f t="shared" si="167"/>
        <v>0</v>
      </c>
      <c r="BT117" s="38">
        <f t="shared" si="167"/>
        <v>0</v>
      </c>
      <c r="BU117" s="38">
        <f t="shared" si="167"/>
        <v>0</v>
      </c>
      <c r="BV117" s="38">
        <f t="shared" si="167"/>
        <v>0</v>
      </c>
      <c r="BW117" s="38">
        <f t="shared" si="167"/>
        <v>0</v>
      </c>
      <c r="BX117" s="38">
        <f t="shared" si="167"/>
        <v>0</v>
      </c>
      <c r="BY117" s="38">
        <f t="shared" si="167"/>
        <v>0</v>
      </c>
      <c r="BZ117" s="38">
        <f t="shared" si="167"/>
        <v>0</v>
      </c>
      <c r="CA117" s="38">
        <f t="shared" si="167"/>
        <v>0</v>
      </c>
      <c r="CB117" s="38">
        <f t="shared" si="167"/>
        <v>0</v>
      </c>
      <c r="CC117" s="38">
        <f t="shared" si="167"/>
        <v>0</v>
      </c>
      <c r="CD117" s="38">
        <f t="shared" si="167"/>
        <v>0</v>
      </c>
      <c r="CE117" s="38">
        <f t="shared" si="167"/>
        <v>0</v>
      </c>
      <c r="CF117" s="38">
        <f t="shared" si="167"/>
        <v>0</v>
      </c>
      <c r="CG117" s="38">
        <f t="shared" si="167"/>
        <v>0</v>
      </c>
      <c r="CH117" s="38">
        <f t="shared" si="167"/>
        <v>0</v>
      </c>
      <c r="CI117" s="38">
        <f t="shared" si="167"/>
        <v>0</v>
      </c>
      <c r="CJ117" s="38">
        <f t="shared" si="167"/>
        <v>0</v>
      </c>
      <c r="CK117" s="38">
        <f t="shared" si="167"/>
        <v>0</v>
      </c>
      <c r="CL117" s="38">
        <f t="shared" si="167"/>
        <v>0</v>
      </c>
      <c r="CM117" s="38">
        <f t="shared" si="167"/>
        <v>0</v>
      </c>
      <c r="CN117" s="38">
        <f t="shared" si="167"/>
        <v>0</v>
      </c>
      <c r="CO117" s="38">
        <f t="shared" si="167"/>
        <v>0</v>
      </c>
      <c r="CP117" s="38">
        <f t="shared" si="167"/>
        <v>0</v>
      </c>
      <c r="CQ117" s="38">
        <f t="shared" si="167"/>
        <v>0</v>
      </c>
      <c r="CR117" s="38">
        <f t="shared" si="167"/>
        <v>0</v>
      </c>
      <c r="CS117" s="38">
        <f t="shared" si="167"/>
        <v>0</v>
      </c>
      <c r="CT117" s="38">
        <f t="shared" si="167"/>
        <v>0</v>
      </c>
      <c r="CU117" s="38">
        <f t="shared" ref="CU117:DZ117" si="168">SUM(CU111:CU116)</f>
        <v>0</v>
      </c>
      <c r="CV117" s="38">
        <f t="shared" si="168"/>
        <v>0</v>
      </c>
      <c r="CW117" s="38">
        <f t="shared" si="168"/>
        <v>0</v>
      </c>
      <c r="CX117" s="38">
        <f t="shared" si="168"/>
        <v>0</v>
      </c>
      <c r="CY117" s="38">
        <f t="shared" si="168"/>
        <v>0</v>
      </c>
      <c r="CZ117" s="38">
        <f t="shared" si="168"/>
        <v>0</v>
      </c>
      <c r="DA117" s="38">
        <f t="shared" si="168"/>
        <v>0</v>
      </c>
      <c r="DB117" s="38">
        <f t="shared" si="168"/>
        <v>0</v>
      </c>
      <c r="DC117" s="38">
        <f t="shared" si="168"/>
        <v>0</v>
      </c>
      <c r="DD117" s="38">
        <f t="shared" si="168"/>
        <v>0</v>
      </c>
      <c r="DE117" s="38">
        <f t="shared" si="168"/>
        <v>0</v>
      </c>
      <c r="DF117" s="38">
        <f t="shared" si="168"/>
        <v>0</v>
      </c>
      <c r="DG117" s="38">
        <f t="shared" si="168"/>
        <v>0</v>
      </c>
      <c r="DH117" s="38">
        <f t="shared" si="168"/>
        <v>0</v>
      </c>
      <c r="DI117" s="38">
        <f t="shared" si="168"/>
        <v>0</v>
      </c>
      <c r="DJ117" s="38">
        <f t="shared" si="168"/>
        <v>0</v>
      </c>
      <c r="DK117" s="38">
        <f t="shared" si="168"/>
        <v>0</v>
      </c>
      <c r="DL117" s="38">
        <f t="shared" si="168"/>
        <v>0</v>
      </c>
      <c r="DM117" s="38">
        <f t="shared" si="168"/>
        <v>0</v>
      </c>
      <c r="DN117" s="38">
        <f t="shared" si="168"/>
        <v>0</v>
      </c>
      <c r="DO117" s="38">
        <f t="shared" si="168"/>
        <v>0</v>
      </c>
      <c r="DP117" s="38">
        <f t="shared" si="168"/>
        <v>0</v>
      </c>
      <c r="DQ117" s="38">
        <f t="shared" si="168"/>
        <v>0</v>
      </c>
      <c r="DR117" s="38">
        <f t="shared" si="168"/>
        <v>0</v>
      </c>
      <c r="DS117" s="38">
        <f t="shared" si="168"/>
        <v>0</v>
      </c>
      <c r="DT117" s="38">
        <f t="shared" si="168"/>
        <v>0</v>
      </c>
      <c r="DU117" s="38">
        <f t="shared" si="168"/>
        <v>0</v>
      </c>
      <c r="DV117" s="38">
        <f t="shared" si="168"/>
        <v>1135.4216152019003</v>
      </c>
      <c r="DW117" s="38">
        <f t="shared" si="168"/>
        <v>1135.4216152019003</v>
      </c>
      <c r="DX117" s="38">
        <f t="shared" si="168"/>
        <v>40869.771377672216</v>
      </c>
      <c r="DY117" s="38">
        <f t="shared" si="168"/>
        <v>183271.10629453685</v>
      </c>
      <c r="DZ117" s="38">
        <f t="shared" si="168"/>
        <v>911617.03859857493</v>
      </c>
      <c r="EA117" s="38">
        <f t="shared" ref="EA117:FF117" si="169">SUM(EA111:EA116)</f>
        <v>4176036.3652019007</v>
      </c>
      <c r="EB117" s="38">
        <f t="shared" si="169"/>
        <v>4176036.3652019007</v>
      </c>
      <c r="EC117" s="38">
        <f t="shared" si="169"/>
        <v>0</v>
      </c>
      <c r="ED117" s="38">
        <f t="shared" si="169"/>
        <v>0</v>
      </c>
      <c r="EE117" s="38">
        <f t="shared" si="169"/>
        <v>0</v>
      </c>
      <c r="EF117" s="38">
        <f t="shared" si="169"/>
        <v>0</v>
      </c>
      <c r="EG117" s="38">
        <f t="shared" si="169"/>
        <v>0</v>
      </c>
      <c r="EH117" s="38">
        <f t="shared" si="169"/>
        <v>0</v>
      </c>
      <c r="EI117" s="38">
        <f t="shared" si="169"/>
        <v>0</v>
      </c>
      <c r="EJ117" s="38">
        <f t="shared" si="169"/>
        <v>0</v>
      </c>
      <c r="EK117" s="38">
        <f t="shared" si="169"/>
        <v>0</v>
      </c>
      <c r="EL117" s="38">
        <f t="shared" si="169"/>
        <v>0</v>
      </c>
      <c r="EM117" s="38">
        <f t="shared" si="169"/>
        <v>0</v>
      </c>
      <c r="EN117" s="38">
        <f t="shared" si="169"/>
        <v>0</v>
      </c>
      <c r="EO117" s="38">
        <f t="shared" si="169"/>
        <v>0</v>
      </c>
      <c r="EP117" s="38">
        <f t="shared" si="169"/>
        <v>0</v>
      </c>
      <c r="EQ117" s="38">
        <f t="shared" si="169"/>
        <v>0</v>
      </c>
      <c r="ER117" s="38">
        <f t="shared" si="169"/>
        <v>0</v>
      </c>
      <c r="ES117" s="38">
        <f t="shared" si="169"/>
        <v>0</v>
      </c>
      <c r="ET117" s="38">
        <f t="shared" si="169"/>
        <v>0</v>
      </c>
      <c r="EU117" s="38">
        <f t="shared" si="169"/>
        <v>0</v>
      </c>
      <c r="EV117" s="38">
        <f t="shared" si="169"/>
        <v>0</v>
      </c>
      <c r="EW117" s="38">
        <f t="shared" si="169"/>
        <v>0</v>
      </c>
      <c r="EX117" s="38">
        <f t="shared" si="169"/>
        <v>0</v>
      </c>
      <c r="EY117" s="38">
        <f t="shared" si="169"/>
        <v>0</v>
      </c>
      <c r="EZ117" s="38">
        <f t="shared" si="169"/>
        <v>0</v>
      </c>
      <c r="FA117" s="38">
        <f t="shared" si="169"/>
        <v>0</v>
      </c>
      <c r="FB117" s="38">
        <f t="shared" si="169"/>
        <v>0</v>
      </c>
      <c r="FC117" s="38">
        <f t="shared" si="169"/>
        <v>0</v>
      </c>
      <c r="FD117" s="38">
        <f t="shared" si="169"/>
        <v>0</v>
      </c>
      <c r="FE117" s="38">
        <f t="shared" si="169"/>
        <v>0</v>
      </c>
      <c r="FF117" s="38">
        <f t="shared" si="169"/>
        <v>0</v>
      </c>
      <c r="FG117" s="38">
        <f t="shared" ref="FG117:GL117" si="170">SUM(FG111:FG116)</f>
        <v>0</v>
      </c>
      <c r="FH117" s="38">
        <f t="shared" si="170"/>
        <v>0</v>
      </c>
      <c r="FI117" s="38">
        <f t="shared" si="170"/>
        <v>0</v>
      </c>
      <c r="FJ117" s="38">
        <f t="shared" si="170"/>
        <v>0</v>
      </c>
      <c r="FK117" s="38">
        <f t="shared" si="170"/>
        <v>0</v>
      </c>
      <c r="FL117" s="38">
        <f t="shared" si="170"/>
        <v>0</v>
      </c>
      <c r="FM117" s="38">
        <f t="shared" si="170"/>
        <v>0</v>
      </c>
      <c r="FN117" s="38">
        <f t="shared" si="170"/>
        <v>0</v>
      </c>
      <c r="FO117" s="38">
        <f t="shared" si="170"/>
        <v>0</v>
      </c>
    </row>
    <row r="118" spans="1:171" ht="14.25" customHeight="1">
      <c r="A118" s="10"/>
      <c r="B118" s="18" t="s">
        <v>63</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row>
    <row r="119" spans="1:171"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row>
    <row r="120" spans="1:171"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row>
    <row r="121" spans="1:17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row>
    <row r="122" spans="1:171" ht="14.25" customHeight="1">
      <c r="A122" s="10"/>
      <c r="B122" s="18" t="s">
        <v>66</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row>
    <row r="123" spans="1:171" ht="14.25" customHeight="1">
      <c r="A123" s="10"/>
      <c r="B123" s="18" t="s">
        <v>67</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row>
    <row r="124" spans="1:171" ht="14.25" customHeight="1">
      <c r="A124" s="10"/>
      <c r="B124" s="18" t="s">
        <v>68</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row>
    <row r="125" spans="1:171" ht="14.25" customHeight="1">
      <c r="A125" s="10"/>
      <c r="B125" s="18" t="s">
        <v>69</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row>
    <row r="126" spans="1:171" ht="14.25" customHeight="1">
      <c r="A126" s="10"/>
      <c r="B126" s="18" t="s">
        <v>70</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row>
    <row r="127" spans="1:171" ht="14.25" customHeight="1">
      <c r="A127" s="10"/>
      <c r="B127" s="18" t="s">
        <v>71</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row>
    <row r="128" spans="1:171" ht="14.25" customHeight="1">
      <c r="A128" s="10"/>
      <c r="B128" s="18" t="s">
        <v>72</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row>
    <row r="129" spans="1:171" ht="14.25" customHeight="1">
      <c r="A129" s="10"/>
      <c r="B129" s="18" t="s">
        <v>73</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row>
    <row r="130" spans="1:171" ht="14.25" customHeight="1">
      <c r="A130" s="10"/>
      <c r="B130" s="18" t="s">
        <v>74</v>
      </c>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row>
    <row r="131" spans="1:171" ht="14.25" customHeight="1">
      <c r="A131" s="10"/>
      <c r="B131" s="18" t="s">
        <v>75</v>
      </c>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row>
    <row r="132" spans="1:171"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row>
    <row r="133" spans="1:171"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row>
    <row r="134" spans="1:171"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row>
    <row r="135" spans="1:171"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row>
    <row r="136" spans="1:171"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row>
    <row r="137" spans="1:171"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row>
    <row r="138" spans="1:171"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row>
    <row r="139" spans="1:171"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row>
    <row r="140" spans="1:171"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row>
    <row r="141" spans="1:17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row>
    <row r="142" spans="1:171"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row>
    <row r="143" spans="1:171"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row>
    <row r="144" spans="1:171"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row>
    <row r="145" spans="1:171"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row>
    <row r="146" spans="1:171"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row>
    <row r="147" spans="1:171"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row>
    <row r="148" spans="1:171"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row>
    <row r="149" spans="1:171"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row>
    <row r="150" spans="1:171"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row>
    <row r="151" spans="1:17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row>
    <row r="152" spans="1:171"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row>
    <row r="153" spans="1:171"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row>
    <row r="154" spans="1:171"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row>
    <row r="155" spans="1:171"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row>
    <row r="156" spans="1:171"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row>
    <row r="157" spans="1:171" ht="14.25" customHeight="1">
      <c r="A157" s="10"/>
      <c r="B157" s="10" t="str">
        <f t="shared" ref="B157:B162" si="171">+B9</f>
        <v>Dirección de Vialidad</v>
      </c>
      <c r="C157" s="96">
        <f t="shared" ref="C157:AH157" si="172">+C9+C48+C87</f>
        <v>1312255014.2037671</v>
      </c>
      <c r="D157" s="96">
        <f t="shared" si="172"/>
        <v>1312255014.2037671</v>
      </c>
      <c r="E157" s="96">
        <f t="shared" si="172"/>
        <v>1312255014.2037671</v>
      </c>
      <c r="F157" s="96">
        <f t="shared" si="172"/>
        <v>1312255014.2037671</v>
      </c>
      <c r="G157" s="96">
        <f t="shared" si="172"/>
        <v>1312255014.2037671</v>
      </c>
      <c r="H157" s="96">
        <f t="shared" si="172"/>
        <v>1312255014.2037671</v>
      </c>
      <c r="I157" s="96">
        <f t="shared" si="172"/>
        <v>1312255014.2037671</v>
      </c>
      <c r="J157" s="96">
        <f t="shared" si="172"/>
        <v>1312255014.2037671</v>
      </c>
      <c r="K157" s="96">
        <f t="shared" si="172"/>
        <v>1312255014.2037671</v>
      </c>
      <c r="L157" s="96">
        <f t="shared" si="172"/>
        <v>1312255014.2037671</v>
      </c>
      <c r="M157" s="96">
        <f t="shared" si="172"/>
        <v>1312255014.2037671</v>
      </c>
      <c r="N157" s="96">
        <f t="shared" si="172"/>
        <v>1312255014.2037671</v>
      </c>
      <c r="O157" s="96">
        <f t="shared" si="172"/>
        <v>1312255014.2037671</v>
      </c>
      <c r="P157" s="96">
        <f t="shared" si="172"/>
        <v>1488817964.9433153</v>
      </c>
      <c r="Q157" s="96">
        <f t="shared" si="172"/>
        <v>1488817964.9433153</v>
      </c>
      <c r="R157" s="96">
        <f t="shared" si="172"/>
        <v>1488817964.9433153</v>
      </c>
      <c r="S157" s="96">
        <f t="shared" si="172"/>
        <v>1488817964.9433153</v>
      </c>
      <c r="T157" s="96">
        <f t="shared" si="172"/>
        <v>1488817964.9433153</v>
      </c>
      <c r="U157" s="96">
        <f t="shared" si="172"/>
        <v>1488817964.9433153</v>
      </c>
      <c r="V157" s="96">
        <f t="shared" si="172"/>
        <v>1488817964.9433153</v>
      </c>
      <c r="W157" s="96">
        <f t="shared" si="172"/>
        <v>1488817964.9433153</v>
      </c>
      <c r="X157" s="96">
        <f t="shared" si="172"/>
        <v>1488817964.9433153</v>
      </c>
      <c r="Y157" s="96">
        <f t="shared" si="172"/>
        <v>1488817964.9433153</v>
      </c>
      <c r="Z157" s="96">
        <f t="shared" si="172"/>
        <v>1488817964.9433153</v>
      </c>
      <c r="AA157" s="96">
        <f t="shared" si="172"/>
        <v>1488817964.9433153</v>
      </c>
      <c r="AB157" s="96">
        <f t="shared" si="172"/>
        <v>1488817964.9433153</v>
      </c>
      <c r="AC157" s="96">
        <f t="shared" si="172"/>
        <v>1419137807.9609904</v>
      </c>
      <c r="AD157" s="96">
        <f t="shared" si="172"/>
        <v>1419137807.9609904</v>
      </c>
      <c r="AE157" s="96">
        <f t="shared" si="172"/>
        <v>1419137807.9609904</v>
      </c>
      <c r="AF157" s="96">
        <f t="shared" si="172"/>
        <v>1419137807.9609904</v>
      </c>
      <c r="AG157" s="96">
        <f t="shared" si="172"/>
        <v>1419137807.9609904</v>
      </c>
      <c r="AH157" s="96">
        <f t="shared" si="172"/>
        <v>1419137807.9609904</v>
      </c>
      <c r="AI157" s="96">
        <f t="shared" ref="AI157:BN157" si="173">+AI9+AI48+AI87</f>
        <v>1419137807.9609904</v>
      </c>
      <c r="AJ157" s="96">
        <f t="shared" si="173"/>
        <v>1419137807.9609904</v>
      </c>
      <c r="AK157" s="96">
        <f t="shared" si="173"/>
        <v>1419137807.9609904</v>
      </c>
      <c r="AL157" s="96">
        <f t="shared" si="173"/>
        <v>1419137807.9609904</v>
      </c>
      <c r="AM157" s="96">
        <f t="shared" si="173"/>
        <v>1419137807.9609904</v>
      </c>
      <c r="AN157" s="96">
        <f t="shared" si="173"/>
        <v>1419137807.9609904</v>
      </c>
      <c r="AO157" s="96">
        <f t="shared" si="173"/>
        <v>1419137807.9609904</v>
      </c>
      <c r="AP157" s="96">
        <f t="shared" si="173"/>
        <v>1454708043.6732042</v>
      </c>
      <c r="AQ157" s="96">
        <f t="shared" si="173"/>
        <v>1454708043.6732042</v>
      </c>
      <c r="AR157" s="96">
        <f t="shared" si="173"/>
        <v>1454708043.6732042</v>
      </c>
      <c r="AS157" s="96">
        <f t="shared" si="173"/>
        <v>1454708043.6732042</v>
      </c>
      <c r="AT157" s="96">
        <f t="shared" si="173"/>
        <v>1454708043.6732042</v>
      </c>
      <c r="AU157" s="96">
        <f t="shared" si="173"/>
        <v>1454708043.6732042</v>
      </c>
      <c r="AV157" s="96">
        <f t="shared" si="173"/>
        <v>1454708043.6732042</v>
      </c>
      <c r="AW157" s="96">
        <f t="shared" si="173"/>
        <v>1454708043.6732042</v>
      </c>
      <c r="AX157" s="96">
        <f t="shared" si="173"/>
        <v>1454708043.6732042</v>
      </c>
      <c r="AY157" s="96">
        <f t="shared" si="173"/>
        <v>1454708043.6732042</v>
      </c>
      <c r="AZ157" s="96">
        <f t="shared" si="173"/>
        <v>1454708043.6732042</v>
      </c>
      <c r="BA157" s="96">
        <f t="shared" si="173"/>
        <v>1454708043.6732042</v>
      </c>
      <c r="BB157" s="96">
        <f t="shared" si="173"/>
        <v>1454708043.6732042</v>
      </c>
      <c r="BC157" s="96">
        <f t="shared" si="173"/>
        <v>1440932550.9217992</v>
      </c>
      <c r="BD157" s="96">
        <f t="shared" si="173"/>
        <v>1440932550.9217992</v>
      </c>
      <c r="BE157" s="96">
        <f t="shared" si="173"/>
        <v>1440932550.9217992</v>
      </c>
      <c r="BF157" s="96">
        <f t="shared" si="173"/>
        <v>1440932550.9217992</v>
      </c>
      <c r="BG157" s="96">
        <f t="shared" si="173"/>
        <v>1440932550.9217992</v>
      </c>
      <c r="BH157" s="96">
        <f t="shared" si="173"/>
        <v>1440932550.9217992</v>
      </c>
      <c r="BI157" s="96">
        <f t="shared" si="173"/>
        <v>1440932550.9217992</v>
      </c>
      <c r="BJ157" s="96">
        <f t="shared" si="173"/>
        <v>1440932550.9217992</v>
      </c>
      <c r="BK157" s="96">
        <f t="shared" si="173"/>
        <v>1440932550.9217992</v>
      </c>
      <c r="BL157" s="96">
        <f t="shared" si="173"/>
        <v>1440932550.9217992</v>
      </c>
      <c r="BM157" s="96">
        <f t="shared" si="173"/>
        <v>1440932550.9217992</v>
      </c>
      <c r="BN157" s="96">
        <f t="shared" si="173"/>
        <v>1440932550.9217992</v>
      </c>
      <c r="BO157" s="96">
        <f t="shared" ref="BO157:CT157" si="174">+BO9+BO48+BO87</f>
        <v>1440932550.9217992</v>
      </c>
      <c r="BP157" s="96">
        <f t="shared" si="174"/>
        <v>1480170394.5672216</v>
      </c>
      <c r="BQ157" s="96">
        <f t="shared" si="174"/>
        <v>1480170394.5672216</v>
      </c>
      <c r="BR157" s="96">
        <f t="shared" si="174"/>
        <v>1480170394.5672216</v>
      </c>
      <c r="BS157" s="96">
        <f t="shared" si="174"/>
        <v>1480170394.5672216</v>
      </c>
      <c r="BT157" s="96">
        <f t="shared" si="174"/>
        <v>1480170394.5672216</v>
      </c>
      <c r="BU157" s="96">
        <f t="shared" si="174"/>
        <v>1480170394.5672216</v>
      </c>
      <c r="BV157" s="96">
        <f t="shared" si="174"/>
        <v>1480170394.5672216</v>
      </c>
      <c r="BW157" s="96">
        <f t="shared" si="174"/>
        <v>1480170394.5672216</v>
      </c>
      <c r="BX157" s="96">
        <f t="shared" si="174"/>
        <v>1480170394.5672216</v>
      </c>
      <c r="BY157" s="96">
        <f t="shared" si="174"/>
        <v>1480170394.5672216</v>
      </c>
      <c r="BZ157" s="96">
        <f t="shared" si="174"/>
        <v>1480170394.5672216</v>
      </c>
      <c r="CA157" s="96">
        <f t="shared" si="174"/>
        <v>1480170394.5672216</v>
      </c>
      <c r="CB157" s="96">
        <f t="shared" si="174"/>
        <v>1480170394.5672216</v>
      </c>
      <c r="CC157" s="96">
        <f t="shared" si="174"/>
        <v>1562301686.936218</v>
      </c>
      <c r="CD157" s="96">
        <f t="shared" si="174"/>
        <v>1562301686.936218</v>
      </c>
      <c r="CE157" s="96">
        <f t="shared" si="174"/>
        <v>1562301686.936218</v>
      </c>
      <c r="CF157" s="96">
        <f t="shared" si="174"/>
        <v>1562301686.936218</v>
      </c>
      <c r="CG157" s="96">
        <f t="shared" si="174"/>
        <v>1562301686.936218</v>
      </c>
      <c r="CH157" s="96">
        <f t="shared" si="174"/>
        <v>1562301686.936218</v>
      </c>
      <c r="CI157" s="96">
        <f t="shared" si="174"/>
        <v>1562301686.936218</v>
      </c>
      <c r="CJ157" s="96">
        <f t="shared" si="174"/>
        <v>1562301686.936218</v>
      </c>
      <c r="CK157" s="96">
        <f t="shared" si="174"/>
        <v>1562301686.936218</v>
      </c>
      <c r="CL157" s="96">
        <f t="shared" si="174"/>
        <v>1562301686.936218</v>
      </c>
      <c r="CM157" s="96">
        <f t="shared" si="174"/>
        <v>1562301686.936218</v>
      </c>
      <c r="CN157" s="96">
        <f t="shared" si="174"/>
        <v>1562301686.936218</v>
      </c>
      <c r="CO157" s="96">
        <f t="shared" si="174"/>
        <v>1562301686.936218</v>
      </c>
      <c r="CP157" s="96">
        <f t="shared" si="174"/>
        <v>2037101052.4684451</v>
      </c>
      <c r="CQ157" s="96">
        <f t="shared" si="174"/>
        <v>2037101052.4684451</v>
      </c>
      <c r="CR157" s="96">
        <f t="shared" si="174"/>
        <v>2037101052.4684451</v>
      </c>
      <c r="CS157" s="96">
        <f t="shared" si="174"/>
        <v>2037101052.4684451</v>
      </c>
      <c r="CT157" s="96">
        <f t="shared" si="174"/>
        <v>2037101052.4684451</v>
      </c>
      <c r="CU157" s="96">
        <f t="shared" ref="CU157:DZ157" si="175">+CU9+CU48+CU87</f>
        <v>2037101052.4684451</v>
      </c>
      <c r="CV157" s="96">
        <f t="shared" si="175"/>
        <v>2037101052.4684451</v>
      </c>
      <c r="CW157" s="96">
        <f t="shared" si="175"/>
        <v>2037101052.4684451</v>
      </c>
      <c r="CX157" s="96">
        <f t="shared" si="175"/>
        <v>2037101052.4684451</v>
      </c>
      <c r="CY157" s="96">
        <f t="shared" si="175"/>
        <v>2037101052.4684451</v>
      </c>
      <c r="CZ157" s="96">
        <f t="shared" si="175"/>
        <v>2037101052.4684451</v>
      </c>
      <c r="DA157" s="96">
        <f t="shared" si="175"/>
        <v>2037101052.4684451</v>
      </c>
      <c r="DB157" s="96">
        <f t="shared" si="175"/>
        <v>2037101052.4684451</v>
      </c>
      <c r="DC157" s="96">
        <f t="shared" si="175"/>
        <v>2026230694.5482984</v>
      </c>
      <c r="DD157" s="96">
        <f t="shared" si="175"/>
        <v>2026230694.5482984</v>
      </c>
      <c r="DE157" s="96">
        <f t="shared" si="175"/>
        <v>2026230694.5482984</v>
      </c>
      <c r="DF157" s="96">
        <f t="shared" si="175"/>
        <v>2026230694.5482984</v>
      </c>
      <c r="DG157" s="96">
        <f t="shared" si="175"/>
        <v>2026230694.5482984</v>
      </c>
      <c r="DH157" s="96">
        <f t="shared" si="175"/>
        <v>2026230694.5482984</v>
      </c>
      <c r="DI157" s="96">
        <f t="shared" si="175"/>
        <v>2026230694.5482984</v>
      </c>
      <c r="DJ157" s="96">
        <f t="shared" si="175"/>
        <v>2026230694.5482984</v>
      </c>
      <c r="DK157" s="96">
        <f t="shared" si="175"/>
        <v>2026230694.5482984</v>
      </c>
      <c r="DL157" s="96">
        <f t="shared" si="175"/>
        <v>2026230694.5482984</v>
      </c>
      <c r="DM157" s="96">
        <f t="shared" si="175"/>
        <v>2026230694.5482984</v>
      </c>
      <c r="DN157" s="96">
        <f t="shared" si="175"/>
        <v>2026230694.5482984</v>
      </c>
      <c r="DO157" s="96">
        <f t="shared" si="175"/>
        <v>2026230694.5482984</v>
      </c>
      <c r="DP157" s="96">
        <f t="shared" si="175"/>
        <v>2093441264.4210217</v>
      </c>
      <c r="DQ157" s="96">
        <f t="shared" si="175"/>
        <v>2093441264.4210217</v>
      </c>
      <c r="DR157" s="96">
        <f t="shared" si="175"/>
        <v>2093441264.4210217</v>
      </c>
      <c r="DS157" s="96">
        <f t="shared" si="175"/>
        <v>2093441264.4210217</v>
      </c>
      <c r="DT157" s="96">
        <f t="shared" si="175"/>
        <v>2093441264.4210217</v>
      </c>
      <c r="DU157" s="96">
        <f t="shared" si="175"/>
        <v>2093441264.4210217</v>
      </c>
      <c r="DV157" s="96">
        <f t="shared" si="175"/>
        <v>2093441264.4210217</v>
      </c>
      <c r="DW157" s="96">
        <f t="shared" si="175"/>
        <v>2093441264.4210217</v>
      </c>
      <c r="DX157" s="96">
        <f t="shared" si="175"/>
        <v>2093441264.4210217</v>
      </c>
      <c r="DY157" s="96">
        <f t="shared" si="175"/>
        <v>2093441264.4210217</v>
      </c>
      <c r="DZ157" s="96">
        <f t="shared" si="175"/>
        <v>2093441264.4210217</v>
      </c>
      <c r="EA157" s="96">
        <f t="shared" ref="EA157:FF157" si="176">+EA9+EA48+EA87</f>
        <v>2093441264.4210217</v>
      </c>
      <c r="EB157" s="96">
        <f t="shared" si="176"/>
        <v>2093441264.4210217</v>
      </c>
      <c r="EC157" s="96">
        <f t="shared" si="176"/>
        <v>2083223180.3603477</v>
      </c>
      <c r="ED157" s="96">
        <f t="shared" si="176"/>
        <v>2083223180.3603477</v>
      </c>
      <c r="EE157" s="96">
        <f t="shared" si="176"/>
        <v>2083223180.3603477</v>
      </c>
      <c r="EF157" s="96">
        <f t="shared" si="176"/>
        <v>2083223180.3603477</v>
      </c>
      <c r="EG157" s="96">
        <f t="shared" si="176"/>
        <v>2083223180.3603477</v>
      </c>
      <c r="EH157" s="96">
        <f t="shared" si="176"/>
        <v>2083223180.3603477</v>
      </c>
      <c r="EI157" s="96">
        <f t="shared" si="176"/>
        <v>2083223180.3603477</v>
      </c>
      <c r="EJ157" s="96">
        <f t="shared" si="176"/>
        <v>2083223180.3603477</v>
      </c>
      <c r="EK157" s="96">
        <f t="shared" si="176"/>
        <v>2083223180.3603477</v>
      </c>
      <c r="EL157" s="96">
        <f t="shared" si="176"/>
        <v>2083223180.3603477</v>
      </c>
      <c r="EM157" s="96">
        <f t="shared" si="176"/>
        <v>2083223180.3603477</v>
      </c>
      <c r="EN157" s="96">
        <f t="shared" si="176"/>
        <v>2083223180.3603477</v>
      </c>
      <c r="EO157" s="96">
        <f t="shared" si="176"/>
        <v>2083223180.3603477</v>
      </c>
      <c r="EP157" s="96">
        <f t="shared" si="176"/>
        <v>2089643907</v>
      </c>
      <c r="EQ157" s="96">
        <f t="shared" si="176"/>
        <v>2089643907</v>
      </c>
      <c r="ER157" s="96">
        <f t="shared" si="176"/>
        <v>2089643907</v>
      </c>
      <c r="ES157" s="96">
        <f t="shared" si="176"/>
        <v>2089643907</v>
      </c>
      <c r="ET157" s="96">
        <f t="shared" si="176"/>
        <v>2089643907</v>
      </c>
      <c r="EU157" s="96">
        <f t="shared" si="176"/>
        <v>2089643907</v>
      </c>
      <c r="EV157" s="96">
        <f t="shared" si="176"/>
        <v>2089643907</v>
      </c>
      <c r="EW157" s="96">
        <f t="shared" si="176"/>
        <v>2089643907</v>
      </c>
      <c r="EX157" s="96">
        <f t="shared" si="176"/>
        <v>2089643907</v>
      </c>
      <c r="EY157" s="96">
        <f t="shared" si="176"/>
        <v>2089643907</v>
      </c>
      <c r="EZ157" s="96">
        <f t="shared" si="176"/>
        <v>2089643907</v>
      </c>
      <c r="FA157" s="96">
        <f t="shared" si="176"/>
        <v>2089643907</v>
      </c>
      <c r="FB157" s="96">
        <f t="shared" si="176"/>
        <v>2089643907</v>
      </c>
      <c r="FC157" s="96">
        <f t="shared" si="176"/>
        <v>1952548555</v>
      </c>
      <c r="FD157" s="96">
        <f t="shared" si="176"/>
        <v>1952548555</v>
      </c>
      <c r="FE157" s="96">
        <f t="shared" si="176"/>
        <v>1952548555</v>
      </c>
      <c r="FF157" s="96">
        <f t="shared" si="176"/>
        <v>1952548555</v>
      </c>
      <c r="FG157" s="96">
        <f t="shared" ref="FG157:FO157" si="177">+FG9+FG48+FG87</f>
        <v>1952548555</v>
      </c>
      <c r="FH157" s="96">
        <f t="shared" si="177"/>
        <v>1952548555</v>
      </c>
      <c r="FI157" s="96">
        <f t="shared" si="177"/>
        <v>1952548555</v>
      </c>
      <c r="FJ157" s="96">
        <f t="shared" si="177"/>
        <v>0</v>
      </c>
      <c r="FK157" s="96">
        <f t="shared" si="177"/>
        <v>0</v>
      </c>
      <c r="FL157" s="96">
        <f t="shared" si="177"/>
        <v>0</v>
      </c>
      <c r="FM157" s="96">
        <f t="shared" si="177"/>
        <v>0</v>
      </c>
      <c r="FN157" s="96">
        <f t="shared" si="177"/>
        <v>0</v>
      </c>
      <c r="FO157" s="96">
        <f t="shared" si="177"/>
        <v>1952548555</v>
      </c>
    </row>
    <row r="158" spans="1:171" ht="14.25" customHeight="1">
      <c r="A158" s="10"/>
      <c r="B158" s="10" t="str">
        <f t="shared" si="171"/>
        <v>Dirección de Obras Hidráulicas</v>
      </c>
      <c r="C158" s="96">
        <f t="shared" ref="C158:AH158" si="178">+C10+C49+C88</f>
        <v>164657163.0218004</v>
      </c>
      <c r="D158" s="96">
        <f t="shared" si="178"/>
        <v>164657163.0218004</v>
      </c>
      <c r="E158" s="96">
        <f t="shared" si="178"/>
        <v>164657163.0218004</v>
      </c>
      <c r="F158" s="96">
        <f t="shared" si="178"/>
        <v>164657163.0218004</v>
      </c>
      <c r="G158" s="96">
        <f t="shared" si="178"/>
        <v>164657163.0218004</v>
      </c>
      <c r="H158" s="96">
        <f t="shared" si="178"/>
        <v>164657163.0218004</v>
      </c>
      <c r="I158" s="96">
        <f t="shared" si="178"/>
        <v>164657163.0218004</v>
      </c>
      <c r="J158" s="96">
        <f t="shared" si="178"/>
        <v>164657163.0218004</v>
      </c>
      <c r="K158" s="96">
        <f t="shared" si="178"/>
        <v>164657163.0218004</v>
      </c>
      <c r="L158" s="96">
        <f t="shared" si="178"/>
        <v>164657163.0218004</v>
      </c>
      <c r="M158" s="96">
        <f t="shared" si="178"/>
        <v>164657163.0218004</v>
      </c>
      <c r="N158" s="96">
        <f t="shared" si="178"/>
        <v>164657163.0218004</v>
      </c>
      <c r="O158" s="96">
        <f t="shared" si="178"/>
        <v>164657163.0218004</v>
      </c>
      <c r="P158" s="96">
        <f t="shared" si="178"/>
        <v>182788842.98536718</v>
      </c>
      <c r="Q158" s="96">
        <f t="shared" si="178"/>
        <v>182788842.98536718</v>
      </c>
      <c r="R158" s="96">
        <f t="shared" si="178"/>
        <v>182788842.98536718</v>
      </c>
      <c r="S158" s="96">
        <f t="shared" si="178"/>
        <v>182788842.98536718</v>
      </c>
      <c r="T158" s="96">
        <f t="shared" si="178"/>
        <v>182788842.98536718</v>
      </c>
      <c r="U158" s="96">
        <f t="shared" si="178"/>
        <v>182788842.98536718</v>
      </c>
      <c r="V158" s="96">
        <f t="shared" si="178"/>
        <v>182788842.98536718</v>
      </c>
      <c r="W158" s="96">
        <f t="shared" si="178"/>
        <v>182788842.98536718</v>
      </c>
      <c r="X158" s="96">
        <f t="shared" si="178"/>
        <v>182788842.98536718</v>
      </c>
      <c r="Y158" s="96">
        <f t="shared" si="178"/>
        <v>182788842.98536718</v>
      </c>
      <c r="Z158" s="96">
        <f t="shared" si="178"/>
        <v>182788842.98536718</v>
      </c>
      <c r="AA158" s="96">
        <f t="shared" si="178"/>
        <v>182788842.98536718</v>
      </c>
      <c r="AB158" s="96">
        <f t="shared" si="178"/>
        <v>182788842.98536718</v>
      </c>
      <c r="AC158" s="96">
        <f t="shared" si="178"/>
        <v>192886546.01134321</v>
      </c>
      <c r="AD158" s="96">
        <f t="shared" si="178"/>
        <v>192886546.01134321</v>
      </c>
      <c r="AE158" s="96">
        <f t="shared" si="178"/>
        <v>192886546.01134321</v>
      </c>
      <c r="AF158" s="96">
        <f t="shared" si="178"/>
        <v>192886546.01134321</v>
      </c>
      <c r="AG158" s="96">
        <f t="shared" si="178"/>
        <v>192886546.01134321</v>
      </c>
      <c r="AH158" s="96">
        <f t="shared" si="178"/>
        <v>192886546.01134321</v>
      </c>
      <c r="AI158" s="96">
        <f t="shared" ref="AI158:BN158" si="179">+AI10+AI49+AI88</f>
        <v>192886546.01134321</v>
      </c>
      <c r="AJ158" s="96">
        <f t="shared" si="179"/>
        <v>192886546.01134321</v>
      </c>
      <c r="AK158" s="96">
        <f t="shared" si="179"/>
        <v>192886546.01134321</v>
      </c>
      <c r="AL158" s="96">
        <f t="shared" si="179"/>
        <v>192886546.01134321</v>
      </c>
      <c r="AM158" s="96">
        <f t="shared" si="179"/>
        <v>192886546.01134321</v>
      </c>
      <c r="AN158" s="96">
        <f t="shared" si="179"/>
        <v>192886546.01134321</v>
      </c>
      <c r="AO158" s="96">
        <f t="shared" si="179"/>
        <v>192886546.01134321</v>
      </c>
      <c r="AP158" s="96">
        <f t="shared" si="179"/>
        <v>180021607.20438251</v>
      </c>
      <c r="AQ158" s="96">
        <f t="shared" si="179"/>
        <v>180021607.20438251</v>
      </c>
      <c r="AR158" s="96">
        <f t="shared" si="179"/>
        <v>180021607.20438251</v>
      </c>
      <c r="AS158" s="96">
        <f t="shared" si="179"/>
        <v>180021607.20438251</v>
      </c>
      <c r="AT158" s="96">
        <f t="shared" si="179"/>
        <v>180021607.20438251</v>
      </c>
      <c r="AU158" s="96">
        <f t="shared" si="179"/>
        <v>180021607.20438251</v>
      </c>
      <c r="AV158" s="96">
        <f t="shared" si="179"/>
        <v>180021607.20438251</v>
      </c>
      <c r="AW158" s="96">
        <f t="shared" si="179"/>
        <v>180021607.20438251</v>
      </c>
      <c r="AX158" s="96">
        <f t="shared" si="179"/>
        <v>180021607.20438251</v>
      </c>
      <c r="AY158" s="96">
        <f t="shared" si="179"/>
        <v>180021607.20438251</v>
      </c>
      <c r="AZ158" s="96">
        <f t="shared" si="179"/>
        <v>180021607.20438251</v>
      </c>
      <c r="BA158" s="96">
        <f t="shared" si="179"/>
        <v>180021607.20438251</v>
      </c>
      <c r="BB158" s="96">
        <f t="shared" si="179"/>
        <v>180021607.20438251</v>
      </c>
      <c r="BC158" s="96">
        <f t="shared" si="179"/>
        <v>172794295.20585525</v>
      </c>
      <c r="BD158" s="96">
        <f t="shared" si="179"/>
        <v>172794295.20585525</v>
      </c>
      <c r="BE158" s="96">
        <f t="shared" si="179"/>
        <v>172794295.20585525</v>
      </c>
      <c r="BF158" s="96">
        <f t="shared" si="179"/>
        <v>172794295.20585525</v>
      </c>
      <c r="BG158" s="96">
        <f t="shared" si="179"/>
        <v>172794295.20585525</v>
      </c>
      <c r="BH158" s="96">
        <f t="shared" si="179"/>
        <v>172794295.20585525</v>
      </c>
      <c r="BI158" s="96">
        <f t="shared" si="179"/>
        <v>172794295.20585525</v>
      </c>
      <c r="BJ158" s="96">
        <f t="shared" si="179"/>
        <v>172794295.20585525</v>
      </c>
      <c r="BK158" s="96">
        <f t="shared" si="179"/>
        <v>172794295.20585525</v>
      </c>
      <c r="BL158" s="96">
        <f t="shared" si="179"/>
        <v>172794295.20585525</v>
      </c>
      <c r="BM158" s="96">
        <f t="shared" si="179"/>
        <v>172794295.20585525</v>
      </c>
      <c r="BN158" s="96">
        <f t="shared" si="179"/>
        <v>172794295.20585525</v>
      </c>
      <c r="BO158" s="96">
        <f t="shared" ref="BO158:CT158" si="180">+BO10+BO49+BO88</f>
        <v>172794295.20585525</v>
      </c>
      <c r="BP158" s="96">
        <f t="shared" si="180"/>
        <v>180884850.19743919</v>
      </c>
      <c r="BQ158" s="96">
        <f t="shared" si="180"/>
        <v>180884850.19743919</v>
      </c>
      <c r="BR158" s="96">
        <f t="shared" si="180"/>
        <v>180884850.19743919</v>
      </c>
      <c r="BS158" s="96">
        <f t="shared" si="180"/>
        <v>180884850.19743919</v>
      </c>
      <c r="BT158" s="96">
        <f t="shared" si="180"/>
        <v>180884850.19743919</v>
      </c>
      <c r="BU158" s="96">
        <f t="shared" si="180"/>
        <v>180884850.19743919</v>
      </c>
      <c r="BV158" s="96">
        <f t="shared" si="180"/>
        <v>180884850.19743919</v>
      </c>
      <c r="BW158" s="96">
        <f t="shared" si="180"/>
        <v>180884850.19743919</v>
      </c>
      <c r="BX158" s="96">
        <f t="shared" si="180"/>
        <v>180884850.19743919</v>
      </c>
      <c r="BY158" s="96">
        <f t="shared" si="180"/>
        <v>180884850.19743919</v>
      </c>
      <c r="BZ158" s="96">
        <f t="shared" si="180"/>
        <v>180884850.19743919</v>
      </c>
      <c r="CA158" s="96">
        <f t="shared" si="180"/>
        <v>180884850.19743919</v>
      </c>
      <c r="CB158" s="96">
        <f t="shared" si="180"/>
        <v>180884850.19743919</v>
      </c>
      <c r="CC158" s="96">
        <f t="shared" si="180"/>
        <v>187275332.26258859</v>
      </c>
      <c r="CD158" s="96">
        <f t="shared" si="180"/>
        <v>187275332.26258859</v>
      </c>
      <c r="CE158" s="96">
        <f t="shared" si="180"/>
        <v>187275332.26258859</v>
      </c>
      <c r="CF158" s="96">
        <f t="shared" si="180"/>
        <v>187275332.26258859</v>
      </c>
      <c r="CG158" s="96">
        <f t="shared" si="180"/>
        <v>187275332.26258859</v>
      </c>
      <c r="CH158" s="96">
        <f t="shared" si="180"/>
        <v>187275332.26258859</v>
      </c>
      <c r="CI158" s="96">
        <f t="shared" si="180"/>
        <v>187275332.26258859</v>
      </c>
      <c r="CJ158" s="96">
        <f t="shared" si="180"/>
        <v>187275332.26258859</v>
      </c>
      <c r="CK158" s="96">
        <f t="shared" si="180"/>
        <v>187275332.26258859</v>
      </c>
      <c r="CL158" s="96">
        <f t="shared" si="180"/>
        <v>187275332.26258859</v>
      </c>
      <c r="CM158" s="96">
        <f t="shared" si="180"/>
        <v>187275332.26258859</v>
      </c>
      <c r="CN158" s="96">
        <f t="shared" si="180"/>
        <v>187275332.26258859</v>
      </c>
      <c r="CO158" s="96">
        <f t="shared" si="180"/>
        <v>187275332.26258859</v>
      </c>
      <c r="CP158" s="96">
        <f t="shared" si="180"/>
        <v>306272006.75777256</v>
      </c>
      <c r="CQ158" s="96">
        <f t="shared" si="180"/>
        <v>306272006.75777256</v>
      </c>
      <c r="CR158" s="96">
        <f t="shared" si="180"/>
        <v>306272006.75777256</v>
      </c>
      <c r="CS158" s="96">
        <f t="shared" si="180"/>
        <v>306272006.75777256</v>
      </c>
      <c r="CT158" s="96">
        <f t="shared" si="180"/>
        <v>306272006.75777256</v>
      </c>
      <c r="CU158" s="96">
        <f t="shared" ref="CU158:DZ158" si="181">+CU10+CU49+CU88</f>
        <v>306272006.75777256</v>
      </c>
      <c r="CV158" s="96">
        <f t="shared" si="181"/>
        <v>306272006.75777256</v>
      </c>
      <c r="CW158" s="96">
        <f t="shared" si="181"/>
        <v>306272006.75777256</v>
      </c>
      <c r="CX158" s="96">
        <f t="shared" si="181"/>
        <v>306272006.75777256</v>
      </c>
      <c r="CY158" s="96">
        <f t="shared" si="181"/>
        <v>306272006.75777256</v>
      </c>
      <c r="CZ158" s="96">
        <f t="shared" si="181"/>
        <v>306272006.75777256</v>
      </c>
      <c r="DA158" s="96">
        <f t="shared" si="181"/>
        <v>306272006.75777256</v>
      </c>
      <c r="DB158" s="96">
        <f t="shared" si="181"/>
        <v>306272006.75777256</v>
      </c>
      <c r="DC158" s="96">
        <f t="shared" si="181"/>
        <v>312421969.9868328</v>
      </c>
      <c r="DD158" s="96">
        <f t="shared" si="181"/>
        <v>312421969.9868328</v>
      </c>
      <c r="DE158" s="96">
        <f t="shared" si="181"/>
        <v>312421969.9868328</v>
      </c>
      <c r="DF158" s="96">
        <f t="shared" si="181"/>
        <v>312421969.9868328</v>
      </c>
      <c r="DG158" s="96">
        <f t="shared" si="181"/>
        <v>312421969.9868328</v>
      </c>
      <c r="DH158" s="96">
        <f t="shared" si="181"/>
        <v>312421969.9868328</v>
      </c>
      <c r="DI158" s="96">
        <f t="shared" si="181"/>
        <v>312421969.9868328</v>
      </c>
      <c r="DJ158" s="96">
        <f t="shared" si="181"/>
        <v>312421969.9868328</v>
      </c>
      <c r="DK158" s="96">
        <f t="shared" si="181"/>
        <v>312421969.9868328</v>
      </c>
      <c r="DL158" s="96">
        <f t="shared" si="181"/>
        <v>312421969.9868328</v>
      </c>
      <c r="DM158" s="96">
        <f t="shared" si="181"/>
        <v>312421969.9868328</v>
      </c>
      <c r="DN158" s="96">
        <f t="shared" si="181"/>
        <v>312421969.9868328</v>
      </c>
      <c r="DO158" s="96">
        <f t="shared" si="181"/>
        <v>312421969.9868328</v>
      </c>
      <c r="DP158" s="96">
        <f t="shared" si="181"/>
        <v>318176377.97565323</v>
      </c>
      <c r="DQ158" s="96">
        <f t="shared" si="181"/>
        <v>318176377.97565323</v>
      </c>
      <c r="DR158" s="96">
        <f t="shared" si="181"/>
        <v>318176377.97565323</v>
      </c>
      <c r="DS158" s="96">
        <f t="shared" si="181"/>
        <v>318176377.97565323</v>
      </c>
      <c r="DT158" s="96">
        <f t="shared" si="181"/>
        <v>318176377.97565323</v>
      </c>
      <c r="DU158" s="96">
        <f t="shared" si="181"/>
        <v>318176377.97565323</v>
      </c>
      <c r="DV158" s="96">
        <f t="shared" si="181"/>
        <v>318176377.97565323</v>
      </c>
      <c r="DW158" s="96">
        <f t="shared" si="181"/>
        <v>318176377.97565323</v>
      </c>
      <c r="DX158" s="96">
        <f t="shared" si="181"/>
        <v>318176377.97565323</v>
      </c>
      <c r="DY158" s="96">
        <f t="shared" si="181"/>
        <v>318176377.97565323</v>
      </c>
      <c r="DZ158" s="96">
        <f t="shared" si="181"/>
        <v>318176377.97565323</v>
      </c>
      <c r="EA158" s="96">
        <f t="shared" ref="EA158:FF158" si="182">+EA10+EA49+EA88</f>
        <v>318176377.97565323</v>
      </c>
      <c r="EB158" s="96">
        <f t="shared" si="182"/>
        <v>318176377.97565323</v>
      </c>
      <c r="EC158" s="96">
        <f t="shared" si="182"/>
        <v>306778816.99223626</v>
      </c>
      <c r="ED158" s="96">
        <f t="shared" si="182"/>
        <v>306778816.99223626</v>
      </c>
      <c r="EE158" s="96">
        <f t="shared" si="182"/>
        <v>306778816.99223626</v>
      </c>
      <c r="EF158" s="96">
        <f t="shared" si="182"/>
        <v>306778816.99223626</v>
      </c>
      <c r="EG158" s="96">
        <f t="shared" si="182"/>
        <v>306778816.99223626</v>
      </c>
      <c r="EH158" s="96">
        <f t="shared" si="182"/>
        <v>306778816.99223626</v>
      </c>
      <c r="EI158" s="96">
        <f t="shared" si="182"/>
        <v>306778816.99223626</v>
      </c>
      <c r="EJ158" s="96">
        <f t="shared" si="182"/>
        <v>306778816.99223626</v>
      </c>
      <c r="EK158" s="96">
        <f t="shared" si="182"/>
        <v>306778816.99223626</v>
      </c>
      <c r="EL158" s="96">
        <f t="shared" si="182"/>
        <v>306778816.99223626</v>
      </c>
      <c r="EM158" s="96">
        <f t="shared" si="182"/>
        <v>306778816.99223626</v>
      </c>
      <c r="EN158" s="96">
        <f t="shared" si="182"/>
        <v>306778816.99223626</v>
      </c>
      <c r="EO158" s="96">
        <f t="shared" si="182"/>
        <v>306778816.99223626</v>
      </c>
      <c r="EP158" s="96">
        <f t="shared" si="182"/>
        <v>309355293</v>
      </c>
      <c r="EQ158" s="96">
        <f t="shared" si="182"/>
        <v>309355293</v>
      </c>
      <c r="ER158" s="96">
        <f t="shared" si="182"/>
        <v>309355293</v>
      </c>
      <c r="ES158" s="96">
        <f t="shared" si="182"/>
        <v>309355293</v>
      </c>
      <c r="ET158" s="96">
        <f t="shared" si="182"/>
        <v>309355293</v>
      </c>
      <c r="EU158" s="96">
        <f t="shared" si="182"/>
        <v>309355293</v>
      </c>
      <c r="EV158" s="96">
        <f t="shared" si="182"/>
        <v>309355293</v>
      </c>
      <c r="EW158" s="96">
        <f t="shared" si="182"/>
        <v>309355293</v>
      </c>
      <c r="EX158" s="96">
        <f t="shared" si="182"/>
        <v>309355293</v>
      </c>
      <c r="EY158" s="96">
        <f t="shared" si="182"/>
        <v>309355293</v>
      </c>
      <c r="EZ158" s="96">
        <f t="shared" si="182"/>
        <v>309355293</v>
      </c>
      <c r="FA158" s="96">
        <f t="shared" si="182"/>
        <v>309355293</v>
      </c>
      <c r="FB158" s="96">
        <f t="shared" si="182"/>
        <v>309355293</v>
      </c>
      <c r="FC158" s="96">
        <f t="shared" si="182"/>
        <v>196557188</v>
      </c>
      <c r="FD158" s="96">
        <f t="shared" si="182"/>
        <v>196557188</v>
      </c>
      <c r="FE158" s="96">
        <f t="shared" si="182"/>
        <v>196557188</v>
      </c>
      <c r="FF158" s="96">
        <f t="shared" si="182"/>
        <v>196557188</v>
      </c>
      <c r="FG158" s="96">
        <f t="shared" ref="FG158:FO158" si="183">+FG10+FG49+FG88</f>
        <v>196557188</v>
      </c>
      <c r="FH158" s="96">
        <f t="shared" si="183"/>
        <v>196557188</v>
      </c>
      <c r="FI158" s="96">
        <f t="shared" si="183"/>
        <v>196557188</v>
      </c>
      <c r="FJ158" s="96">
        <f t="shared" si="183"/>
        <v>0</v>
      </c>
      <c r="FK158" s="96">
        <f t="shared" si="183"/>
        <v>0</v>
      </c>
      <c r="FL158" s="96">
        <f t="shared" si="183"/>
        <v>0</v>
      </c>
      <c r="FM158" s="96">
        <f t="shared" si="183"/>
        <v>0</v>
      </c>
      <c r="FN158" s="96">
        <f t="shared" si="183"/>
        <v>0</v>
      </c>
      <c r="FO158" s="96">
        <f t="shared" si="183"/>
        <v>196557188</v>
      </c>
    </row>
    <row r="159" spans="1:171" ht="14.25" customHeight="1">
      <c r="A159" s="10"/>
      <c r="B159" s="10" t="str">
        <f t="shared" si="171"/>
        <v>Subdirección de APR</v>
      </c>
      <c r="C159" s="96">
        <f t="shared" ref="C159:AH159" si="184">+C11+C50+C89</f>
        <v>80122845.23268576</v>
      </c>
      <c r="D159" s="96">
        <f t="shared" si="184"/>
        <v>80122845.23268576</v>
      </c>
      <c r="E159" s="96">
        <f t="shared" si="184"/>
        <v>80122845.23268576</v>
      </c>
      <c r="F159" s="96">
        <f t="shared" si="184"/>
        <v>80122845.23268576</v>
      </c>
      <c r="G159" s="96">
        <f t="shared" si="184"/>
        <v>80122845.23268576</v>
      </c>
      <c r="H159" s="96">
        <f t="shared" si="184"/>
        <v>80122845.23268576</v>
      </c>
      <c r="I159" s="96">
        <f t="shared" si="184"/>
        <v>80122845.23268576</v>
      </c>
      <c r="J159" s="96">
        <f t="shared" si="184"/>
        <v>80122845.23268576</v>
      </c>
      <c r="K159" s="96">
        <f t="shared" si="184"/>
        <v>80122845.23268576</v>
      </c>
      <c r="L159" s="96">
        <f t="shared" si="184"/>
        <v>80122845.23268576</v>
      </c>
      <c r="M159" s="96">
        <f t="shared" si="184"/>
        <v>80122845.23268576</v>
      </c>
      <c r="N159" s="96">
        <f t="shared" si="184"/>
        <v>80122845.23268576</v>
      </c>
      <c r="O159" s="96">
        <f t="shared" si="184"/>
        <v>80122845.23268576</v>
      </c>
      <c r="P159" s="96">
        <f t="shared" si="184"/>
        <v>107045337.51868159</v>
      </c>
      <c r="Q159" s="96">
        <f t="shared" si="184"/>
        <v>107045337.51868159</v>
      </c>
      <c r="R159" s="96">
        <f t="shared" si="184"/>
        <v>107045337.51868159</v>
      </c>
      <c r="S159" s="96">
        <f t="shared" si="184"/>
        <v>107045337.51868159</v>
      </c>
      <c r="T159" s="96">
        <f t="shared" si="184"/>
        <v>107045337.51868159</v>
      </c>
      <c r="U159" s="96">
        <f t="shared" si="184"/>
        <v>107045337.51868159</v>
      </c>
      <c r="V159" s="96">
        <f t="shared" si="184"/>
        <v>107045337.51868159</v>
      </c>
      <c r="W159" s="96">
        <f t="shared" si="184"/>
        <v>107045337.51868159</v>
      </c>
      <c r="X159" s="96">
        <f t="shared" si="184"/>
        <v>107045337.51868159</v>
      </c>
      <c r="Y159" s="96">
        <f t="shared" si="184"/>
        <v>107045337.51868159</v>
      </c>
      <c r="Z159" s="96">
        <f t="shared" si="184"/>
        <v>107045337.51868159</v>
      </c>
      <c r="AA159" s="96">
        <f t="shared" si="184"/>
        <v>107045337.51868159</v>
      </c>
      <c r="AB159" s="96">
        <f t="shared" si="184"/>
        <v>107045337.51868159</v>
      </c>
      <c r="AC159" s="96">
        <f t="shared" si="184"/>
        <v>108164708.17457463</v>
      </c>
      <c r="AD159" s="96">
        <f t="shared" si="184"/>
        <v>108164708.17457463</v>
      </c>
      <c r="AE159" s="96">
        <f t="shared" si="184"/>
        <v>108164708.17457463</v>
      </c>
      <c r="AF159" s="96">
        <f t="shared" si="184"/>
        <v>108164708.17457463</v>
      </c>
      <c r="AG159" s="96">
        <f t="shared" si="184"/>
        <v>108164708.17457463</v>
      </c>
      <c r="AH159" s="96">
        <f t="shared" si="184"/>
        <v>108164708.17457463</v>
      </c>
      <c r="AI159" s="96">
        <f t="shared" ref="AI159:BN159" si="185">+AI11+AI50+AI89</f>
        <v>108164708.17457463</v>
      </c>
      <c r="AJ159" s="96">
        <f t="shared" si="185"/>
        <v>108164708.17457463</v>
      </c>
      <c r="AK159" s="96">
        <f t="shared" si="185"/>
        <v>108164708.17457463</v>
      </c>
      <c r="AL159" s="96">
        <f t="shared" si="185"/>
        <v>108164708.17457463</v>
      </c>
      <c r="AM159" s="96">
        <f t="shared" si="185"/>
        <v>108164708.17457463</v>
      </c>
      <c r="AN159" s="96">
        <f t="shared" si="185"/>
        <v>108164708.17457463</v>
      </c>
      <c r="AO159" s="96">
        <f t="shared" si="185"/>
        <v>108164708.17457463</v>
      </c>
      <c r="AP159" s="96">
        <f t="shared" si="185"/>
        <v>133069812.69308804</v>
      </c>
      <c r="AQ159" s="96">
        <f t="shared" si="185"/>
        <v>133069812.69308804</v>
      </c>
      <c r="AR159" s="96">
        <f t="shared" si="185"/>
        <v>133069812.69308804</v>
      </c>
      <c r="AS159" s="96">
        <f t="shared" si="185"/>
        <v>133069812.69308804</v>
      </c>
      <c r="AT159" s="96">
        <f t="shared" si="185"/>
        <v>133069812.69308804</v>
      </c>
      <c r="AU159" s="96">
        <f t="shared" si="185"/>
        <v>133069812.69308804</v>
      </c>
      <c r="AV159" s="96">
        <f t="shared" si="185"/>
        <v>133069812.69308804</v>
      </c>
      <c r="AW159" s="96">
        <f t="shared" si="185"/>
        <v>133069812.69308804</v>
      </c>
      <c r="AX159" s="96">
        <f t="shared" si="185"/>
        <v>133069812.69308804</v>
      </c>
      <c r="AY159" s="96">
        <f t="shared" si="185"/>
        <v>133069812.69308804</v>
      </c>
      <c r="AZ159" s="96">
        <f t="shared" si="185"/>
        <v>133069812.69308804</v>
      </c>
      <c r="BA159" s="96">
        <f t="shared" si="185"/>
        <v>133069812.69308804</v>
      </c>
      <c r="BB159" s="96">
        <f t="shared" si="185"/>
        <v>133069812.69308804</v>
      </c>
      <c r="BC159" s="96">
        <f t="shared" si="185"/>
        <v>148472169.10167482</v>
      </c>
      <c r="BD159" s="96">
        <f t="shared" si="185"/>
        <v>148472169.10167482</v>
      </c>
      <c r="BE159" s="96">
        <f t="shared" si="185"/>
        <v>148472169.10167482</v>
      </c>
      <c r="BF159" s="96">
        <f t="shared" si="185"/>
        <v>148472169.10167482</v>
      </c>
      <c r="BG159" s="96">
        <f t="shared" si="185"/>
        <v>148472169.10167482</v>
      </c>
      <c r="BH159" s="96">
        <f t="shared" si="185"/>
        <v>148472169.10167482</v>
      </c>
      <c r="BI159" s="96">
        <f t="shared" si="185"/>
        <v>148472169.10167482</v>
      </c>
      <c r="BJ159" s="96">
        <f t="shared" si="185"/>
        <v>148472169.10167482</v>
      </c>
      <c r="BK159" s="96">
        <f t="shared" si="185"/>
        <v>148472169.10167482</v>
      </c>
      <c r="BL159" s="96">
        <f t="shared" si="185"/>
        <v>148472169.10167482</v>
      </c>
      <c r="BM159" s="96">
        <f t="shared" si="185"/>
        <v>148472169.10167482</v>
      </c>
      <c r="BN159" s="96">
        <f t="shared" si="185"/>
        <v>148472169.10167482</v>
      </c>
      <c r="BO159" s="96">
        <f t="shared" ref="BO159:CT159" si="186">+BO11+BO50+BO89</f>
        <v>148472169.10167482</v>
      </c>
      <c r="BP159" s="96">
        <f t="shared" si="186"/>
        <v>160683834.54929578</v>
      </c>
      <c r="BQ159" s="96">
        <f t="shared" si="186"/>
        <v>160683834.54929578</v>
      </c>
      <c r="BR159" s="96">
        <f t="shared" si="186"/>
        <v>160683834.54929578</v>
      </c>
      <c r="BS159" s="96">
        <f t="shared" si="186"/>
        <v>160683834.54929578</v>
      </c>
      <c r="BT159" s="96">
        <f t="shared" si="186"/>
        <v>160683834.54929578</v>
      </c>
      <c r="BU159" s="96">
        <f t="shared" si="186"/>
        <v>160683834.54929578</v>
      </c>
      <c r="BV159" s="96">
        <f t="shared" si="186"/>
        <v>160683834.54929578</v>
      </c>
      <c r="BW159" s="96">
        <f t="shared" si="186"/>
        <v>160683834.54929578</v>
      </c>
      <c r="BX159" s="96">
        <f t="shared" si="186"/>
        <v>160683834.54929578</v>
      </c>
      <c r="BY159" s="96">
        <f t="shared" si="186"/>
        <v>160683834.54929578</v>
      </c>
      <c r="BZ159" s="96">
        <f t="shared" si="186"/>
        <v>160683834.54929578</v>
      </c>
      <c r="CA159" s="96">
        <f t="shared" si="186"/>
        <v>160683834.54929578</v>
      </c>
      <c r="CB159" s="96">
        <f t="shared" si="186"/>
        <v>160683834.54929578</v>
      </c>
      <c r="CC159" s="96">
        <f t="shared" si="186"/>
        <v>184131313.61357704</v>
      </c>
      <c r="CD159" s="96">
        <f t="shared" si="186"/>
        <v>184131313.61357704</v>
      </c>
      <c r="CE159" s="96">
        <f t="shared" si="186"/>
        <v>184131313.61357704</v>
      </c>
      <c r="CF159" s="96">
        <f t="shared" si="186"/>
        <v>184131313.61357704</v>
      </c>
      <c r="CG159" s="96">
        <f t="shared" si="186"/>
        <v>184131313.61357704</v>
      </c>
      <c r="CH159" s="96">
        <f t="shared" si="186"/>
        <v>184131313.61357704</v>
      </c>
      <c r="CI159" s="96">
        <f t="shared" si="186"/>
        <v>184131313.61357704</v>
      </c>
      <c r="CJ159" s="96">
        <f t="shared" si="186"/>
        <v>184131313.61357704</v>
      </c>
      <c r="CK159" s="96">
        <f t="shared" si="186"/>
        <v>184131313.61357704</v>
      </c>
      <c r="CL159" s="96">
        <f t="shared" si="186"/>
        <v>184131313.61357704</v>
      </c>
      <c r="CM159" s="96">
        <f t="shared" si="186"/>
        <v>184131313.61357704</v>
      </c>
      <c r="CN159" s="96">
        <f t="shared" si="186"/>
        <v>184131313.61357704</v>
      </c>
      <c r="CO159" s="96">
        <f t="shared" si="186"/>
        <v>184131313.61357704</v>
      </c>
      <c r="CP159" s="96">
        <f t="shared" si="186"/>
        <v>312762978.58051038</v>
      </c>
      <c r="CQ159" s="96">
        <f t="shared" si="186"/>
        <v>312762978.58051038</v>
      </c>
      <c r="CR159" s="96">
        <f t="shared" si="186"/>
        <v>312762978.58051038</v>
      </c>
      <c r="CS159" s="96">
        <f t="shared" si="186"/>
        <v>312762978.58051038</v>
      </c>
      <c r="CT159" s="96">
        <f t="shared" si="186"/>
        <v>312762978.58051038</v>
      </c>
      <c r="CU159" s="96">
        <f t="shared" ref="CU159:DZ159" si="187">+CU11+CU50+CU89</f>
        <v>312762978.58051038</v>
      </c>
      <c r="CV159" s="96">
        <f t="shared" si="187"/>
        <v>312762978.58051038</v>
      </c>
      <c r="CW159" s="96">
        <f t="shared" si="187"/>
        <v>312762978.58051038</v>
      </c>
      <c r="CX159" s="96">
        <f t="shared" si="187"/>
        <v>312762978.58051038</v>
      </c>
      <c r="CY159" s="96">
        <f t="shared" si="187"/>
        <v>312762978.58051038</v>
      </c>
      <c r="CZ159" s="96">
        <f t="shared" si="187"/>
        <v>312762978.58051038</v>
      </c>
      <c r="DA159" s="96">
        <f t="shared" si="187"/>
        <v>312762978.58051038</v>
      </c>
      <c r="DB159" s="96">
        <f t="shared" si="187"/>
        <v>312762978.58051038</v>
      </c>
      <c r="DC159" s="96">
        <f t="shared" si="187"/>
        <v>313363298.66824418</v>
      </c>
      <c r="DD159" s="96">
        <f t="shared" si="187"/>
        <v>313363298.66824418</v>
      </c>
      <c r="DE159" s="96">
        <f t="shared" si="187"/>
        <v>313363298.66824418</v>
      </c>
      <c r="DF159" s="96">
        <f t="shared" si="187"/>
        <v>313363298.66824418</v>
      </c>
      <c r="DG159" s="96">
        <f t="shared" si="187"/>
        <v>313363298.66824418</v>
      </c>
      <c r="DH159" s="96">
        <f t="shared" si="187"/>
        <v>313363298.66824418</v>
      </c>
      <c r="DI159" s="96">
        <f t="shared" si="187"/>
        <v>313363298.66824418</v>
      </c>
      <c r="DJ159" s="96">
        <f t="shared" si="187"/>
        <v>313363298.66824418</v>
      </c>
      <c r="DK159" s="96">
        <f t="shared" si="187"/>
        <v>313363298.66824418</v>
      </c>
      <c r="DL159" s="96">
        <f t="shared" si="187"/>
        <v>313363298.66824418</v>
      </c>
      <c r="DM159" s="96">
        <f t="shared" si="187"/>
        <v>313363298.66824418</v>
      </c>
      <c r="DN159" s="96">
        <f t="shared" si="187"/>
        <v>313363298.66824418</v>
      </c>
      <c r="DO159" s="96">
        <f t="shared" si="187"/>
        <v>313363298.66824418</v>
      </c>
      <c r="DP159" s="96">
        <f t="shared" si="187"/>
        <v>339849030.02137768</v>
      </c>
      <c r="DQ159" s="96">
        <f t="shared" si="187"/>
        <v>339849030.02137768</v>
      </c>
      <c r="DR159" s="96">
        <f t="shared" si="187"/>
        <v>339849030.02137768</v>
      </c>
      <c r="DS159" s="96">
        <f t="shared" si="187"/>
        <v>339849030.02137768</v>
      </c>
      <c r="DT159" s="96">
        <f t="shared" si="187"/>
        <v>339849030.02137768</v>
      </c>
      <c r="DU159" s="96">
        <f t="shared" si="187"/>
        <v>339849030.02137768</v>
      </c>
      <c r="DV159" s="96">
        <f t="shared" si="187"/>
        <v>339849030.02137768</v>
      </c>
      <c r="DW159" s="96">
        <f t="shared" si="187"/>
        <v>339849030.02137768</v>
      </c>
      <c r="DX159" s="96">
        <f t="shared" si="187"/>
        <v>339849030.02137768</v>
      </c>
      <c r="DY159" s="96">
        <f t="shared" si="187"/>
        <v>339849030.02137768</v>
      </c>
      <c r="DZ159" s="96">
        <f t="shared" si="187"/>
        <v>339849030.02137768</v>
      </c>
      <c r="EA159" s="96">
        <f t="shared" ref="EA159:FF159" si="188">+EA11+EA50+EA89</f>
        <v>339849030.02137768</v>
      </c>
      <c r="EB159" s="96">
        <f t="shared" si="188"/>
        <v>339849030.02137768</v>
      </c>
      <c r="EC159" s="96">
        <f t="shared" si="188"/>
        <v>327234575.15584165</v>
      </c>
      <c r="ED159" s="96">
        <f t="shared" si="188"/>
        <v>327234575.15584165</v>
      </c>
      <c r="EE159" s="96">
        <f t="shared" si="188"/>
        <v>327234575.15584165</v>
      </c>
      <c r="EF159" s="96">
        <f t="shared" si="188"/>
        <v>327234575.15584165</v>
      </c>
      <c r="EG159" s="96">
        <f t="shared" si="188"/>
        <v>327234575.15584165</v>
      </c>
      <c r="EH159" s="96">
        <f t="shared" si="188"/>
        <v>327234575.15584165</v>
      </c>
      <c r="EI159" s="96">
        <f t="shared" si="188"/>
        <v>327234575.15584165</v>
      </c>
      <c r="EJ159" s="96">
        <f t="shared" si="188"/>
        <v>327234575.15584165</v>
      </c>
      <c r="EK159" s="96">
        <f t="shared" si="188"/>
        <v>327234575.15584165</v>
      </c>
      <c r="EL159" s="96">
        <f t="shared" si="188"/>
        <v>327234575.15584165</v>
      </c>
      <c r="EM159" s="96">
        <f t="shared" si="188"/>
        <v>327234575.15584165</v>
      </c>
      <c r="EN159" s="96">
        <f t="shared" si="188"/>
        <v>327234575.15584165</v>
      </c>
      <c r="EO159" s="96">
        <f t="shared" si="188"/>
        <v>327234575.15584165</v>
      </c>
      <c r="EP159" s="96">
        <f t="shared" si="188"/>
        <v>330955857</v>
      </c>
      <c r="EQ159" s="96">
        <f t="shared" si="188"/>
        <v>330955857</v>
      </c>
      <c r="ER159" s="96">
        <f t="shared" si="188"/>
        <v>330955857</v>
      </c>
      <c r="ES159" s="96">
        <f t="shared" si="188"/>
        <v>330955857</v>
      </c>
      <c r="ET159" s="96">
        <f t="shared" si="188"/>
        <v>330955857</v>
      </c>
      <c r="EU159" s="96">
        <f t="shared" si="188"/>
        <v>330955857</v>
      </c>
      <c r="EV159" s="96">
        <f t="shared" si="188"/>
        <v>330955857</v>
      </c>
      <c r="EW159" s="96">
        <f t="shared" si="188"/>
        <v>330955857</v>
      </c>
      <c r="EX159" s="96">
        <f t="shared" si="188"/>
        <v>330955857</v>
      </c>
      <c r="EY159" s="96">
        <f t="shared" si="188"/>
        <v>330955857</v>
      </c>
      <c r="EZ159" s="96">
        <f t="shared" si="188"/>
        <v>330955857</v>
      </c>
      <c r="FA159" s="96">
        <f t="shared" si="188"/>
        <v>330955857</v>
      </c>
      <c r="FB159" s="96">
        <f t="shared" si="188"/>
        <v>330955857</v>
      </c>
      <c r="FC159" s="96">
        <f t="shared" si="188"/>
        <v>290781242</v>
      </c>
      <c r="FD159" s="96">
        <f t="shared" si="188"/>
        <v>290781242</v>
      </c>
      <c r="FE159" s="96">
        <f t="shared" si="188"/>
        <v>290781242</v>
      </c>
      <c r="FF159" s="96">
        <f t="shared" si="188"/>
        <v>290781242</v>
      </c>
      <c r="FG159" s="96">
        <f t="shared" ref="FG159:FO159" si="189">+FG11+FG50+FG89</f>
        <v>290781242</v>
      </c>
      <c r="FH159" s="96">
        <f t="shared" si="189"/>
        <v>290781242</v>
      </c>
      <c r="FI159" s="96">
        <f t="shared" si="189"/>
        <v>290781242</v>
      </c>
      <c r="FJ159" s="96">
        <f t="shared" si="189"/>
        <v>0</v>
      </c>
      <c r="FK159" s="96">
        <f t="shared" si="189"/>
        <v>0</v>
      </c>
      <c r="FL159" s="96">
        <f t="shared" si="189"/>
        <v>0</v>
      </c>
      <c r="FM159" s="96">
        <f t="shared" si="189"/>
        <v>0</v>
      </c>
      <c r="FN159" s="96">
        <f t="shared" si="189"/>
        <v>0</v>
      </c>
      <c r="FO159" s="96">
        <f t="shared" si="189"/>
        <v>290781242</v>
      </c>
    </row>
    <row r="160" spans="1:171" ht="14.25" customHeight="1">
      <c r="A160" s="10"/>
      <c r="B160" s="10" t="str">
        <f t="shared" si="171"/>
        <v>Dirección de Obras Portuarias</v>
      </c>
      <c r="C160" s="96">
        <f t="shared" ref="C160:AH160" si="190">+C12+C51+C90</f>
        <v>89451132.833753541</v>
      </c>
      <c r="D160" s="96">
        <f t="shared" si="190"/>
        <v>89451132.833753541</v>
      </c>
      <c r="E160" s="96">
        <f t="shared" si="190"/>
        <v>89451132.833753541</v>
      </c>
      <c r="F160" s="96">
        <f t="shared" si="190"/>
        <v>89451132.833753541</v>
      </c>
      <c r="G160" s="96">
        <f t="shared" si="190"/>
        <v>89451132.833753541</v>
      </c>
      <c r="H160" s="96">
        <f t="shared" si="190"/>
        <v>89451132.833753541</v>
      </c>
      <c r="I160" s="96">
        <f t="shared" si="190"/>
        <v>89451132.833753541</v>
      </c>
      <c r="J160" s="96">
        <f t="shared" si="190"/>
        <v>89451132.833753541</v>
      </c>
      <c r="K160" s="96">
        <f t="shared" si="190"/>
        <v>89451132.833753541</v>
      </c>
      <c r="L160" s="96">
        <f t="shared" si="190"/>
        <v>89451132.833753541</v>
      </c>
      <c r="M160" s="96">
        <f t="shared" si="190"/>
        <v>89451132.833753541</v>
      </c>
      <c r="N160" s="96">
        <f t="shared" si="190"/>
        <v>89451132.833753541</v>
      </c>
      <c r="O160" s="96">
        <f t="shared" si="190"/>
        <v>89451132.833753541</v>
      </c>
      <c r="P160" s="96">
        <f t="shared" si="190"/>
        <v>101401705.39110665</v>
      </c>
      <c r="Q160" s="96">
        <f t="shared" si="190"/>
        <v>101401705.39110665</v>
      </c>
      <c r="R160" s="96">
        <f t="shared" si="190"/>
        <v>101401705.39110665</v>
      </c>
      <c r="S160" s="96">
        <f t="shared" si="190"/>
        <v>101401705.39110665</v>
      </c>
      <c r="T160" s="96">
        <f t="shared" si="190"/>
        <v>101401705.39110665</v>
      </c>
      <c r="U160" s="96">
        <f t="shared" si="190"/>
        <v>101401705.39110665</v>
      </c>
      <c r="V160" s="96">
        <f t="shared" si="190"/>
        <v>101401705.39110665</v>
      </c>
      <c r="W160" s="96">
        <f t="shared" si="190"/>
        <v>101401705.39110665</v>
      </c>
      <c r="X160" s="96">
        <f t="shared" si="190"/>
        <v>101401705.39110665</v>
      </c>
      <c r="Y160" s="96">
        <f t="shared" si="190"/>
        <v>101401705.39110665</v>
      </c>
      <c r="Z160" s="96">
        <f t="shared" si="190"/>
        <v>101401705.39110665</v>
      </c>
      <c r="AA160" s="96">
        <f t="shared" si="190"/>
        <v>101401705.39110665</v>
      </c>
      <c r="AB160" s="96">
        <f t="shared" si="190"/>
        <v>101401705.39110665</v>
      </c>
      <c r="AC160" s="96">
        <f t="shared" si="190"/>
        <v>109027067.17166966</v>
      </c>
      <c r="AD160" s="96">
        <f t="shared" si="190"/>
        <v>109027067.17166966</v>
      </c>
      <c r="AE160" s="96">
        <f t="shared" si="190"/>
        <v>109027067.17166966</v>
      </c>
      <c r="AF160" s="96">
        <f t="shared" si="190"/>
        <v>109027067.17166966</v>
      </c>
      <c r="AG160" s="96">
        <f t="shared" si="190"/>
        <v>109027067.17166966</v>
      </c>
      <c r="AH160" s="96">
        <f t="shared" si="190"/>
        <v>109027067.17166966</v>
      </c>
      <c r="AI160" s="96">
        <f t="shared" ref="AI160:BN160" si="191">+AI12+AI51+AI90</f>
        <v>109027067.17166966</v>
      </c>
      <c r="AJ160" s="96">
        <f t="shared" si="191"/>
        <v>109027067.17166966</v>
      </c>
      <c r="AK160" s="96">
        <f t="shared" si="191"/>
        <v>109027067.17166966</v>
      </c>
      <c r="AL160" s="96">
        <f t="shared" si="191"/>
        <v>109027067.17166966</v>
      </c>
      <c r="AM160" s="96">
        <f t="shared" si="191"/>
        <v>109027067.17166966</v>
      </c>
      <c r="AN160" s="96">
        <f t="shared" si="191"/>
        <v>109027067.17166966</v>
      </c>
      <c r="AO160" s="96">
        <f t="shared" si="191"/>
        <v>109027067.17166966</v>
      </c>
      <c r="AP160" s="96">
        <f t="shared" si="191"/>
        <v>106473971.97402948</v>
      </c>
      <c r="AQ160" s="96">
        <f t="shared" si="191"/>
        <v>106473971.97402948</v>
      </c>
      <c r="AR160" s="96">
        <f t="shared" si="191"/>
        <v>106473971.97402948</v>
      </c>
      <c r="AS160" s="96">
        <f t="shared" si="191"/>
        <v>106473971.97402948</v>
      </c>
      <c r="AT160" s="96">
        <f t="shared" si="191"/>
        <v>106473971.97402948</v>
      </c>
      <c r="AU160" s="96">
        <f t="shared" si="191"/>
        <v>106473971.97402948</v>
      </c>
      <c r="AV160" s="96">
        <f t="shared" si="191"/>
        <v>106473971.97402948</v>
      </c>
      <c r="AW160" s="96">
        <f t="shared" si="191"/>
        <v>106473971.97402948</v>
      </c>
      <c r="AX160" s="96">
        <f t="shared" si="191"/>
        <v>106473971.97402948</v>
      </c>
      <c r="AY160" s="96">
        <f t="shared" si="191"/>
        <v>106473971.97402948</v>
      </c>
      <c r="AZ160" s="96">
        <f t="shared" si="191"/>
        <v>106473971.97402948</v>
      </c>
      <c r="BA160" s="96">
        <f t="shared" si="191"/>
        <v>106473971.97402948</v>
      </c>
      <c r="BB160" s="96">
        <f t="shared" si="191"/>
        <v>106473971.97402948</v>
      </c>
      <c r="BC160" s="96">
        <f t="shared" si="191"/>
        <v>102422979.49492289</v>
      </c>
      <c r="BD160" s="96">
        <f t="shared" si="191"/>
        <v>102422979.49492289</v>
      </c>
      <c r="BE160" s="96">
        <f t="shared" si="191"/>
        <v>102422979.49492289</v>
      </c>
      <c r="BF160" s="96">
        <f t="shared" si="191"/>
        <v>102422979.49492289</v>
      </c>
      <c r="BG160" s="96">
        <f t="shared" si="191"/>
        <v>102422979.49492289</v>
      </c>
      <c r="BH160" s="96">
        <f t="shared" si="191"/>
        <v>102422979.49492289</v>
      </c>
      <c r="BI160" s="96">
        <f t="shared" si="191"/>
        <v>102422979.49492289</v>
      </c>
      <c r="BJ160" s="96">
        <f t="shared" si="191"/>
        <v>102422979.49492289</v>
      </c>
      <c r="BK160" s="96">
        <f t="shared" si="191"/>
        <v>102422979.49492289</v>
      </c>
      <c r="BL160" s="96">
        <f t="shared" si="191"/>
        <v>102422979.49492289</v>
      </c>
      <c r="BM160" s="96">
        <f t="shared" si="191"/>
        <v>102422979.49492289</v>
      </c>
      <c r="BN160" s="96">
        <f t="shared" si="191"/>
        <v>102422979.49492289</v>
      </c>
      <c r="BO160" s="96">
        <f t="shared" ref="BO160:CT160" si="192">+BO12+BO51+BO90</f>
        <v>102422979.49492289</v>
      </c>
      <c r="BP160" s="96">
        <f t="shared" si="192"/>
        <v>101186295.95339309</v>
      </c>
      <c r="BQ160" s="96">
        <f t="shared" si="192"/>
        <v>101186295.95339309</v>
      </c>
      <c r="BR160" s="96">
        <f t="shared" si="192"/>
        <v>101186295.95339309</v>
      </c>
      <c r="BS160" s="96">
        <f t="shared" si="192"/>
        <v>101186295.95339309</v>
      </c>
      <c r="BT160" s="96">
        <f t="shared" si="192"/>
        <v>101186295.95339309</v>
      </c>
      <c r="BU160" s="96">
        <f t="shared" si="192"/>
        <v>101186295.95339309</v>
      </c>
      <c r="BV160" s="96">
        <f t="shared" si="192"/>
        <v>101186295.95339309</v>
      </c>
      <c r="BW160" s="96">
        <f t="shared" si="192"/>
        <v>101186295.95339309</v>
      </c>
      <c r="BX160" s="96">
        <f t="shared" si="192"/>
        <v>101186295.95339309</v>
      </c>
      <c r="BY160" s="96">
        <f t="shared" si="192"/>
        <v>101186295.95339309</v>
      </c>
      <c r="BZ160" s="96">
        <f t="shared" si="192"/>
        <v>101186295.95339309</v>
      </c>
      <c r="CA160" s="96">
        <f t="shared" si="192"/>
        <v>101186295.95339309</v>
      </c>
      <c r="CB160" s="96">
        <f t="shared" si="192"/>
        <v>101186295.95339309</v>
      </c>
      <c r="CC160" s="96">
        <f t="shared" si="192"/>
        <v>100788627.85154794</v>
      </c>
      <c r="CD160" s="96">
        <f t="shared" si="192"/>
        <v>100788627.85154794</v>
      </c>
      <c r="CE160" s="96">
        <f t="shared" si="192"/>
        <v>100788627.85154794</v>
      </c>
      <c r="CF160" s="96">
        <f t="shared" si="192"/>
        <v>100788627.85154794</v>
      </c>
      <c r="CG160" s="96">
        <f t="shared" si="192"/>
        <v>100788627.85154794</v>
      </c>
      <c r="CH160" s="96">
        <f t="shared" si="192"/>
        <v>100788627.85154794</v>
      </c>
      <c r="CI160" s="96">
        <f t="shared" si="192"/>
        <v>100788627.85154794</v>
      </c>
      <c r="CJ160" s="96">
        <f t="shared" si="192"/>
        <v>100788627.85154794</v>
      </c>
      <c r="CK160" s="96">
        <f t="shared" si="192"/>
        <v>100788627.85154794</v>
      </c>
      <c r="CL160" s="96">
        <f t="shared" si="192"/>
        <v>100788627.85154794</v>
      </c>
      <c r="CM160" s="96">
        <f t="shared" si="192"/>
        <v>100788627.85154794</v>
      </c>
      <c r="CN160" s="96">
        <f t="shared" si="192"/>
        <v>100788627.85154794</v>
      </c>
      <c r="CO160" s="96">
        <f t="shared" si="192"/>
        <v>100788627.85154794</v>
      </c>
      <c r="CP160" s="96">
        <f t="shared" si="192"/>
        <v>110375848.8041763</v>
      </c>
      <c r="CQ160" s="96">
        <f t="shared" si="192"/>
        <v>110375848.8041763</v>
      </c>
      <c r="CR160" s="96">
        <f t="shared" si="192"/>
        <v>110375848.8041763</v>
      </c>
      <c r="CS160" s="96">
        <f t="shared" si="192"/>
        <v>110375848.8041763</v>
      </c>
      <c r="CT160" s="96">
        <f t="shared" si="192"/>
        <v>110375848.8041763</v>
      </c>
      <c r="CU160" s="96">
        <f t="shared" ref="CU160:DZ160" si="193">+CU12+CU51+CU90</f>
        <v>110375848.8041763</v>
      </c>
      <c r="CV160" s="96">
        <f t="shared" si="193"/>
        <v>110375848.8041763</v>
      </c>
      <c r="CW160" s="96">
        <f t="shared" si="193"/>
        <v>110375848.8041763</v>
      </c>
      <c r="CX160" s="96">
        <f t="shared" si="193"/>
        <v>110375848.8041763</v>
      </c>
      <c r="CY160" s="96">
        <f t="shared" si="193"/>
        <v>110375848.8041763</v>
      </c>
      <c r="CZ160" s="96">
        <f t="shared" si="193"/>
        <v>110375848.8041763</v>
      </c>
      <c r="DA160" s="96">
        <f t="shared" si="193"/>
        <v>110375848.8041763</v>
      </c>
      <c r="DB160" s="96">
        <f t="shared" si="193"/>
        <v>110375848.8041763</v>
      </c>
      <c r="DC160" s="96">
        <f t="shared" si="193"/>
        <v>113943760.73716702</v>
      </c>
      <c r="DD160" s="96">
        <f t="shared" si="193"/>
        <v>113943760.73716702</v>
      </c>
      <c r="DE160" s="96">
        <f t="shared" si="193"/>
        <v>113943760.73716702</v>
      </c>
      <c r="DF160" s="96">
        <f t="shared" si="193"/>
        <v>113943760.73716702</v>
      </c>
      <c r="DG160" s="96">
        <f t="shared" si="193"/>
        <v>113943760.73716702</v>
      </c>
      <c r="DH160" s="96">
        <f t="shared" si="193"/>
        <v>113943760.73716702</v>
      </c>
      <c r="DI160" s="96">
        <f t="shared" si="193"/>
        <v>113943760.73716702</v>
      </c>
      <c r="DJ160" s="96">
        <f t="shared" si="193"/>
        <v>113943760.73716702</v>
      </c>
      <c r="DK160" s="96">
        <f t="shared" si="193"/>
        <v>113943760.73716702</v>
      </c>
      <c r="DL160" s="96">
        <f t="shared" si="193"/>
        <v>113943760.73716702</v>
      </c>
      <c r="DM160" s="96">
        <f t="shared" si="193"/>
        <v>113943760.73716702</v>
      </c>
      <c r="DN160" s="96">
        <f t="shared" si="193"/>
        <v>113943760.73716702</v>
      </c>
      <c r="DO160" s="96">
        <f t="shared" si="193"/>
        <v>113943760.73716702</v>
      </c>
      <c r="DP160" s="96">
        <f t="shared" si="193"/>
        <v>126503696.73099764</v>
      </c>
      <c r="DQ160" s="96">
        <f t="shared" si="193"/>
        <v>126503696.73099764</v>
      </c>
      <c r="DR160" s="96">
        <f t="shared" si="193"/>
        <v>126503696.73099764</v>
      </c>
      <c r="DS160" s="96">
        <f t="shared" si="193"/>
        <v>126503696.73099764</v>
      </c>
      <c r="DT160" s="96">
        <f t="shared" si="193"/>
        <v>126503696.73099764</v>
      </c>
      <c r="DU160" s="96">
        <f t="shared" si="193"/>
        <v>126503696.73099764</v>
      </c>
      <c r="DV160" s="96">
        <f t="shared" si="193"/>
        <v>126503696.73099764</v>
      </c>
      <c r="DW160" s="96">
        <f t="shared" si="193"/>
        <v>126503696.73099764</v>
      </c>
      <c r="DX160" s="96">
        <f t="shared" si="193"/>
        <v>126503696.73099764</v>
      </c>
      <c r="DY160" s="96">
        <f t="shared" si="193"/>
        <v>126503696.73099764</v>
      </c>
      <c r="DZ160" s="96">
        <f t="shared" si="193"/>
        <v>126503696.73099764</v>
      </c>
      <c r="EA160" s="96">
        <f t="shared" ref="EA160:FF160" si="194">+EA12+EA51+EA90</f>
        <v>126503696.73099764</v>
      </c>
      <c r="EB160" s="96">
        <f t="shared" si="194"/>
        <v>126503696.73099764</v>
      </c>
      <c r="EC160" s="96">
        <f t="shared" si="194"/>
        <v>136828881.05453509</v>
      </c>
      <c r="ED160" s="96">
        <f t="shared" si="194"/>
        <v>136828881.05453509</v>
      </c>
      <c r="EE160" s="96">
        <f t="shared" si="194"/>
        <v>136828881.05453509</v>
      </c>
      <c r="EF160" s="96">
        <f t="shared" si="194"/>
        <v>136828881.05453509</v>
      </c>
      <c r="EG160" s="96">
        <f t="shared" si="194"/>
        <v>136828881.05453509</v>
      </c>
      <c r="EH160" s="96">
        <f t="shared" si="194"/>
        <v>136828881.05453509</v>
      </c>
      <c r="EI160" s="96">
        <f t="shared" si="194"/>
        <v>136828881.05453509</v>
      </c>
      <c r="EJ160" s="96">
        <f t="shared" si="194"/>
        <v>136828881.05453509</v>
      </c>
      <c r="EK160" s="96">
        <f t="shared" si="194"/>
        <v>136828881.05453509</v>
      </c>
      <c r="EL160" s="96">
        <f t="shared" si="194"/>
        <v>136828881.05453509</v>
      </c>
      <c r="EM160" s="96">
        <f t="shared" si="194"/>
        <v>136828881.05453509</v>
      </c>
      <c r="EN160" s="96">
        <f t="shared" si="194"/>
        <v>136828881.05453509</v>
      </c>
      <c r="EO160" s="96">
        <f t="shared" si="194"/>
        <v>136828881.05453509</v>
      </c>
      <c r="EP160" s="96">
        <f t="shared" si="194"/>
        <v>128053264</v>
      </c>
      <c r="EQ160" s="96">
        <f t="shared" si="194"/>
        <v>128053264</v>
      </c>
      <c r="ER160" s="96">
        <f t="shared" si="194"/>
        <v>128053264</v>
      </c>
      <c r="ES160" s="96">
        <f t="shared" si="194"/>
        <v>128053264</v>
      </c>
      <c r="ET160" s="96">
        <f t="shared" si="194"/>
        <v>128053264</v>
      </c>
      <c r="EU160" s="96">
        <f t="shared" si="194"/>
        <v>128053264</v>
      </c>
      <c r="EV160" s="96">
        <f t="shared" si="194"/>
        <v>128053264</v>
      </c>
      <c r="EW160" s="96">
        <f t="shared" si="194"/>
        <v>128053264</v>
      </c>
      <c r="EX160" s="96">
        <f t="shared" si="194"/>
        <v>128053264</v>
      </c>
      <c r="EY160" s="96">
        <f t="shared" si="194"/>
        <v>128053264</v>
      </c>
      <c r="EZ160" s="96">
        <f t="shared" si="194"/>
        <v>128053264</v>
      </c>
      <c r="FA160" s="96">
        <f t="shared" si="194"/>
        <v>128053264</v>
      </c>
      <c r="FB160" s="96">
        <f t="shared" si="194"/>
        <v>128053264</v>
      </c>
      <c r="FC160" s="96">
        <f t="shared" si="194"/>
        <v>112044847</v>
      </c>
      <c r="FD160" s="96">
        <f t="shared" si="194"/>
        <v>112044847</v>
      </c>
      <c r="FE160" s="96">
        <f t="shared" si="194"/>
        <v>112044847</v>
      </c>
      <c r="FF160" s="96">
        <f t="shared" si="194"/>
        <v>112044847</v>
      </c>
      <c r="FG160" s="96">
        <f t="shared" ref="FG160:FO160" si="195">+FG12+FG51+FG90</f>
        <v>112044847</v>
      </c>
      <c r="FH160" s="96">
        <f t="shared" si="195"/>
        <v>112044847</v>
      </c>
      <c r="FI160" s="96">
        <f t="shared" si="195"/>
        <v>112044847</v>
      </c>
      <c r="FJ160" s="96">
        <f t="shared" si="195"/>
        <v>0</v>
      </c>
      <c r="FK160" s="96">
        <f t="shared" si="195"/>
        <v>0</v>
      </c>
      <c r="FL160" s="96">
        <f t="shared" si="195"/>
        <v>0</v>
      </c>
      <c r="FM160" s="96">
        <f t="shared" si="195"/>
        <v>0</v>
      </c>
      <c r="FN160" s="96">
        <f t="shared" si="195"/>
        <v>0</v>
      </c>
      <c r="FO160" s="96">
        <f t="shared" si="195"/>
        <v>112044847</v>
      </c>
    </row>
    <row r="161" spans="1:171" ht="14.25" customHeight="1">
      <c r="A161" s="10"/>
      <c r="B161" s="10" t="str">
        <f t="shared" si="171"/>
        <v>Dirección de Aeropuertos</v>
      </c>
      <c r="C161" s="96">
        <f t="shared" ref="C161:AH161" si="196">+C13+C52+C91</f>
        <v>67271518.109150246</v>
      </c>
      <c r="D161" s="96">
        <f t="shared" si="196"/>
        <v>67271518.109150246</v>
      </c>
      <c r="E161" s="96">
        <f t="shared" si="196"/>
        <v>67271518.109150246</v>
      </c>
      <c r="F161" s="96">
        <f t="shared" si="196"/>
        <v>67271518.109150246</v>
      </c>
      <c r="G161" s="96">
        <f t="shared" si="196"/>
        <v>67271518.109150246</v>
      </c>
      <c r="H161" s="96">
        <f t="shared" si="196"/>
        <v>67271518.109150246</v>
      </c>
      <c r="I161" s="96">
        <f t="shared" si="196"/>
        <v>67271518.109150246</v>
      </c>
      <c r="J161" s="96">
        <f t="shared" si="196"/>
        <v>67271518.109150246</v>
      </c>
      <c r="K161" s="96">
        <f t="shared" si="196"/>
        <v>67271518.109150246</v>
      </c>
      <c r="L161" s="96">
        <f t="shared" si="196"/>
        <v>67271518.109150246</v>
      </c>
      <c r="M161" s="96">
        <f t="shared" si="196"/>
        <v>67271518.109150246</v>
      </c>
      <c r="N161" s="96">
        <f t="shared" si="196"/>
        <v>67271518.109150246</v>
      </c>
      <c r="O161" s="96">
        <f t="shared" si="196"/>
        <v>67271518.109150246</v>
      </c>
      <c r="P161" s="96">
        <f t="shared" si="196"/>
        <v>64381708.786191195</v>
      </c>
      <c r="Q161" s="96">
        <f t="shared" si="196"/>
        <v>64381708.786191195</v>
      </c>
      <c r="R161" s="96">
        <f t="shared" si="196"/>
        <v>64381708.786191195</v>
      </c>
      <c r="S161" s="96">
        <f t="shared" si="196"/>
        <v>64381708.786191195</v>
      </c>
      <c r="T161" s="96">
        <f t="shared" si="196"/>
        <v>64381708.786191195</v>
      </c>
      <c r="U161" s="96">
        <f t="shared" si="196"/>
        <v>64381708.786191195</v>
      </c>
      <c r="V161" s="96">
        <f t="shared" si="196"/>
        <v>64381708.786191195</v>
      </c>
      <c r="W161" s="96">
        <f t="shared" si="196"/>
        <v>64381708.786191195</v>
      </c>
      <c r="X161" s="96">
        <f t="shared" si="196"/>
        <v>64381708.786191195</v>
      </c>
      <c r="Y161" s="96">
        <f t="shared" si="196"/>
        <v>64381708.786191195</v>
      </c>
      <c r="Z161" s="96">
        <f t="shared" si="196"/>
        <v>64381708.786191195</v>
      </c>
      <c r="AA161" s="96">
        <f t="shared" si="196"/>
        <v>64381708.786191195</v>
      </c>
      <c r="AB161" s="96">
        <f t="shared" si="196"/>
        <v>64381708.786191195</v>
      </c>
      <c r="AC161" s="96">
        <f t="shared" si="196"/>
        <v>66693371.057131</v>
      </c>
      <c r="AD161" s="96">
        <f t="shared" si="196"/>
        <v>66693371.057131</v>
      </c>
      <c r="AE161" s="96">
        <f t="shared" si="196"/>
        <v>66693371.057131</v>
      </c>
      <c r="AF161" s="96">
        <f t="shared" si="196"/>
        <v>66693371.057131</v>
      </c>
      <c r="AG161" s="96">
        <f t="shared" si="196"/>
        <v>66693371.057131</v>
      </c>
      <c r="AH161" s="96">
        <f t="shared" si="196"/>
        <v>66693371.057131</v>
      </c>
      <c r="AI161" s="96">
        <f t="shared" ref="AI161:BN161" si="197">+AI13+AI52+AI91</f>
        <v>66693371.057131</v>
      </c>
      <c r="AJ161" s="96">
        <f t="shared" si="197"/>
        <v>66693371.057131</v>
      </c>
      <c r="AK161" s="96">
        <f t="shared" si="197"/>
        <v>66693371.057131</v>
      </c>
      <c r="AL161" s="96">
        <f t="shared" si="197"/>
        <v>66693371.057131</v>
      </c>
      <c r="AM161" s="96">
        <f t="shared" si="197"/>
        <v>66693371.057131</v>
      </c>
      <c r="AN161" s="96">
        <f t="shared" si="197"/>
        <v>66693371.057131</v>
      </c>
      <c r="AO161" s="96">
        <f t="shared" si="197"/>
        <v>66693371.057131</v>
      </c>
      <c r="AP161" s="96">
        <f t="shared" si="197"/>
        <v>67054690.143108346</v>
      </c>
      <c r="AQ161" s="96">
        <f t="shared" si="197"/>
        <v>67054690.143108346</v>
      </c>
      <c r="AR161" s="96">
        <f t="shared" si="197"/>
        <v>67054690.143108346</v>
      </c>
      <c r="AS161" s="96">
        <f t="shared" si="197"/>
        <v>67054690.143108346</v>
      </c>
      <c r="AT161" s="96">
        <f t="shared" si="197"/>
        <v>67054690.143108346</v>
      </c>
      <c r="AU161" s="96">
        <f t="shared" si="197"/>
        <v>67054690.143108346</v>
      </c>
      <c r="AV161" s="96">
        <f t="shared" si="197"/>
        <v>67054690.143108346</v>
      </c>
      <c r="AW161" s="96">
        <f t="shared" si="197"/>
        <v>67054690.143108346</v>
      </c>
      <c r="AX161" s="96">
        <f t="shared" si="197"/>
        <v>67054690.143108346</v>
      </c>
      <c r="AY161" s="96">
        <f t="shared" si="197"/>
        <v>67054690.143108346</v>
      </c>
      <c r="AZ161" s="96">
        <f t="shared" si="197"/>
        <v>67054690.143108346</v>
      </c>
      <c r="BA161" s="96">
        <f t="shared" si="197"/>
        <v>67054690.143108346</v>
      </c>
      <c r="BB161" s="96">
        <f t="shared" si="197"/>
        <v>67054690.143108346</v>
      </c>
      <c r="BC161" s="96">
        <f t="shared" si="197"/>
        <v>51435389.177897945</v>
      </c>
      <c r="BD161" s="96">
        <f t="shared" si="197"/>
        <v>51435389.177897945</v>
      </c>
      <c r="BE161" s="96">
        <f t="shared" si="197"/>
        <v>51435389.177897945</v>
      </c>
      <c r="BF161" s="96">
        <f t="shared" si="197"/>
        <v>51435389.177897945</v>
      </c>
      <c r="BG161" s="96">
        <f t="shared" si="197"/>
        <v>51435389.177897945</v>
      </c>
      <c r="BH161" s="96">
        <f t="shared" si="197"/>
        <v>51435389.177897945</v>
      </c>
      <c r="BI161" s="96">
        <f t="shared" si="197"/>
        <v>51435389.177897945</v>
      </c>
      <c r="BJ161" s="96">
        <f t="shared" si="197"/>
        <v>51435389.177897945</v>
      </c>
      <c r="BK161" s="96">
        <f t="shared" si="197"/>
        <v>51435389.177897945</v>
      </c>
      <c r="BL161" s="96">
        <f t="shared" si="197"/>
        <v>51435389.177897945</v>
      </c>
      <c r="BM161" s="96">
        <f t="shared" si="197"/>
        <v>51435389.177897945</v>
      </c>
      <c r="BN161" s="96">
        <f t="shared" si="197"/>
        <v>51435389.177897945</v>
      </c>
      <c r="BO161" s="96">
        <f t="shared" ref="BO161:CT161" si="198">+BO13+BO52+BO91</f>
        <v>51435389.177897945</v>
      </c>
      <c r="BP161" s="96">
        <f t="shared" si="198"/>
        <v>74378153.233290672</v>
      </c>
      <c r="BQ161" s="96">
        <f t="shared" si="198"/>
        <v>74378153.233290672</v>
      </c>
      <c r="BR161" s="96">
        <f t="shared" si="198"/>
        <v>74378153.233290672</v>
      </c>
      <c r="BS161" s="96">
        <f t="shared" si="198"/>
        <v>74378153.233290672</v>
      </c>
      <c r="BT161" s="96">
        <f t="shared" si="198"/>
        <v>74378153.233290672</v>
      </c>
      <c r="BU161" s="96">
        <f t="shared" si="198"/>
        <v>74378153.233290672</v>
      </c>
      <c r="BV161" s="96">
        <f t="shared" si="198"/>
        <v>74378153.233290672</v>
      </c>
      <c r="BW161" s="96">
        <f t="shared" si="198"/>
        <v>74378153.233290672</v>
      </c>
      <c r="BX161" s="96">
        <f t="shared" si="198"/>
        <v>74378153.233290672</v>
      </c>
      <c r="BY161" s="96">
        <f t="shared" si="198"/>
        <v>74378153.233290672</v>
      </c>
      <c r="BZ161" s="96">
        <f t="shared" si="198"/>
        <v>74378153.233290672</v>
      </c>
      <c r="CA161" s="96">
        <f t="shared" si="198"/>
        <v>74378153.233290672</v>
      </c>
      <c r="CB161" s="96">
        <f t="shared" si="198"/>
        <v>74378153.233290672</v>
      </c>
      <c r="CC161" s="96">
        <f t="shared" si="198"/>
        <v>79682208.147706091</v>
      </c>
      <c r="CD161" s="96">
        <f t="shared" si="198"/>
        <v>79682208.147706091</v>
      </c>
      <c r="CE161" s="96">
        <f t="shared" si="198"/>
        <v>79682208.147706091</v>
      </c>
      <c r="CF161" s="96">
        <f t="shared" si="198"/>
        <v>79682208.147706091</v>
      </c>
      <c r="CG161" s="96">
        <f t="shared" si="198"/>
        <v>79682208.147706091</v>
      </c>
      <c r="CH161" s="96">
        <f t="shared" si="198"/>
        <v>79682208.147706091</v>
      </c>
      <c r="CI161" s="96">
        <f t="shared" si="198"/>
        <v>79682208.147706091</v>
      </c>
      <c r="CJ161" s="96">
        <f t="shared" si="198"/>
        <v>79682208.147706091</v>
      </c>
      <c r="CK161" s="96">
        <f t="shared" si="198"/>
        <v>79682208.147706091</v>
      </c>
      <c r="CL161" s="96">
        <f t="shared" si="198"/>
        <v>79682208.147706091</v>
      </c>
      <c r="CM161" s="96">
        <f t="shared" si="198"/>
        <v>79682208.147706091</v>
      </c>
      <c r="CN161" s="96">
        <f t="shared" si="198"/>
        <v>79682208.147706091</v>
      </c>
      <c r="CO161" s="96">
        <f t="shared" si="198"/>
        <v>79682208.147706091</v>
      </c>
      <c r="CP161" s="96">
        <f t="shared" si="198"/>
        <v>135723099.01948953</v>
      </c>
      <c r="CQ161" s="96">
        <f t="shared" si="198"/>
        <v>135723099.01948953</v>
      </c>
      <c r="CR161" s="96">
        <f t="shared" si="198"/>
        <v>135723099.01948953</v>
      </c>
      <c r="CS161" s="96">
        <f t="shared" si="198"/>
        <v>135723099.01948953</v>
      </c>
      <c r="CT161" s="96">
        <f t="shared" si="198"/>
        <v>135723099.01948953</v>
      </c>
      <c r="CU161" s="96">
        <f t="shared" ref="CU161:DZ161" si="199">+CU13+CU52+CU91</f>
        <v>135723099.01948953</v>
      </c>
      <c r="CV161" s="96">
        <f t="shared" si="199"/>
        <v>135723099.01948953</v>
      </c>
      <c r="CW161" s="96">
        <f t="shared" si="199"/>
        <v>135723099.01948953</v>
      </c>
      <c r="CX161" s="96">
        <f t="shared" si="199"/>
        <v>135723099.01948953</v>
      </c>
      <c r="CY161" s="96">
        <f t="shared" si="199"/>
        <v>135723099.01948953</v>
      </c>
      <c r="CZ161" s="96">
        <f t="shared" si="199"/>
        <v>135723099.01948953</v>
      </c>
      <c r="DA161" s="96">
        <f t="shared" si="199"/>
        <v>135723099.01948953</v>
      </c>
      <c r="DB161" s="96">
        <f t="shared" si="199"/>
        <v>135723099.01948953</v>
      </c>
      <c r="DC161" s="96">
        <f t="shared" si="199"/>
        <v>132524055.96378979</v>
      </c>
      <c r="DD161" s="96">
        <f t="shared" si="199"/>
        <v>132524055.96378979</v>
      </c>
      <c r="DE161" s="96">
        <f t="shared" si="199"/>
        <v>132524055.96378979</v>
      </c>
      <c r="DF161" s="96">
        <f t="shared" si="199"/>
        <v>132524055.96378979</v>
      </c>
      <c r="DG161" s="96">
        <f t="shared" si="199"/>
        <v>132524055.96378979</v>
      </c>
      <c r="DH161" s="96">
        <f t="shared" si="199"/>
        <v>132524055.96378979</v>
      </c>
      <c r="DI161" s="96">
        <f t="shared" si="199"/>
        <v>132524055.96378979</v>
      </c>
      <c r="DJ161" s="96">
        <f t="shared" si="199"/>
        <v>132524055.96378979</v>
      </c>
      <c r="DK161" s="96">
        <f t="shared" si="199"/>
        <v>132524055.96378979</v>
      </c>
      <c r="DL161" s="96">
        <f t="shared" si="199"/>
        <v>132524055.96378979</v>
      </c>
      <c r="DM161" s="96">
        <f t="shared" si="199"/>
        <v>132524055.96378979</v>
      </c>
      <c r="DN161" s="96">
        <f t="shared" si="199"/>
        <v>132524055.96378979</v>
      </c>
      <c r="DO161" s="96">
        <f t="shared" si="199"/>
        <v>132524055.96378979</v>
      </c>
      <c r="DP161" s="96">
        <f t="shared" si="199"/>
        <v>146586812.58313543</v>
      </c>
      <c r="DQ161" s="96">
        <f t="shared" si="199"/>
        <v>146586812.58313543</v>
      </c>
      <c r="DR161" s="96">
        <f t="shared" si="199"/>
        <v>146586812.58313543</v>
      </c>
      <c r="DS161" s="96">
        <f t="shared" si="199"/>
        <v>146586812.58313543</v>
      </c>
      <c r="DT161" s="96">
        <f t="shared" si="199"/>
        <v>146586812.58313543</v>
      </c>
      <c r="DU161" s="96">
        <f t="shared" si="199"/>
        <v>146586812.58313543</v>
      </c>
      <c r="DV161" s="96">
        <f t="shared" si="199"/>
        <v>146586812.58313543</v>
      </c>
      <c r="DW161" s="96">
        <f t="shared" si="199"/>
        <v>146586812.58313543</v>
      </c>
      <c r="DX161" s="96">
        <f t="shared" si="199"/>
        <v>146586812.58313543</v>
      </c>
      <c r="DY161" s="96">
        <f t="shared" si="199"/>
        <v>146586812.58313543</v>
      </c>
      <c r="DZ161" s="96">
        <f t="shared" si="199"/>
        <v>146586812.58313543</v>
      </c>
      <c r="EA161" s="96">
        <f t="shared" ref="EA161:FF161" si="200">+EA13+EA52+EA91</f>
        <v>146586812.58313543</v>
      </c>
      <c r="EB161" s="96">
        <f t="shared" si="200"/>
        <v>146586812.58313543</v>
      </c>
      <c r="EC161" s="96">
        <f t="shared" si="200"/>
        <v>142748858.2632077</v>
      </c>
      <c r="ED161" s="96">
        <f t="shared" si="200"/>
        <v>142748858.2632077</v>
      </c>
      <c r="EE161" s="96">
        <f t="shared" si="200"/>
        <v>142748858.2632077</v>
      </c>
      <c r="EF161" s="96">
        <f t="shared" si="200"/>
        <v>142748858.2632077</v>
      </c>
      <c r="EG161" s="96">
        <f t="shared" si="200"/>
        <v>142748858.2632077</v>
      </c>
      <c r="EH161" s="96">
        <f t="shared" si="200"/>
        <v>142748858.2632077</v>
      </c>
      <c r="EI161" s="96">
        <f t="shared" si="200"/>
        <v>142748858.2632077</v>
      </c>
      <c r="EJ161" s="96">
        <f t="shared" si="200"/>
        <v>142748858.2632077</v>
      </c>
      <c r="EK161" s="96">
        <f t="shared" si="200"/>
        <v>142748858.2632077</v>
      </c>
      <c r="EL161" s="96">
        <f t="shared" si="200"/>
        <v>142748858.2632077</v>
      </c>
      <c r="EM161" s="96">
        <f t="shared" si="200"/>
        <v>142748858.2632077</v>
      </c>
      <c r="EN161" s="96">
        <f t="shared" si="200"/>
        <v>142748858.2632077</v>
      </c>
      <c r="EO161" s="96">
        <f t="shared" si="200"/>
        <v>142748858.2632077</v>
      </c>
      <c r="EP161" s="96">
        <f t="shared" si="200"/>
        <v>142750398</v>
      </c>
      <c r="EQ161" s="96">
        <f t="shared" si="200"/>
        <v>142750398</v>
      </c>
      <c r="ER161" s="96">
        <f t="shared" si="200"/>
        <v>142750398</v>
      </c>
      <c r="ES161" s="96">
        <f t="shared" si="200"/>
        <v>142750398</v>
      </c>
      <c r="ET161" s="96">
        <f t="shared" si="200"/>
        <v>142750398</v>
      </c>
      <c r="EU161" s="96">
        <f t="shared" si="200"/>
        <v>142750398</v>
      </c>
      <c r="EV161" s="96">
        <f t="shared" si="200"/>
        <v>142750398</v>
      </c>
      <c r="EW161" s="96">
        <f t="shared" si="200"/>
        <v>142750398</v>
      </c>
      <c r="EX161" s="96">
        <f t="shared" si="200"/>
        <v>142750398</v>
      </c>
      <c r="EY161" s="96">
        <f t="shared" si="200"/>
        <v>142750398</v>
      </c>
      <c r="EZ161" s="96">
        <f t="shared" si="200"/>
        <v>142750398</v>
      </c>
      <c r="FA161" s="96">
        <f t="shared" si="200"/>
        <v>142750398</v>
      </c>
      <c r="FB161" s="96">
        <f t="shared" si="200"/>
        <v>142750398</v>
      </c>
      <c r="FC161" s="96">
        <f t="shared" si="200"/>
        <v>127904989</v>
      </c>
      <c r="FD161" s="96">
        <f t="shared" si="200"/>
        <v>127904989</v>
      </c>
      <c r="FE161" s="96">
        <f t="shared" si="200"/>
        <v>127904989</v>
      </c>
      <c r="FF161" s="96">
        <f t="shared" si="200"/>
        <v>127904989</v>
      </c>
      <c r="FG161" s="96">
        <f t="shared" ref="FG161:FO161" si="201">+FG13+FG52+FG91</f>
        <v>127904989</v>
      </c>
      <c r="FH161" s="96">
        <f t="shared" si="201"/>
        <v>127904989</v>
      </c>
      <c r="FI161" s="96">
        <f t="shared" si="201"/>
        <v>127904989</v>
      </c>
      <c r="FJ161" s="96">
        <f t="shared" si="201"/>
        <v>0</v>
      </c>
      <c r="FK161" s="96">
        <f t="shared" si="201"/>
        <v>0</v>
      </c>
      <c r="FL161" s="96">
        <f t="shared" si="201"/>
        <v>0</v>
      </c>
      <c r="FM161" s="96">
        <f t="shared" si="201"/>
        <v>0</v>
      </c>
      <c r="FN161" s="96">
        <f t="shared" si="201"/>
        <v>0</v>
      </c>
      <c r="FO161" s="96">
        <f t="shared" si="201"/>
        <v>127904989</v>
      </c>
    </row>
    <row r="162" spans="1:171" ht="14.25" customHeight="1">
      <c r="A162" s="10"/>
      <c r="B162" s="10" t="str">
        <f t="shared" si="171"/>
        <v>Dirección de Arquitectura</v>
      </c>
      <c r="C162" s="96">
        <f t="shared" ref="C162:AH162" si="202">+C14+C53+C92</f>
        <v>42740452.538929269</v>
      </c>
      <c r="D162" s="96">
        <f t="shared" si="202"/>
        <v>42740452.538929269</v>
      </c>
      <c r="E162" s="96">
        <f t="shared" si="202"/>
        <v>42740452.538929269</v>
      </c>
      <c r="F162" s="96">
        <f t="shared" si="202"/>
        <v>42740452.538929269</v>
      </c>
      <c r="G162" s="96">
        <f t="shared" si="202"/>
        <v>42740452.538929269</v>
      </c>
      <c r="H162" s="96">
        <f t="shared" si="202"/>
        <v>42740452.538929269</v>
      </c>
      <c r="I162" s="96">
        <f t="shared" si="202"/>
        <v>42740452.538929269</v>
      </c>
      <c r="J162" s="96">
        <f t="shared" si="202"/>
        <v>42740452.538929269</v>
      </c>
      <c r="K162" s="96">
        <f t="shared" si="202"/>
        <v>42740452.538929269</v>
      </c>
      <c r="L162" s="96">
        <f t="shared" si="202"/>
        <v>42740452.538929269</v>
      </c>
      <c r="M162" s="96">
        <f t="shared" si="202"/>
        <v>42740452.538929269</v>
      </c>
      <c r="N162" s="96">
        <f t="shared" si="202"/>
        <v>42740452.538929269</v>
      </c>
      <c r="O162" s="96">
        <f t="shared" si="202"/>
        <v>42740452.538929269</v>
      </c>
      <c r="P162" s="96">
        <f t="shared" si="202"/>
        <v>43926319.807927243</v>
      </c>
      <c r="Q162" s="96">
        <f t="shared" si="202"/>
        <v>43926319.807927243</v>
      </c>
      <c r="R162" s="96">
        <f t="shared" si="202"/>
        <v>43926319.807927243</v>
      </c>
      <c r="S162" s="96">
        <f t="shared" si="202"/>
        <v>43926319.807927243</v>
      </c>
      <c r="T162" s="96">
        <f t="shared" si="202"/>
        <v>43926319.807927243</v>
      </c>
      <c r="U162" s="96">
        <f t="shared" si="202"/>
        <v>43926319.807927243</v>
      </c>
      <c r="V162" s="96">
        <f t="shared" si="202"/>
        <v>43926319.807927243</v>
      </c>
      <c r="W162" s="96">
        <f t="shared" si="202"/>
        <v>43926319.807927243</v>
      </c>
      <c r="X162" s="96">
        <f t="shared" si="202"/>
        <v>43926319.807927243</v>
      </c>
      <c r="Y162" s="96">
        <f t="shared" si="202"/>
        <v>43926319.807927243</v>
      </c>
      <c r="Z162" s="96">
        <f t="shared" si="202"/>
        <v>43926319.807927243</v>
      </c>
      <c r="AA162" s="96">
        <f t="shared" si="202"/>
        <v>43926319.807927243</v>
      </c>
      <c r="AB162" s="96">
        <f t="shared" si="202"/>
        <v>43926319.807927243</v>
      </c>
      <c r="AC162" s="96">
        <f t="shared" si="202"/>
        <v>39018447.850325078</v>
      </c>
      <c r="AD162" s="96">
        <f t="shared" si="202"/>
        <v>39018447.850325078</v>
      </c>
      <c r="AE162" s="96">
        <f t="shared" si="202"/>
        <v>39018447.850325078</v>
      </c>
      <c r="AF162" s="96">
        <f t="shared" si="202"/>
        <v>39018447.850325078</v>
      </c>
      <c r="AG162" s="96">
        <f t="shared" si="202"/>
        <v>39018447.850325078</v>
      </c>
      <c r="AH162" s="96">
        <f t="shared" si="202"/>
        <v>39018447.850325078</v>
      </c>
      <c r="AI162" s="96">
        <f t="shared" ref="AI162:BN162" si="203">+AI14+AI53+AI92</f>
        <v>39018447.850325078</v>
      </c>
      <c r="AJ162" s="96">
        <f t="shared" si="203"/>
        <v>39018447.850325078</v>
      </c>
      <c r="AK162" s="96">
        <f t="shared" si="203"/>
        <v>39018447.850325078</v>
      </c>
      <c r="AL162" s="96">
        <f t="shared" si="203"/>
        <v>39018447.850325078</v>
      </c>
      <c r="AM162" s="96">
        <f t="shared" si="203"/>
        <v>39018447.850325078</v>
      </c>
      <c r="AN162" s="96">
        <f t="shared" si="203"/>
        <v>39018447.850325078</v>
      </c>
      <c r="AO162" s="96">
        <f t="shared" si="203"/>
        <v>39018447.850325078</v>
      </c>
      <c r="AP162" s="96">
        <f t="shared" si="203"/>
        <v>41982923.71107804</v>
      </c>
      <c r="AQ162" s="96">
        <f t="shared" si="203"/>
        <v>41982923.71107804</v>
      </c>
      <c r="AR162" s="96">
        <f t="shared" si="203"/>
        <v>41982923.71107804</v>
      </c>
      <c r="AS162" s="96">
        <f t="shared" si="203"/>
        <v>41982923.71107804</v>
      </c>
      <c r="AT162" s="96">
        <f t="shared" si="203"/>
        <v>41982923.71107804</v>
      </c>
      <c r="AU162" s="96">
        <f t="shared" si="203"/>
        <v>41982923.71107804</v>
      </c>
      <c r="AV162" s="96">
        <f t="shared" si="203"/>
        <v>41982923.71107804</v>
      </c>
      <c r="AW162" s="96">
        <f t="shared" si="203"/>
        <v>41982923.71107804</v>
      </c>
      <c r="AX162" s="96">
        <f t="shared" si="203"/>
        <v>41982923.71107804</v>
      </c>
      <c r="AY162" s="96">
        <f t="shared" si="203"/>
        <v>41982923.71107804</v>
      </c>
      <c r="AZ162" s="96">
        <f t="shared" si="203"/>
        <v>41982923.71107804</v>
      </c>
      <c r="BA162" s="96">
        <f t="shared" si="203"/>
        <v>41982923.71107804</v>
      </c>
      <c r="BB162" s="96">
        <f t="shared" si="203"/>
        <v>41982923.71107804</v>
      </c>
      <c r="BC162" s="96">
        <f t="shared" si="203"/>
        <v>44097740.88012661</v>
      </c>
      <c r="BD162" s="96">
        <f t="shared" si="203"/>
        <v>44097740.88012661</v>
      </c>
      <c r="BE162" s="96">
        <f t="shared" si="203"/>
        <v>44097740.88012661</v>
      </c>
      <c r="BF162" s="96">
        <f t="shared" si="203"/>
        <v>44097740.88012661</v>
      </c>
      <c r="BG162" s="96">
        <f t="shared" si="203"/>
        <v>44097740.88012661</v>
      </c>
      <c r="BH162" s="96">
        <f t="shared" si="203"/>
        <v>44097740.88012661</v>
      </c>
      <c r="BI162" s="96">
        <f t="shared" si="203"/>
        <v>44097740.88012661</v>
      </c>
      <c r="BJ162" s="96">
        <f t="shared" si="203"/>
        <v>44097740.88012661</v>
      </c>
      <c r="BK162" s="96">
        <f t="shared" si="203"/>
        <v>44097740.88012661</v>
      </c>
      <c r="BL162" s="96">
        <f t="shared" si="203"/>
        <v>44097740.88012661</v>
      </c>
      <c r="BM162" s="96">
        <f t="shared" si="203"/>
        <v>44097740.88012661</v>
      </c>
      <c r="BN162" s="96">
        <f t="shared" si="203"/>
        <v>44097740.88012661</v>
      </c>
      <c r="BO162" s="96">
        <f t="shared" ref="BO162:CT162" si="204">+BO14+BO53+BO92</f>
        <v>44097740.88012661</v>
      </c>
      <c r="BP162" s="96">
        <f t="shared" si="204"/>
        <v>36324750.275032014</v>
      </c>
      <c r="BQ162" s="96">
        <f t="shared" si="204"/>
        <v>36324750.275032014</v>
      </c>
      <c r="BR162" s="96">
        <f t="shared" si="204"/>
        <v>36324750.275032014</v>
      </c>
      <c r="BS162" s="96">
        <f t="shared" si="204"/>
        <v>36324750.275032014</v>
      </c>
      <c r="BT162" s="96">
        <f t="shared" si="204"/>
        <v>36324750.275032014</v>
      </c>
      <c r="BU162" s="96">
        <f t="shared" si="204"/>
        <v>36324750.275032014</v>
      </c>
      <c r="BV162" s="96">
        <f t="shared" si="204"/>
        <v>36324750.275032014</v>
      </c>
      <c r="BW162" s="96">
        <f t="shared" si="204"/>
        <v>36324750.275032014</v>
      </c>
      <c r="BX162" s="96">
        <f t="shared" si="204"/>
        <v>36324750.275032014</v>
      </c>
      <c r="BY162" s="96">
        <f t="shared" si="204"/>
        <v>36324750.275032014</v>
      </c>
      <c r="BZ162" s="96">
        <f t="shared" si="204"/>
        <v>36324750.275032014</v>
      </c>
      <c r="CA162" s="96">
        <f t="shared" si="204"/>
        <v>36324750.275032014</v>
      </c>
      <c r="CB162" s="96">
        <f t="shared" si="204"/>
        <v>36324750.275032014</v>
      </c>
      <c r="CC162" s="96">
        <f t="shared" si="204"/>
        <v>30269705.288325258</v>
      </c>
      <c r="CD162" s="96">
        <f t="shared" si="204"/>
        <v>30269705.288325258</v>
      </c>
      <c r="CE162" s="96">
        <f t="shared" si="204"/>
        <v>30269705.288325258</v>
      </c>
      <c r="CF162" s="96">
        <f t="shared" si="204"/>
        <v>30269705.288325258</v>
      </c>
      <c r="CG162" s="96">
        <f t="shared" si="204"/>
        <v>30269705.288325258</v>
      </c>
      <c r="CH162" s="96">
        <f t="shared" si="204"/>
        <v>30269705.288325258</v>
      </c>
      <c r="CI162" s="96">
        <f t="shared" si="204"/>
        <v>30269705.288325258</v>
      </c>
      <c r="CJ162" s="96">
        <f t="shared" si="204"/>
        <v>30269705.288325258</v>
      </c>
      <c r="CK162" s="96">
        <f t="shared" si="204"/>
        <v>30269705.288325258</v>
      </c>
      <c r="CL162" s="96">
        <f t="shared" si="204"/>
        <v>30269705.288325258</v>
      </c>
      <c r="CM162" s="96">
        <f t="shared" si="204"/>
        <v>30269705.288325258</v>
      </c>
      <c r="CN162" s="96">
        <f t="shared" si="204"/>
        <v>30269705.288325258</v>
      </c>
      <c r="CO162" s="96">
        <f t="shared" si="204"/>
        <v>30269705.288325258</v>
      </c>
      <c r="CP162" s="96">
        <f t="shared" si="204"/>
        <v>46990900.774941988</v>
      </c>
      <c r="CQ162" s="96">
        <f t="shared" si="204"/>
        <v>46990900.774941988</v>
      </c>
      <c r="CR162" s="96">
        <f t="shared" si="204"/>
        <v>46990900.774941988</v>
      </c>
      <c r="CS162" s="96">
        <f t="shared" si="204"/>
        <v>46990900.774941988</v>
      </c>
      <c r="CT162" s="96">
        <f t="shared" si="204"/>
        <v>46990900.774941988</v>
      </c>
      <c r="CU162" s="96">
        <f t="shared" ref="CU162:DZ162" si="205">+CU14+CU53+CU92</f>
        <v>46990900.774941988</v>
      </c>
      <c r="CV162" s="96">
        <f t="shared" si="205"/>
        <v>46990900.774941988</v>
      </c>
      <c r="CW162" s="96">
        <f t="shared" si="205"/>
        <v>46990900.774941988</v>
      </c>
      <c r="CX162" s="96">
        <f t="shared" si="205"/>
        <v>46990900.774941988</v>
      </c>
      <c r="CY162" s="96">
        <f t="shared" si="205"/>
        <v>46990900.774941988</v>
      </c>
      <c r="CZ162" s="96">
        <f t="shared" si="205"/>
        <v>46990900.774941988</v>
      </c>
      <c r="DA162" s="96">
        <f t="shared" si="205"/>
        <v>46990900.774941988</v>
      </c>
      <c r="DB162" s="96">
        <f t="shared" si="205"/>
        <v>46990900.774941988</v>
      </c>
      <c r="DC162" s="96">
        <f t="shared" si="205"/>
        <v>46316454.817817122</v>
      </c>
      <c r="DD162" s="96">
        <f t="shared" si="205"/>
        <v>46316454.817817122</v>
      </c>
      <c r="DE162" s="96">
        <f t="shared" si="205"/>
        <v>46316454.817817122</v>
      </c>
      <c r="DF162" s="96">
        <f t="shared" si="205"/>
        <v>46316454.817817122</v>
      </c>
      <c r="DG162" s="96">
        <f t="shared" si="205"/>
        <v>46316454.817817122</v>
      </c>
      <c r="DH162" s="96">
        <f t="shared" si="205"/>
        <v>46316454.817817122</v>
      </c>
      <c r="DI162" s="96">
        <f t="shared" si="205"/>
        <v>46316454.817817122</v>
      </c>
      <c r="DJ162" s="96">
        <f t="shared" si="205"/>
        <v>46316454.817817122</v>
      </c>
      <c r="DK162" s="96">
        <f t="shared" si="205"/>
        <v>46316454.817817122</v>
      </c>
      <c r="DL162" s="96">
        <f t="shared" si="205"/>
        <v>46316454.817817122</v>
      </c>
      <c r="DM162" s="96">
        <f t="shared" si="205"/>
        <v>46316454.817817122</v>
      </c>
      <c r="DN162" s="96">
        <f t="shared" si="205"/>
        <v>46316454.817817122</v>
      </c>
      <c r="DO162" s="96">
        <f t="shared" si="205"/>
        <v>46316454.817817122</v>
      </c>
      <c r="DP162" s="96">
        <f t="shared" si="205"/>
        <v>41250389.574228033</v>
      </c>
      <c r="DQ162" s="96">
        <f t="shared" si="205"/>
        <v>41250389.574228033</v>
      </c>
      <c r="DR162" s="96">
        <f t="shared" si="205"/>
        <v>41250389.574228033</v>
      </c>
      <c r="DS162" s="96">
        <f t="shared" si="205"/>
        <v>41250389.574228033</v>
      </c>
      <c r="DT162" s="96">
        <f t="shared" si="205"/>
        <v>41250389.574228033</v>
      </c>
      <c r="DU162" s="96">
        <f t="shared" si="205"/>
        <v>41250389.574228033</v>
      </c>
      <c r="DV162" s="96">
        <f t="shared" si="205"/>
        <v>41250389.574228033</v>
      </c>
      <c r="DW162" s="96">
        <f t="shared" si="205"/>
        <v>41250389.574228033</v>
      </c>
      <c r="DX162" s="96">
        <f t="shared" si="205"/>
        <v>41250389.574228033</v>
      </c>
      <c r="DY162" s="96">
        <f t="shared" si="205"/>
        <v>41250389.574228033</v>
      </c>
      <c r="DZ162" s="96">
        <f t="shared" si="205"/>
        <v>41250389.574228033</v>
      </c>
      <c r="EA162" s="96">
        <f t="shared" ref="EA162:FF162" si="206">+EA14+EA53+EA92</f>
        <v>41250389.574228033</v>
      </c>
      <c r="EB162" s="96">
        <f t="shared" si="206"/>
        <v>41250389.574228033</v>
      </c>
      <c r="EC162" s="96">
        <f t="shared" si="206"/>
        <v>46743144.174398772</v>
      </c>
      <c r="ED162" s="96">
        <f t="shared" si="206"/>
        <v>46743144.174398772</v>
      </c>
      <c r="EE162" s="96">
        <f t="shared" si="206"/>
        <v>46743144.174398772</v>
      </c>
      <c r="EF162" s="96">
        <f t="shared" si="206"/>
        <v>46743144.174398772</v>
      </c>
      <c r="EG162" s="96">
        <f t="shared" si="206"/>
        <v>46743144.174398772</v>
      </c>
      <c r="EH162" s="96">
        <f t="shared" si="206"/>
        <v>46743144.174398772</v>
      </c>
      <c r="EI162" s="96">
        <f t="shared" si="206"/>
        <v>46743144.174398772</v>
      </c>
      <c r="EJ162" s="96">
        <f t="shared" si="206"/>
        <v>46743144.174398772</v>
      </c>
      <c r="EK162" s="96">
        <f t="shared" si="206"/>
        <v>46743144.174398772</v>
      </c>
      <c r="EL162" s="96">
        <f t="shared" si="206"/>
        <v>46743144.174398772</v>
      </c>
      <c r="EM162" s="96">
        <f t="shared" si="206"/>
        <v>46743144.174398772</v>
      </c>
      <c r="EN162" s="96">
        <f t="shared" si="206"/>
        <v>46743144.174398772</v>
      </c>
      <c r="EO162" s="96">
        <f t="shared" si="206"/>
        <v>46743144.174398772</v>
      </c>
      <c r="EP162" s="96">
        <f t="shared" si="206"/>
        <v>57665235</v>
      </c>
      <c r="EQ162" s="96">
        <f t="shared" si="206"/>
        <v>57665235</v>
      </c>
      <c r="ER162" s="96">
        <f t="shared" si="206"/>
        <v>57665235</v>
      </c>
      <c r="ES162" s="96">
        <f t="shared" si="206"/>
        <v>57665235</v>
      </c>
      <c r="ET162" s="96">
        <f t="shared" si="206"/>
        <v>57665235</v>
      </c>
      <c r="EU162" s="96">
        <f t="shared" si="206"/>
        <v>57665235</v>
      </c>
      <c r="EV162" s="96">
        <f t="shared" si="206"/>
        <v>57665235</v>
      </c>
      <c r="EW162" s="96">
        <f t="shared" si="206"/>
        <v>57665235</v>
      </c>
      <c r="EX162" s="96">
        <f t="shared" si="206"/>
        <v>57665235</v>
      </c>
      <c r="EY162" s="96">
        <f t="shared" si="206"/>
        <v>57665235</v>
      </c>
      <c r="EZ162" s="96">
        <f t="shared" si="206"/>
        <v>57665235</v>
      </c>
      <c r="FA162" s="96">
        <f t="shared" si="206"/>
        <v>57665235</v>
      </c>
      <c r="FB162" s="96">
        <f t="shared" si="206"/>
        <v>57665235</v>
      </c>
      <c r="FC162" s="96">
        <f t="shared" si="206"/>
        <v>30872482</v>
      </c>
      <c r="FD162" s="96">
        <f t="shared" si="206"/>
        <v>30872482</v>
      </c>
      <c r="FE162" s="96">
        <f t="shared" si="206"/>
        <v>30872482</v>
      </c>
      <c r="FF162" s="96">
        <f t="shared" si="206"/>
        <v>30872482</v>
      </c>
      <c r="FG162" s="96">
        <f t="shared" ref="FG162:FO162" si="207">+FG14+FG53+FG92</f>
        <v>30872482</v>
      </c>
      <c r="FH162" s="96">
        <f t="shared" si="207"/>
        <v>30872482</v>
      </c>
      <c r="FI162" s="96">
        <f t="shared" si="207"/>
        <v>30872482</v>
      </c>
      <c r="FJ162" s="96">
        <f t="shared" si="207"/>
        <v>0</v>
      </c>
      <c r="FK162" s="96">
        <f t="shared" si="207"/>
        <v>0</v>
      </c>
      <c r="FL162" s="96">
        <f t="shared" si="207"/>
        <v>0</v>
      </c>
      <c r="FM162" s="96">
        <f t="shared" si="207"/>
        <v>0</v>
      </c>
      <c r="FN162" s="96">
        <f t="shared" si="207"/>
        <v>0</v>
      </c>
      <c r="FO162" s="96">
        <f t="shared" si="207"/>
        <v>30872482</v>
      </c>
    </row>
  </sheetData>
  <mergeCells count="130">
    <mergeCell ref="B3:FO3"/>
    <mergeCell ref="C70:O70"/>
    <mergeCell ref="P19:AB19"/>
    <mergeCell ref="BP19:CB19"/>
    <mergeCell ref="AC46:AO46"/>
    <mergeCell ref="B18:FO18"/>
    <mergeCell ref="CP58:DB58"/>
    <mergeCell ref="CC109:CO109"/>
    <mergeCell ref="C7:O7"/>
    <mergeCell ref="EP58:FB58"/>
    <mergeCell ref="CC31:CO31"/>
    <mergeCell ref="DC85:DO85"/>
    <mergeCell ref="FC7:FO7"/>
    <mergeCell ref="DC109:DO109"/>
    <mergeCell ref="P109:AB109"/>
    <mergeCell ref="DC70:DO70"/>
    <mergeCell ref="DC46:DO46"/>
    <mergeCell ref="B84:FO84"/>
    <mergeCell ref="BP46:CB46"/>
    <mergeCell ref="BP97:CB97"/>
    <mergeCell ref="BP109:CB109"/>
    <mergeCell ref="B6:FO6"/>
    <mergeCell ref="EC31:EO31"/>
    <mergeCell ref="C85:O85"/>
    <mergeCell ref="BP7:CB7"/>
    <mergeCell ref="EP109:FB109"/>
    <mergeCell ref="CC19:CO19"/>
    <mergeCell ref="DP7:EB7"/>
    <mergeCell ref="C97:O97"/>
    <mergeCell ref="BC85:BO85"/>
    <mergeCell ref="EP70:FB70"/>
    <mergeCell ref="EP31:FB31"/>
    <mergeCell ref="FC58:FO58"/>
    <mergeCell ref="C109:O109"/>
    <mergeCell ref="C31:O31"/>
    <mergeCell ref="AP19:BB19"/>
    <mergeCell ref="AC97:AO97"/>
    <mergeCell ref="CC85:CO85"/>
    <mergeCell ref="EP97:FB97"/>
    <mergeCell ref="AC109:AO109"/>
    <mergeCell ref="AC58:AO58"/>
    <mergeCell ref="DC97:DO97"/>
    <mergeCell ref="DC19:DO19"/>
    <mergeCell ref="EP7:FB7"/>
    <mergeCell ref="CP109:DB109"/>
    <mergeCell ref="FC31:FO31"/>
    <mergeCell ref="C46:O46"/>
    <mergeCell ref="AC85:AO85"/>
    <mergeCell ref="C19:O19"/>
    <mergeCell ref="BC19:BO19"/>
    <mergeCell ref="P58:AB58"/>
    <mergeCell ref="AP97:BB97"/>
    <mergeCell ref="DC31:DO31"/>
    <mergeCell ref="BP70:CB70"/>
    <mergeCell ref="B69:FO69"/>
    <mergeCell ref="FC97:FO97"/>
    <mergeCell ref="DP70:EB70"/>
    <mergeCell ref="C58:O58"/>
    <mergeCell ref="B4:FO4"/>
    <mergeCell ref="CP31:DB31"/>
    <mergeCell ref="DP85:EB85"/>
    <mergeCell ref="CP97:DB97"/>
    <mergeCell ref="P7:AB7"/>
    <mergeCell ref="AC19:AO19"/>
    <mergeCell ref="FC46:FO46"/>
    <mergeCell ref="EC97:EO97"/>
    <mergeCell ref="B96:FO96"/>
    <mergeCell ref="AP7:BB7"/>
    <mergeCell ref="CP7:DB7"/>
    <mergeCell ref="CC58:CO58"/>
    <mergeCell ref="DP46:EB46"/>
    <mergeCell ref="EC58:EO58"/>
    <mergeCell ref="B82:FO82"/>
    <mergeCell ref="CC97:CO97"/>
    <mergeCell ref="DC58:DO58"/>
    <mergeCell ref="EP46:FB46"/>
    <mergeCell ref="DP97:EB97"/>
    <mergeCell ref="BC70:BO70"/>
    <mergeCell ref="AP85:BB85"/>
    <mergeCell ref="BP58:CB58"/>
    <mergeCell ref="FC19:FO19"/>
    <mergeCell ref="DP58:EB58"/>
    <mergeCell ref="AC7:AO7"/>
    <mergeCell ref="P85:AB85"/>
    <mergeCell ref="BP85:CB85"/>
    <mergeCell ref="AP58:BB58"/>
    <mergeCell ref="B108:FO108"/>
    <mergeCell ref="EC85:EO85"/>
    <mergeCell ref="DP19:EB19"/>
    <mergeCell ref="P31:AB31"/>
    <mergeCell ref="CP85:DB85"/>
    <mergeCell ref="B30:FO30"/>
    <mergeCell ref="BC7:BO7"/>
    <mergeCell ref="P46:AB46"/>
    <mergeCell ref="DC7:DO7"/>
    <mergeCell ref="B45:FO45"/>
    <mergeCell ref="EC70:EO70"/>
    <mergeCell ref="EC46:EO46"/>
    <mergeCell ref="FC85:FO85"/>
    <mergeCell ref="P70:AB70"/>
    <mergeCell ref="AP31:BB31"/>
    <mergeCell ref="CC70:CO70"/>
    <mergeCell ref="CC7:CO7"/>
    <mergeCell ref="AP46:BB46"/>
    <mergeCell ref="EC7:EO7"/>
    <mergeCell ref="P97:AB97"/>
    <mergeCell ref="BC58:BO58"/>
    <mergeCell ref="CP46:DB46"/>
    <mergeCell ref="EC19:EO19"/>
    <mergeCell ref="AC31:AO31"/>
    <mergeCell ref="BC97:BO97"/>
    <mergeCell ref="B43:FO43"/>
    <mergeCell ref="BC109:BO109"/>
    <mergeCell ref="AC70:AO70"/>
    <mergeCell ref="B57:FO57"/>
    <mergeCell ref="CP19:DB19"/>
    <mergeCell ref="BC46:BO46"/>
    <mergeCell ref="BC31:BO31"/>
    <mergeCell ref="EP19:FB19"/>
    <mergeCell ref="EC109:EO109"/>
    <mergeCell ref="AP109:BB109"/>
    <mergeCell ref="DP109:EB109"/>
    <mergeCell ref="FC109:FO109"/>
    <mergeCell ref="FC70:FO70"/>
    <mergeCell ref="AP70:BB70"/>
    <mergeCell ref="BP31:CB31"/>
    <mergeCell ref="CP70:DB70"/>
    <mergeCell ref="DP31:EB31"/>
    <mergeCell ref="EP85:FB85"/>
    <mergeCell ref="CC46:CO46"/>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365D"/>
  </sheetPr>
  <dimension ref="A1:Z1000"/>
  <sheetViews>
    <sheetView workbookViewId="0"/>
  </sheetViews>
  <sheetFormatPr baseColWidth="10" defaultColWidth="14.44140625" defaultRowHeight="15" customHeight="1"/>
  <cols>
    <col min="1" max="1" width="3" style="101" customWidth="1"/>
    <col min="2" max="2" width="32" style="101" customWidth="1"/>
    <col min="3" max="13" width="16" style="101" customWidth="1"/>
    <col min="14" max="15" width="18" style="101" customWidth="1"/>
    <col min="16" max="26" width="8.88671875" style="101" customWidth="1"/>
  </cols>
  <sheetData>
    <row r="1" spans="1:26" ht="14.2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4.25" customHeight="1">
      <c r="A2" s="10"/>
      <c r="B2" s="17" t="s">
        <v>76</v>
      </c>
      <c r="C2" s="10"/>
      <c r="D2" s="10"/>
      <c r="E2" s="10"/>
      <c r="F2" s="10"/>
      <c r="G2" s="10"/>
      <c r="H2" s="10"/>
      <c r="I2" s="10"/>
      <c r="J2" s="10"/>
      <c r="K2" s="10"/>
      <c r="L2" s="10"/>
      <c r="M2" s="10"/>
      <c r="N2" s="10"/>
      <c r="O2" s="10"/>
      <c r="P2" s="10"/>
      <c r="Q2" s="10"/>
      <c r="R2" s="10"/>
      <c r="S2" s="10"/>
      <c r="T2" s="10"/>
      <c r="U2" s="10"/>
      <c r="V2" s="10"/>
      <c r="W2" s="10"/>
      <c r="X2" s="10"/>
      <c r="Y2" s="10"/>
      <c r="Z2" s="10"/>
    </row>
    <row r="3" spans="1:26" ht="14.25" customHeight="1">
      <c r="A3" s="10"/>
      <c r="B3" s="18" t="s">
        <v>77</v>
      </c>
      <c r="C3" s="10"/>
      <c r="D3" s="10"/>
      <c r="E3" s="10"/>
      <c r="F3" s="10"/>
      <c r="G3" s="10"/>
      <c r="H3" s="10"/>
      <c r="I3" s="10"/>
      <c r="J3" s="10"/>
      <c r="K3" s="10"/>
      <c r="L3" s="10"/>
      <c r="M3" s="10"/>
      <c r="N3" s="10"/>
      <c r="O3" s="10"/>
      <c r="P3" s="10"/>
      <c r="Q3" s="10"/>
      <c r="R3" s="10"/>
      <c r="S3" s="10"/>
      <c r="T3" s="10"/>
      <c r="U3" s="10"/>
      <c r="V3" s="10"/>
      <c r="W3" s="10"/>
      <c r="X3" s="10"/>
      <c r="Y3" s="10"/>
      <c r="Z3" s="10"/>
    </row>
    <row r="4" spans="1:26" ht="14.25" customHeight="1">
      <c r="A4" s="10"/>
      <c r="B4" s="21" t="s">
        <v>78</v>
      </c>
      <c r="C4" s="22">
        <v>2026</v>
      </c>
      <c r="D4" s="119" t="s">
        <v>79</v>
      </c>
      <c r="E4" s="109"/>
      <c r="F4" s="108" t="s">
        <v>80</v>
      </c>
      <c r="G4" s="109"/>
      <c r="H4" s="119" t="s">
        <v>81</v>
      </c>
      <c r="I4" s="109"/>
      <c r="J4" s="117" t="s">
        <v>82</v>
      </c>
      <c r="K4" s="118"/>
      <c r="L4" s="109"/>
      <c r="M4" s="10"/>
      <c r="N4" s="10"/>
      <c r="O4" s="10"/>
      <c r="P4" s="10"/>
      <c r="Q4" s="10"/>
      <c r="R4" s="10"/>
      <c r="S4" s="10"/>
      <c r="T4" s="10"/>
      <c r="U4" s="10"/>
      <c r="V4" s="10"/>
      <c r="W4" s="10"/>
      <c r="X4" s="10"/>
      <c r="Y4" s="10"/>
      <c r="Z4" s="10"/>
    </row>
    <row r="5" spans="1:26" ht="14.2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4.25" customHeight="1">
      <c r="A6" s="10"/>
      <c r="B6" s="110" t="s">
        <v>83</v>
      </c>
      <c r="C6" s="112"/>
      <c r="D6" s="110" t="s">
        <v>84</v>
      </c>
      <c r="E6" s="112"/>
      <c r="F6" s="110" t="s">
        <v>85</v>
      </c>
      <c r="G6" s="112"/>
      <c r="H6" s="110" t="s">
        <v>86</v>
      </c>
      <c r="I6" s="112"/>
      <c r="J6" s="110" t="s">
        <v>87</v>
      </c>
      <c r="K6" s="111"/>
      <c r="L6" s="112"/>
      <c r="M6" s="10"/>
      <c r="N6" s="10"/>
      <c r="O6" s="10"/>
      <c r="P6" s="10"/>
      <c r="Q6" s="10"/>
      <c r="R6" s="10"/>
      <c r="S6" s="10"/>
      <c r="T6" s="10"/>
      <c r="U6" s="10"/>
      <c r="V6" s="10"/>
      <c r="W6" s="10"/>
      <c r="X6" s="10"/>
      <c r="Y6" s="10"/>
      <c r="Z6" s="10"/>
    </row>
    <row r="7" spans="1:26" ht="14.25" customHeight="1">
      <c r="A7" s="10"/>
      <c r="B7" s="113">
        <f>D17</f>
        <v>2710709303</v>
      </c>
      <c r="C7" s="114"/>
      <c r="D7" s="113">
        <f>E17</f>
        <v>2542855698</v>
      </c>
      <c r="E7" s="114"/>
      <c r="F7" s="122">
        <f>F17</f>
        <v>1238260857</v>
      </c>
      <c r="G7" s="114"/>
      <c r="H7" s="116">
        <f>H17</f>
        <v>0.48695679348769716</v>
      </c>
      <c r="I7" s="114"/>
      <c r="J7" s="123">
        <f>G17</f>
        <v>1304594841</v>
      </c>
      <c r="K7" s="105"/>
      <c r="L7" s="114"/>
      <c r="M7" s="10"/>
      <c r="N7" s="10"/>
      <c r="O7" s="10"/>
      <c r="P7" s="10"/>
      <c r="Q7" s="10"/>
      <c r="R7" s="10"/>
      <c r="S7" s="10"/>
      <c r="T7" s="10"/>
      <c r="U7" s="10"/>
      <c r="V7" s="10"/>
      <c r="W7" s="10"/>
      <c r="X7" s="10"/>
      <c r="Y7" s="10"/>
      <c r="Z7" s="10"/>
    </row>
    <row r="8" spans="1:26" ht="14.25" customHeight="1">
      <c r="A8" s="10"/>
      <c r="B8" s="115"/>
      <c r="C8" s="114"/>
      <c r="D8" s="115"/>
      <c r="E8" s="114"/>
      <c r="F8" s="115"/>
      <c r="G8" s="114"/>
      <c r="H8" s="115"/>
      <c r="I8" s="114"/>
      <c r="J8" s="115"/>
      <c r="K8" s="105"/>
      <c r="L8" s="114"/>
      <c r="M8" s="10"/>
      <c r="N8" s="10"/>
      <c r="O8" s="10"/>
      <c r="P8" s="10"/>
      <c r="Q8" s="10"/>
      <c r="R8" s="10"/>
      <c r="S8" s="10"/>
      <c r="T8" s="10"/>
      <c r="U8" s="10"/>
      <c r="V8" s="10"/>
      <c r="W8" s="10"/>
      <c r="X8" s="10"/>
      <c r="Y8" s="10"/>
      <c r="Z8" s="10"/>
    </row>
    <row r="9" spans="1:26" ht="14.25" customHeight="1">
      <c r="A9" s="10"/>
      <c r="B9" s="120" t="s">
        <v>88</v>
      </c>
      <c r="C9" s="121"/>
      <c r="D9" s="120" t="s">
        <v>89</v>
      </c>
      <c r="E9" s="121"/>
      <c r="F9" s="120" t="s">
        <v>90</v>
      </c>
      <c r="G9" s="121"/>
      <c r="H9" s="120" t="s">
        <v>91</v>
      </c>
      <c r="I9" s="121"/>
      <c r="J9" s="120" t="s">
        <v>92</v>
      </c>
      <c r="K9" s="124"/>
      <c r="L9" s="121"/>
      <c r="M9" s="10"/>
      <c r="N9" s="10"/>
      <c r="O9" s="10"/>
      <c r="P9" s="10"/>
      <c r="Q9" s="10"/>
      <c r="R9" s="10"/>
      <c r="S9" s="10"/>
      <c r="T9" s="10"/>
      <c r="U9" s="10"/>
      <c r="V9" s="10"/>
      <c r="W9" s="10"/>
      <c r="X9" s="10"/>
      <c r="Y9" s="10"/>
      <c r="Z9" s="10"/>
    </row>
    <row r="10" spans="1:26" ht="14.2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4.25" customHeight="1">
      <c r="A11" s="10"/>
      <c r="B11" s="23" t="s">
        <v>93</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4.2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4.25" customHeight="1">
      <c r="A13" s="10"/>
      <c r="B13" s="25" t="s">
        <v>94</v>
      </c>
      <c r="C13" s="25" t="s">
        <v>95</v>
      </c>
      <c r="D13" s="25" t="s">
        <v>96</v>
      </c>
      <c r="E13" s="25" t="s">
        <v>97</v>
      </c>
      <c r="F13" s="25" t="s">
        <v>98</v>
      </c>
      <c r="G13" s="25" t="s">
        <v>99</v>
      </c>
      <c r="H13" s="25" t="s">
        <v>100</v>
      </c>
      <c r="I13" s="25" t="s">
        <v>101</v>
      </c>
      <c r="J13" s="10"/>
      <c r="K13" s="10"/>
      <c r="L13" s="10"/>
      <c r="M13" s="10"/>
      <c r="N13" s="10"/>
      <c r="O13" s="10"/>
      <c r="P13" s="10"/>
      <c r="Q13" s="10"/>
      <c r="R13" s="10"/>
      <c r="S13" s="10"/>
      <c r="T13" s="10"/>
      <c r="U13" s="10"/>
      <c r="V13" s="10"/>
      <c r="W13" s="10"/>
      <c r="X13" s="10"/>
      <c r="Y13" s="10"/>
      <c r="Z13" s="10"/>
    </row>
    <row r="14" spans="1:26" ht="14.25" customHeight="1">
      <c r="A14" s="10"/>
      <c r="B14" s="30" t="s">
        <v>2</v>
      </c>
      <c r="C14" s="31" t="s">
        <v>102</v>
      </c>
      <c r="D14" s="32">
        <f t="array" ref="D14">INDEX(MOP_Mes_Corriente!$3:$163, 14, 3 + ($C$4 - 2014)*13 + 12)</f>
        <v>2705505486</v>
      </c>
      <c r="E14" s="32">
        <f t="array" ref="E14">INDEX(MOP_Mes_Corriente!$3:$163, 26, 3 + ($C$4 - 2014)*13 + 12)</f>
        <v>2537552997</v>
      </c>
      <c r="F14" s="32">
        <f t="array" ref="F14">INDEX(MOP_Mes_Corriente!$3:$163, 38, 3 + ($C$4 - 2014)*13 + 12)</f>
        <v>1237018963</v>
      </c>
      <c r="G14" s="32">
        <f>E14 - F14</f>
        <v>1300534034</v>
      </c>
      <c r="H14" s="33">
        <f>IF(E14&gt;0, F14/E14, 0)</f>
        <v>0.48748497645663164</v>
      </c>
      <c r="I14" s="33">
        <f>IF($E$17&gt;0, E14/$E$17, 0)</f>
        <v>0.99791466696117648</v>
      </c>
      <c r="J14" s="10"/>
      <c r="K14" s="10"/>
      <c r="L14" s="10"/>
      <c r="M14" s="10"/>
      <c r="N14" s="10"/>
      <c r="O14" s="10"/>
      <c r="P14" s="10"/>
      <c r="Q14" s="10"/>
      <c r="R14" s="10"/>
      <c r="S14" s="10"/>
      <c r="T14" s="10"/>
      <c r="U14" s="10"/>
      <c r="V14" s="10"/>
      <c r="W14" s="10"/>
      <c r="X14" s="10"/>
      <c r="Y14" s="10"/>
      <c r="Z14" s="10"/>
    </row>
    <row r="15" spans="1:26" ht="14.25" customHeight="1">
      <c r="A15" s="10"/>
      <c r="B15" s="30" t="s">
        <v>103</v>
      </c>
      <c r="C15" s="31" t="s">
        <v>104</v>
      </c>
      <c r="D15" s="32">
        <f t="array" ref="D15">INDEX(MOP_Mes_Corriente!$3:$163, 53, 3 + ($C$4 - 2014)*13 + 12)</f>
        <v>5203817</v>
      </c>
      <c r="E15" s="32">
        <f t="array" ref="E15">INDEX(MOP_Mes_Corriente!$3:$163, 65, 3 + ($C$4 - 2014)*13 + 12)</f>
        <v>5302701</v>
      </c>
      <c r="F15" s="32">
        <f t="array" ref="F15">INDEX(MOP_Mes_Corriente!$3:$163, 77, 3 + ($C$4 - 2014)*13 + 12)</f>
        <v>1241894</v>
      </c>
      <c r="G15" s="32">
        <f>E15 - F15</f>
        <v>4060807</v>
      </c>
      <c r="H15" s="33">
        <f>IF(E15&gt;0, F15/E15, 0)</f>
        <v>0.23420026888183965</v>
      </c>
      <c r="I15" s="33">
        <f>IF($E$17&gt;0, E15/$E$17, 0)</f>
        <v>2.085333038823503E-3</v>
      </c>
      <c r="J15" s="10"/>
      <c r="K15" s="10"/>
      <c r="L15" s="10"/>
      <c r="M15" s="10"/>
      <c r="N15" s="10"/>
      <c r="O15" s="10"/>
      <c r="P15" s="10"/>
      <c r="Q15" s="10"/>
      <c r="R15" s="10"/>
      <c r="S15" s="10"/>
      <c r="T15" s="10"/>
      <c r="U15" s="10"/>
      <c r="V15" s="10"/>
      <c r="W15" s="10"/>
      <c r="X15" s="10"/>
      <c r="Y15" s="10"/>
      <c r="Z15" s="10"/>
    </row>
    <row r="16" spans="1:26" ht="14.25" customHeight="1">
      <c r="A16" s="10"/>
      <c r="B16" s="30" t="s">
        <v>61</v>
      </c>
      <c r="C16" s="31" t="s">
        <v>105</v>
      </c>
      <c r="D16" s="32">
        <f t="array" ref="D16">INDEX(MOP_Mes_Corriente!$3:$163, 92, 3 + ($C$4 - 2014)*13 + 12)</f>
        <v>0</v>
      </c>
      <c r="E16" s="32">
        <f t="array" ref="E16">INDEX(MOP_Mes_Corriente!$3:$163, 104, 3 + ($C$4 - 2014)*13 + 12)</f>
        <v>0</v>
      </c>
      <c r="F16" s="32">
        <f t="array" ref="F16">INDEX(MOP_Mes_Corriente!$3:$163, 116, 3 + ($C$4 - 2014)*13 + 12)</f>
        <v>0</v>
      </c>
      <c r="G16" s="32">
        <f>E16 - F16</f>
        <v>0</v>
      </c>
      <c r="H16" s="33">
        <f>IF(E16&gt;0, F16/E16, 0)</f>
        <v>0</v>
      </c>
      <c r="I16" s="33">
        <f>IF($E$17&gt;0, E16/$E$17, 0)</f>
        <v>0</v>
      </c>
      <c r="J16" s="10"/>
      <c r="K16" s="10"/>
      <c r="L16" s="10"/>
      <c r="M16" s="10"/>
      <c r="N16" s="10"/>
      <c r="O16" s="10"/>
      <c r="P16" s="10"/>
      <c r="Q16" s="10"/>
      <c r="R16" s="10"/>
      <c r="S16" s="10"/>
      <c r="T16" s="10"/>
      <c r="U16" s="10"/>
      <c r="V16" s="10"/>
      <c r="W16" s="10"/>
      <c r="X16" s="10"/>
      <c r="Y16" s="10"/>
      <c r="Z16" s="10"/>
    </row>
    <row r="17" spans="1:26" ht="14.25" customHeight="1">
      <c r="A17" s="10"/>
      <c r="B17" s="34" t="s">
        <v>106</v>
      </c>
      <c r="C17" s="35" t="s">
        <v>107</v>
      </c>
      <c r="D17" s="36">
        <f>SUM(D14:D16)</f>
        <v>2710709303</v>
      </c>
      <c r="E17" s="36">
        <f>SUM(E14:E16)</f>
        <v>2542855698</v>
      </c>
      <c r="F17" s="36">
        <f>SUM(F14:F16)</f>
        <v>1238260857</v>
      </c>
      <c r="G17" s="36">
        <f>E17 - F17</f>
        <v>1304594841</v>
      </c>
      <c r="H17" s="37">
        <f>IF(E17&gt;0, F17/E17, 0)</f>
        <v>0.48695679348769716</v>
      </c>
      <c r="I17" s="37">
        <f>SUM(I14:I16)</f>
        <v>1</v>
      </c>
      <c r="J17" s="10"/>
      <c r="K17" s="10"/>
      <c r="L17" s="10"/>
      <c r="M17" s="10"/>
      <c r="N17" s="10"/>
      <c r="O17" s="10"/>
      <c r="P17" s="10"/>
      <c r="Q17" s="10"/>
      <c r="R17" s="10"/>
      <c r="S17" s="10"/>
      <c r="T17" s="10"/>
      <c r="U17" s="10"/>
      <c r="V17" s="10"/>
      <c r="W17" s="10"/>
      <c r="X17" s="10"/>
      <c r="Y17" s="10"/>
      <c r="Z17" s="10"/>
    </row>
    <row r="18" spans="1:26" ht="14.2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4.25" customHeight="1">
      <c r="A19" s="10"/>
      <c r="B19" s="23" t="s">
        <v>108</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4.2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4.25" customHeight="1">
      <c r="A21" s="10"/>
      <c r="B21" s="39" t="s">
        <v>109</v>
      </c>
      <c r="C21" s="39" t="s">
        <v>110</v>
      </c>
      <c r="D21" s="39" t="s">
        <v>111</v>
      </c>
      <c r="E21" s="39" t="s">
        <v>112</v>
      </c>
      <c r="F21" s="39" t="s">
        <v>113</v>
      </c>
      <c r="G21" s="39" t="s">
        <v>114</v>
      </c>
      <c r="H21" s="39" t="s">
        <v>115</v>
      </c>
      <c r="I21" s="39" t="s">
        <v>116</v>
      </c>
      <c r="J21" s="39" t="s">
        <v>117</v>
      </c>
      <c r="K21" s="39" t="s">
        <v>118</v>
      </c>
      <c r="L21" s="39" t="s">
        <v>100</v>
      </c>
      <c r="M21" s="39" t="s">
        <v>119</v>
      </c>
      <c r="N21" s="10"/>
      <c r="O21" s="10"/>
      <c r="P21" s="10"/>
      <c r="Q21" s="10"/>
      <c r="R21" s="10"/>
      <c r="S21" s="10"/>
      <c r="T21" s="10"/>
      <c r="U21" s="10"/>
      <c r="V21" s="10"/>
      <c r="W21" s="10"/>
      <c r="X21" s="10"/>
      <c r="Y21" s="10"/>
      <c r="Z21" s="10"/>
    </row>
    <row r="22" spans="1:26" ht="14.25" customHeight="1">
      <c r="A22" s="10"/>
      <c r="B22" s="30" t="s">
        <v>43</v>
      </c>
      <c r="C22" s="32">
        <f t="array" ref="C22">INDEX(MOP_Mes_Corriente!$3:$163, 20, 3 + ($C$4 - 2014)*13 + 12)</f>
        <v>1801311962</v>
      </c>
      <c r="D22" s="32">
        <f t="array" ref="D22">INDEX(MOP_Mes_Corriente!$3:$163, 32, 3 + ($C$4 - 2014)*13 + 12)</f>
        <v>909487841</v>
      </c>
      <c r="E22" s="32">
        <f t="array" ref="E22">INDEX(MOP_Mes_Corriente!$3:$163, 59, 3 + ($C$4 - 2014)*13 + 12)</f>
        <v>1551066</v>
      </c>
      <c r="F22" s="32">
        <f t="array" ref="F22">INDEX(MOP_Mes_Corriente!$3:$163, 71, 3 + ($C$4 - 2014)*13 + 12)</f>
        <v>4001</v>
      </c>
      <c r="G22" s="32">
        <f t="array" ref="G22">INDEX(MOP_Mes_Corriente!$3:$163, 98, 3 + ($C$4 - 2014)*13 + 12)</f>
        <v>0</v>
      </c>
      <c r="H22" s="32">
        <f t="array" ref="H22">INDEX(MOP_Mes_Corriente!$3:$163, 110, 3 + ($C$4 - 2014)*13 + 12)</f>
        <v>0</v>
      </c>
      <c r="I22" s="32">
        <f t="shared" ref="I22:J27" si="0">C22 + E22 + G22</f>
        <v>1802863028</v>
      </c>
      <c r="J22" s="32">
        <f t="shared" si="0"/>
        <v>909491842</v>
      </c>
      <c r="K22" s="32">
        <f t="shared" ref="K22:K27" si="1">I22 - J22</f>
        <v>893371186</v>
      </c>
      <c r="L22" s="33">
        <f t="shared" ref="L22:L28" si="2">IF(I22&gt;0, J22/I22, 0)</f>
        <v>0.50447084879706128</v>
      </c>
      <c r="M22" s="33">
        <f t="shared" ref="M22:M27" si="3">IF($I$28&gt;0, I22/$I$28, 0)</f>
        <v>0.70899148127751921</v>
      </c>
      <c r="N22" s="10"/>
      <c r="O22" s="10"/>
      <c r="P22" s="10"/>
      <c r="Q22" s="10"/>
      <c r="R22" s="10"/>
      <c r="S22" s="10"/>
      <c r="T22" s="10"/>
      <c r="U22" s="10"/>
      <c r="V22" s="10"/>
      <c r="W22" s="10"/>
      <c r="X22" s="10"/>
      <c r="Y22" s="10"/>
      <c r="Z22" s="10"/>
    </row>
    <row r="23" spans="1:26" ht="14.25" customHeight="1">
      <c r="A23" s="10"/>
      <c r="B23" s="40" t="s">
        <v>44</v>
      </c>
      <c r="C23" s="41">
        <f t="array" ref="C23">INDEX(MOP_Mes_Corriente!$3:$163, 21, 3 + ($C$4 - 2014)*13 + 12)</f>
        <v>202307917</v>
      </c>
      <c r="D23" s="41">
        <f t="array" ref="D23">INDEX(MOP_Mes_Corriente!$3:$163, 33, 3 + ($C$4 - 2014)*13 + 12)</f>
        <v>73650703</v>
      </c>
      <c r="E23" s="41">
        <f t="array" ref="E23">INDEX(MOP_Mes_Corriente!$3:$163, 60, 3 + ($C$4 - 2014)*13 + 12)</f>
        <v>517480</v>
      </c>
      <c r="F23" s="41">
        <f t="array" ref="F23">INDEX(MOP_Mes_Corriente!$3:$163, 72, 3 + ($C$4 - 2014)*13 + 12)</f>
        <v>452929</v>
      </c>
      <c r="G23" s="41">
        <f t="array" ref="G23">INDEX(MOP_Mes_Corriente!$3:$163, 99, 3 + ($C$4 - 2014)*13 + 12)</f>
        <v>0</v>
      </c>
      <c r="H23" s="41">
        <f t="array" ref="H23">INDEX(MOP_Mes_Corriente!$3:$163, 111, 3 + ($C$4 - 2014)*13 + 12)</f>
        <v>0</v>
      </c>
      <c r="I23" s="41">
        <f t="shared" si="0"/>
        <v>202825397</v>
      </c>
      <c r="J23" s="41">
        <f t="shared" si="0"/>
        <v>74103632</v>
      </c>
      <c r="K23" s="41">
        <f t="shared" si="1"/>
        <v>128721765</v>
      </c>
      <c r="L23" s="42">
        <f t="shared" si="2"/>
        <v>0.36535677038512093</v>
      </c>
      <c r="M23" s="42">
        <f t="shared" si="3"/>
        <v>7.9762841894459716E-2</v>
      </c>
      <c r="N23" s="10"/>
      <c r="O23" s="10"/>
      <c r="P23" s="10"/>
      <c r="Q23" s="10"/>
      <c r="R23" s="10"/>
      <c r="S23" s="10"/>
      <c r="T23" s="10"/>
      <c r="U23" s="10"/>
      <c r="V23" s="10"/>
      <c r="W23" s="10"/>
      <c r="X23" s="10"/>
      <c r="Y23" s="10"/>
      <c r="Z23" s="10"/>
    </row>
    <row r="24" spans="1:26" ht="14.25" customHeight="1">
      <c r="A24" s="10"/>
      <c r="B24" s="30" t="s">
        <v>45</v>
      </c>
      <c r="C24" s="32">
        <f t="array" ref="C24">INDEX(MOP_Mes_Corriente!$3:$163, 22, 3 + ($C$4 - 2014)*13 + 12)</f>
        <v>273410383</v>
      </c>
      <c r="D24" s="32">
        <f t="array" ref="D24">INDEX(MOP_Mes_Corriente!$3:$163, 34, 3 + ($C$4 - 2014)*13 + 12)</f>
        <v>119758712</v>
      </c>
      <c r="E24" s="32">
        <f t="array" ref="E24">INDEX(MOP_Mes_Corriente!$3:$163, 61, 3 + ($C$4 - 2014)*13 + 12)</f>
        <v>488932</v>
      </c>
      <c r="F24" s="32">
        <f t="array" ref="F24">INDEX(MOP_Mes_Corriente!$3:$163, 73, 3 + ($C$4 - 2014)*13 + 12)</f>
        <v>409008</v>
      </c>
      <c r="G24" s="32">
        <f t="array" ref="G24">INDEX(MOP_Mes_Corriente!$3:$163, 100, 3 + ($C$4 - 2014)*13 + 12)</f>
        <v>0</v>
      </c>
      <c r="H24" s="32">
        <f t="array" ref="H24">INDEX(MOP_Mes_Corriente!$3:$163, 112, 3 + ($C$4 - 2014)*13 + 12)</f>
        <v>0</v>
      </c>
      <c r="I24" s="32">
        <f t="shared" si="0"/>
        <v>273899315</v>
      </c>
      <c r="J24" s="32">
        <f t="shared" si="0"/>
        <v>120167720</v>
      </c>
      <c r="K24" s="32">
        <f t="shared" si="1"/>
        <v>153731595</v>
      </c>
      <c r="L24" s="33">
        <f t="shared" si="2"/>
        <v>0.43872953826116723</v>
      </c>
      <c r="M24" s="33">
        <f t="shared" si="3"/>
        <v>0.10771327496696984</v>
      </c>
      <c r="N24" s="10"/>
      <c r="O24" s="10"/>
      <c r="P24" s="10"/>
      <c r="Q24" s="10"/>
      <c r="R24" s="10"/>
      <c r="S24" s="10"/>
      <c r="T24" s="10"/>
      <c r="U24" s="10"/>
      <c r="V24" s="10"/>
      <c r="W24" s="10"/>
      <c r="X24" s="10"/>
      <c r="Y24" s="10"/>
      <c r="Z24" s="10"/>
    </row>
    <row r="25" spans="1:26" ht="14.25" customHeight="1">
      <c r="A25" s="10"/>
      <c r="B25" s="40" t="s">
        <v>46</v>
      </c>
      <c r="C25" s="41">
        <f t="array" ref="C25">INDEX(MOP_Mes_Corriente!$3:$163, 23, 3 + ($C$4 - 2014)*13 + 12)</f>
        <v>106612399</v>
      </c>
      <c r="D25" s="41">
        <f t="array" ref="D25">INDEX(MOP_Mes_Corriente!$3:$163, 35, 3 + ($C$4 - 2014)*13 + 12)</f>
        <v>65221155</v>
      </c>
      <c r="E25" s="41">
        <f t="array" ref="E25">INDEX(MOP_Mes_Corriente!$3:$163, 62, 3 + ($C$4 - 2014)*13 + 12)</f>
        <v>2071102</v>
      </c>
      <c r="F25" s="41">
        <f t="array" ref="F25">INDEX(MOP_Mes_Corriente!$3:$163, 74, 3 + ($C$4 - 2014)*13 + 12)</f>
        <v>161164</v>
      </c>
      <c r="G25" s="41">
        <f t="array" ref="G25">INDEX(MOP_Mes_Corriente!$3:$163, 101, 3 + ($C$4 - 2014)*13 + 12)</f>
        <v>0</v>
      </c>
      <c r="H25" s="41">
        <f t="array" ref="H25">INDEX(MOP_Mes_Corriente!$3:$163, 113, 3 + ($C$4 - 2014)*13 + 12)</f>
        <v>0</v>
      </c>
      <c r="I25" s="41">
        <f t="shared" si="0"/>
        <v>108683501</v>
      </c>
      <c r="J25" s="41">
        <f t="shared" si="0"/>
        <v>65382319</v>
      </c>
      <c r="K25" s="41">
        <f t="shared" si="1"/>
        <v>43301182</v>
      </c>
      <c r="L25" s="42">
        <f t="shared" si="2"/>
        <v>0.60158458642218382</v>
      </c>
      <c r="M25" s="42">
        <f t="shared" si="3"/>
        <v>4.2740726925826526E-2</v>
      </c>
      <c r="N25" s="10"/>
      <c r="O25" s="10"/>
      <c r="P25" s="10"/>
      <c r="Q25" s="10"/>
      <c r="R25" s="10"/>
      <c r="S25" s="10"/>
      <c r="T25" s="10"/>
      <c r="U25" s="10"/>
      <c r="V25" s="10"/>
      <c r="W25" s="10"/>
      <c r="X25" s="10"/>
      <c r="Y25" s="10"/>
      <c r="Z25" s="10"/>
    </row>
    <row r="26" spans="1:26" ht="14.25" customHeight="1">
      <c r="A26" s="10"/>
      <c r="B26" s="30" t="s">
        <v>47</v>
      </c>
      <c r="C26" s="32">
        <f t="array" ref="C26">INDEX(MOP_Mes_Corriente!$3:$163, 24, 3 + ($C$4 - 2014)*13 + 12)</f>
        <v>124345173</v>
      </c>
      <c r="D26" s="32">
        <f t="array" ref="D26">INDEX(MOP_Mes_Corriente!$3:$163, 36, 3 + ($C$4 - 2014)*13 + 12)</f>
        <v>55356746</v>
      </c>
      <c r="E26" s="32">
        <f t="array" ref="E26">INDEX(MOP_Mes_Corriente!$3:$163, 63, 3 + ($C$4 - 2014)*13 + 12)</f>
        <v>292976</v>
      </c>
      <c r="F26" s="32">
        <f t="array" ref="F26">INDEX(MOP_Mes_Corriente!$3:$163, 75, 3 + ($C$4 - 2014)*13 + 12)</f>
        <v>127454</v>
      </c>
      <c r="G26" s="32">
        <f t="array" ref="G26">INDEX(MOP_Mes_Corriente!$3:$163, 102, 3 + ($C$4 - 2014)*13 + 12)</f>
        <v>0</v>
      </c>
      <c r="H26" s="32">
        <f t="array" ref="H26">INDEX(MOP_Mes_Corriente!$3:$163, 114, 3 + ($C$4 - 2014)*13 + 12)</f>
        <v>0</v>
      </c>
      <c r="I26" s="32">
        <f t="shared" si="0"/>
        <v>124638149</v>
      </c>
      <c r="J26" s="32">
        <f t="shared" si="0"/>
        <v>55484200</v>
      </c>
      <c r="K26" s="32">
        <f t="shared" si="1"/>
        <v>69153949</v>
      </c>
      <c r="L26" s="33">
        <f t="shared" si="2"/>
        <v>0.4451622592694312</v>
      </c>
      <c r="M26" s="33">
        <f t="shared" si="3"/>
        <v>4.9015030266180683E-2</v>
      </c>
      <c r="N26" s="10"/>
      <c r="O26" s="10"/>
      <c r="P26" s="10"/>
      <c r="Q26" s="10"/>
      <c r="R26" s="10"/>
      <c r="S26" s="10"/>
      <c r="T26" s="10"/>
      <c r="U26" s="10"/>
      <c r="V26" s="10"/>
      <c r="W26" s="10"/>
      <c r="X26" s="10"/>
      <c r="Y26" s="10"/>
      <c r="Z26" s="10"/>
    </row>
    <row r="27" spans="1:26" ht="14.25" customHeight="1">
      <c r="A27" s="10"/>
      <c r="B27" s="40" t="s">
        <v>48</v>
      </c>
      <c r="C27" s="41">
        <f t="array" ref="C27">INDEX(MOP_Mes_Corriente!$3:$163, 25, 3 + ($C$4 - 2014)*13 + 12)</f>
        <v>29565163</v>
      </c>
      <c r="D27" s="41">
        <f t="array" ref="D27">INDEX(MOP_Mes_Corriente!$3:$163, 37, 3 + ($C$4 - 2014)*13 + 12)</f>
        <v>13543806</v>
      </c>
      <c r="E27" s="41">
        <f t="array" ref="E27">INDEX(MOP_Mes_Corriente!$3:$163, 64, 3 + ($C$4 - 2014)*13 + 12)</f>
        <v>381145</v>
      </c>
      <c r="F27" s="41">
        <f t="array" ref="F27">INDEX(MOP_Mes_Corriente!$3:$163, 76, 3 + ($C$4 - 2014)*13 + 12)</f>
        <v>87338</v>
      </c>
      <c r="G27" s="41">
        <f t="array" ref="G27">INDEX(MOP_Mes_Corriente!$3:$163, 103, 3 + ($C$4 - 2014)*13 + 12)</f>
        <v>0</v>
      </c>
      <c r="H27" s="41">
        <f t="array" ref="H27">INDEX(MOP_Mes_Corriente!$3:$163, 115, 3 + ($C$4 - 2014)*13 + 12)</f>
        <v>0</v>
      </c>
      <c r="I27" s="41">
        <f t="shared" si="0"/>
        <v>29946308</v>
      </c>
      <c r="J27" s="41">
        <f t="shared" si="0"/>
        <v>13631144</v>
      </c>
      <c r="K27" s="41">
        <f t="shared" si="1"/>
        <v>16315164</v>
      </c>
      <c r="L27" s="42">
        <f t="shared" si="2"/>
        <v>0.4551861284536311</v>
      </c>
      <c r="M27" s="42">
        <f t="shared" si="3"/>
        <v>1.1776644669044056E-2</v>
      </c>
      <c r="N27" s="10"/>
      <c r="O27" s="10"/>
      <c r="P27" s="10"/>
      <c r="Q27" s="10"/>
      <c r="R27" s="10"/>
      <c r="S27" s="10"/>
      <c r="T27" s="10"/>
      <c r="U27" s="10"/>
      <c r="V27" s="10"/>
      <c r="W27" s="10"/>
      <c r="X27" s="10"/>
      <c r="Y27" s="10"/>
      <c r="Z27" s="10"/>
    </row>
    <row r="28" spans="1:26" ht="14.25" customHeight="1">
      <c r="A28" s="10"/>
      <c r="B28" s="34" t="s">
        <v>120</v>
      </c>
      <c r="C28" s="36">
        <f t="shared" ref="C28:K28" si="4">SUM(C22:C27)</f>
        <v>2537552997</v>
      </c>
      <c r="D28" s="36">
        <f t="shared" si="4"/>
        <v>1237018963</v>
      </c>
      <c r="E28" s="36">
        <f t="shared" si="4"/>
        <v>5302701</v>
      </c>
      <c r="F28" s="36">
        <f t="shared" si="4"/>
        <v>1241894</v>
      </c>
      <c r="G28" s="36">
        <f t="shared" si="4"/>
        <v>0</v>
      </c>
      <c r="H28" s="36">
        <f t="shared" si="4"/>
        <v>0</v>
      </c>
      <c r="I28" s="36">
        <f t="shared" si="4"/>
        <v>2542855698</v>
      </c>
      <c r="J28" s="36">
        <f t="shared" si="4"/>
        <v>1238260857</v>
      </c>
      <c r="K28" s="36">
        <f t="shared" si="4"/>
        <v>1304594841</v>
      </c>
      <c r="L28" s="37">
        <f t="shared" si="2"/>
        <v>0.48695679348769716</v>
      </c>
      <c r="M28" s="37">
        <f>SUM(M22:M27)</f>
        <v>1</v>
      </c>
      <c r="N28" s="10"/>
      <c r="O28" s="10"/>
      <c r="P28" s="10"/>
      <c r="Q28" s="10"/>
      <c r="R28" s="10"/>
      <c r="S28" s="10"/>
      <c r="T28" s="10"/>
      <c r="U28" s="10"/>
      <c r="V28" s="10"/>
      <c r="W28" s="10"/>
      <c r="X28" s="10"/>
      <c r="Y28" s="10"/>
      <c r="Z28" s="10"/>
    </row>
    <row r="29" spans="1:26" ht="14.2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4.25" customHeight="1">
      <c r="A30" s="10"/>
      <c r="B30" s="23" t="s">
        <v>121</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4.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4.25" customHeight="1">
      <c r="A32" s="10"/>
      <c r="B32" s="43" t="s">
        <v>122</v>
      </c>
      <c r="C32" s="43" t="s">
        <v>18</v>
      </c>
      <c r="D32" s="43" t="s">
        <v>19</v>
      </c>
      <c r="E32" s="43" t="s">
        <v>20</v>
      </c>
      <c r="F32" s="43" t="s">
        <v>21</v>
      </c>
      <c r="G32" s="43" t="s">
        <v>22</v>
      </c>
      <c r="H32" s="43" t="s">
        <v>23</v>
      </c>
      <c r="I32" s="43" t="s">
        <v>24</v>
      </c>
      <c r="J32" s="43" t="s">
        <v>25</v>
      </c>
      <c r="K32" s="43" t="s">
        <v>26</v>
      </c>
      <c r="L32" s="43" t="s">
        <v>27</v>
      </c>
      <c r="M32" s="43" t="s">
        <v>28</v>
      </c>
      <c r="N32" s="43" t="s">
        <v>29</v>
      </c>
      <c r="O32" s="43" t="s">
        <v>123</v>
      </c>
      <c r="P32" s="10"/>
      <c r="Q32" s="10"/>
      <c r="R32" s="10"/>
      <c r="S32" s="10"/>
      <c r="T32" s="10"/>
      <c r="U32" s="10"/>
      <c r="V32" s="10"/>
      <c r="W32" s="10"/>
      <c r="X32" s="10"/>
      <c r="Y32" s="10"/>
      <c r="Z32" s="10"/>
    </row>
    <row r="33" spans="1:26" ht="14.25" customHeight="1">
      <c r="A33" s="10"/>
      <c r="B33" s="30" t="s">
        <v>96</v>
      </c>
      <c r="C33" s="32">
        <f t="array" ref="C33">INDEX(MOP_Mes_Corriente!$3:$163, 14, 3 + ($C$4 - 2014)*13 + 0) + INDEX(MOP_Mes_Corriente!$3:$163, 53, 3 + ($C$4 - 2014)*13 + 0) + INDEX(MOP_Mes_Corriente!$3:$163, 92, 3 + ($C$4 - 2014)*13 + 0)</f>
        <v>2710709303</v>
      </c>
      <c r="D33" s="32">
        <f t="array" ref="D33">INDEX(MOP_Mes_Corriente!$3:$163, 14, 3 + ($C$4 - 2014)*13 + 1) + INDEX(MOP_Mes_Corriente!$3:$163, 53, 3 + ($C$4 - 2014)*13 + 1) + INDEX(MOP_Mes_Corriente!$3:$163, 92, 3 + ($C$4 - 2014)*13 + 1)</f>
        <v>2710709303</v>
      </c>
      <c r="E33" s="32">
        <f t="array" ref="E33">INDEX(MOP_Mes_Corriente!$3:$163, 14, 3 + ($C$4 - 2014)*13 + 2) + INDEX(MOP_Mes_Corriente!$3:$163, 53, 3 + ($C$4 - 2014)*13 + 2) + INDEX(MOP_Mes_Corriente!$3:$163, 92, 3 + ($C$4 - 2014)*13 + 2)</f>
        <v>2710709303</v>
      </c>
      <c r="F33" s="32">
        <f t="array" ref="F33">INDEX(MOP_Mes_Corriente!$3:$163, 14, 3 + ($C$4 - 2014)*13 + 3) + INDEX(MOP_Mes_Corriente!$3:$163, 53, 3 + ($C$4 - 2014)*13 + 3) + INDEX(MOP_Mes_Corriente!$3:$163, 92, 3 + ($C$4 - 2014)*13 + 3)</f>
        <v>2710709303</v>
      </c>
      <c r="G33" s="32">
        <f t="array" ref="G33">INDEX(MOP_Mes_Corriente!$3:$163, 14, 3 + ($C$4 - 2014)*13 + 4) + INDEX(MOP_Mes_Corriente!$3:$163, 53, 3 + ($C$4 - 2014)*13 + 4) + INDEX(MOP_Mes_Corriente!$3:$163, 92, 3 + ($C$4 - 2014)*13 + 4)</f>
        <v>2710709303</v>
      </c>
      <c r="H33" s="32">
        <f t="array" ref="H33">INDEX(MOP_Mes_Corriente!$3:$163, 14, 3 + ($C$4 - 2014)*13 + 5) + INDEX(MOP_Mes_Corriente!$3:$163, 53, 3 + ($C$4 - 2014)*13 + 5) + INDEX(MOP_Mes_Corriente!$3:$163, 92, 3 + ($C$4 - 2014)*13 + 5)</f>
        <v>2710709303</v>
      </c>
      <c r="I33" s="32">
        <f t="array" ref="I33">INDEX(MOP_Mes_Corriente!$3:$163, 14, 3 + ($C$4 - 2014)*13 + 6) + INDEX(MOP_Mes_Corriente!$3:$163, 53, 3 + ($C$4 - 2014)*13 + 6) + INDEX(MOP_Mes_Corriente!$3:$163, 92, 3 + ($C$4 - 2014)*13 + 6)</f>
        <v>2710709303</v>
      </c>
      <c r="J33" s="32">
        <f t="array" ref="J33">INDEX(MOP_Mes_Corriente!$3:$163, 14, 3 + ($C$4 - 2014)*13 + 7) + INDEX(MOP_Mes_Corriente!$3:$163, 53, 3 + ($C$4 - 2014)*13 + 7) + INDEX(MOP_Mes_Corriente!$3:$163, 92, 3 + ($C$4 - 2014)*13 + 7)</f>
        <v>0</v>
      </c>
      <c r="K33" s="32">
        <f t="array" ref="K33">INDEX(MOP_Mes_Corriente!$3:$163, 14, 3 + ($C$4 - 2014)*13 + 8) + INDEX(MOP_Mes_Corriente!$3:$163, 53, 3 + ($C$4 - 2014)*13 + 8) + INDEX(MOP_Mes_Corriente!$3:$163, 92, 3 + ($C$4 - 2014)*13 + 8)</f>
        <v>0</v>
      </c>
      <c r="L33" s="32">
        <f t="array" ref="L33">INDEX(MOP_Mes_Corriente!$3:$163, 14, 3 + ($C$4 - 2014)*13 + 9) + INDEX(MOP_Mes_Corriente!$3:$163, 53, 3 + ($C$4 - 2014)*13 + 9) + INDEX(MOP_Mes_Corriente!$3:$163, 92, 3 + ($C$4 - 2014)*13 + 9)</f>
        <v>0</v>
      </c>
      <c r="M33" s="32">
        <f t="array" ref="M33">INDEX(MOP_Mes_Corriente!$3:$163, 14, 3 + ($C$4 - 2014)*13 + 10) + INDEX(MOP_Mes_Corriente!$3:$163, 53, 3 + ($C$4 - 2014)*13 + 10) + INDEX(MOP_Mes_Corriente!$3:$163, 92, 3 + ($C$4 - 2014)*13 + 10)</f>
        <v>0</v>
      </c>
      <c r="N33" s="32">
        <f t="array" ref="N33">INDEX(MOP_Mes_Corriente!$3:$163, 14, 3 + ($C$4 - 2014)*13 + 11) + INDEX(MOP_Mes_Corriente!$3:$163, 53, 3 + ($C$4 - 2014)*13 + 11) + INDEX(MOP_Mes_Corriente!$3:$163, 92, 3 + ($C$4 - 2014)*13 + 11)</f>
        <v>0</v>
      </c>
      <c r="O33" s="44">
        <f t="array" ref="O33">INDEX(MOP_Mes_Corriente!$3:$163, 14, 3 + ($C$4 - 2014)*13 + 12) + INDEX(MOP_Mes_Corriente!$3:$163, 53, 3 + ($C$4 - 2014)*13 + 12) + INDEX(MOP_Mes_Corriente!$3:$163, 92, 3 + ($C$4 - 2014)*13 + 12)</f>
        <v>2710709303</v>
      </c>
      <c r="P33" s="10"/>
      <c r="Q33" s="10"/>
      <c r="R33" s="10"/>
      <c r="S33" s="10"/>
      <c r="T33" s="10"/>
      <c r="U33" s="10"/>
      <c r="V33" s="10"/>
      <c r="W33" s="10"/>
      <c r="X33" s="10"/>
      <c r="Y33" s="10"/>
      <c r="Z33" s="10"/>
    </row>
    <row r="34" spans="1:26" ht="14.25" customHeight="1">
      <c r="A34" s="10"/>
      <c r="B34" s="30" t="s">
        <v>97</v>
      </c>
      <c r="C34" s="32">
        <f t="array" ref="C34">INDEX(MOP_Mes_Corriente!$3:$163, 26, 3 + ($C$4 - 2014)*13 + 0) + INDEX(MOP_Mes_Corriente!$3:$163, 65, 3 + ($C$4 - 2014)*13 + 0) + INDEX(MOP_Mes_Corriente!$3:$163, 104, 3 + ($C$4 - 2014)*13 + 0)</f>
        <v>2710709303</v>
      </c>
      <c r="D34" s="32">
        <f t="array" ref="D34">INDEX(MOP_Mes_Corriente!$3:$163, 26, 3 + ($C$4 - 2014)*13 + 1) + INDEX(MOP_Mes_Corriente!$3:$163, 65, 3 + ($C$4 - 2014)*13 + 1) + INDEX(MOP_Mes_Corriente!$3:$163, 104, 3 + ($C$4 - 2014)*13 + 1)</f>
        <v>2710709303</v>
      </c>
      <c r="E34" s="32">
        <f t="array" ref="E34">INDEX(MOP_Mes_Corriente!$3:$163, 26, 3 + ($C$4 - 2014)*13 + 2) + INDEX(MOP_Mes_Corriente!$3:$163, 65, 3 + ($C$4 - 2014)*13 + 2) + INDEX(MOP_Mes_Corriente!$3:$163, 104, 3 + ($C$4 - 2014)*13 + 2)</f>
        <v>2653421266</v>
      </c>
      <c r="F34" s="32">
        <f t="array" ref="F34">INDEX(MOP_Mes_Corriente!$3:$163, 26, 3 + ($C$4 - 2014)*13 + 3) + INDEX(MOP_Mes_Corriente!$3:$163, 65, 3 + ($C$4 - 2014)*13 + 3) + INDEX(MOP_Mes_Corriente!$3:$163, 104, 3 + ($C$4 - 2014)*13 + 3)</f>
        <v>2653421266</v>
      </c>
      <c r="G34" s="32">
        <f t="array" ref="G34">INDEX(MOP_Mes_Corriente!$3:$163, 26, 3 + ($C$4 - 2014)*13 + 4) + INDEX(MOP_Mes_Corriente!$3:$163, 65, 3 + ($C$4 - 2014)*13 + 4) + INDEX(MOP_Mes_Corriente!$3:$163, 104, 3 + ($C$4 - 2014)*13 + 4)</f>
        <v>2543410698</v>
      </c>
      <c r="H34" s="32">
        <f t="array" ref="H34">INDEX(MOP_Mes_Corriente!$3:$163, 26, 3 + ($C$4 - 2014)*13 + 5) + INDEX(MOP_Mes_Corriente!$3:$163, 65, 3 + ($C$4 - 2014)*13 + 5) + INDEX(MOP_Mes_Corriente!$3:$163, 104, 3 + ($C$4 - 2014)*13 + 5)</f>
        <v>2542855698</v>
      </c>
      <c r="I34" s="32">
        <f t="array" ref="I34">INDEX(MOP_Mes_Corriente!$3:$163, 26, 3 + ($C$4 - 2014)*13 + 6) + INDEX(MOP_Mes_Corriente!$3:$163, 65, 3 + ($C$4 - 2014)*13 + 6) + INDEX(MOP_Mes_Corriente!$3:$163, 104, 3 + ($C$4 - 2014)*13 + 6)</f>
        <v>2542855698</v>
      </c>
      <c r="J34" s="32">
        <f t="array" ref="J34">INDEX(MOP_Mes_Corriente!$3:$163, 26, 3 + ($C$4 - 2014)*13 + 7) + INDEX(MOP_Mes_Corriente!$3:$163, 65, 3 + ($C$4 - 2014)*13 + 7) + INDEX(MOP_Mes_Corriente!$3:$163, 104, 3 + ($C$4 - 2014)*13 + 7)</f>
        <v>0</v>
      </c>
      <c r="K34" s="32">
        <f t="array" ref="K34">INDEX(MOP_Mes_Corriente!$3:$163, 26, 3 + ($C$4 - 2014)*13 + 8) + INDEX(MOP_Mes_Corriente!$3:$163, 65, 3 + ($C$4 - 2014)*13 + 8) + INDEX(MOP_Mes_Corriente!$3:$163, 104, 3 + ($C$4 - 2014)*13 + 8)</f>
        <v>0</v>
      </c>
      <c r="L34" s="32">
        <f t="array" ref="L34">INDEX(MOP_Mes_Corriente!$3:$163, 26, 3 + ($C$4 - 2014)*13 + 9) + INDEX(MOP_Mes_Corriente!$3:$163, 65, 3 + ($C$4 - 2014)*13 + 9) + INDEX(MOP_Mes_Corriente!$3:$163, 104, 3 + ($C$4 - 2014)*13 + 9)</f>
        <v>0</v>
      </c>
      <c r="M34" s="32">
        <f t="array" ref="M34">INDEX(MOP_Mes_Corriente!$3:$163, 26, 3 + ($C$4 - 2014)*13 + 10) + INDEX(MOP_Mes_Corriente!$3:$163, 65, 3 + ($C$4 - 2014)*13 + 10) + INDEX(MOP_Mes_Corriente!$3:$163, 104, 3 + ($C$4 - 2014)*13 + 10)</f>
        <v>0</v>
      </c>
      <c r="N34" s="32">
        <f t="array" ref="N34">INDEX(MOP_Mes_Corriente!$3:$163, 26, 3 + ($C$4 - 2014)*13 + 11) + INDEX(MOP_Mes_Corriente!$3:$163, 65, 3 + ($C$4 - 2014)*13 + 11) + INDEX(MOP_Mes_Corriente!$3:$163, 104, 3 + ($C$4 - 2014)*13 + 11)</f>
        <v>0</v>
      </c>
      <c r="O34" s="44">
        <f t="array" ref="O34">INDEX(MOP_Mes_Corriente!$3:$163, 26, 3 + ($C$4 - 2014)*13 + 12) + INDEX(MOP_Mes_Corriente!$3:$163, 65, 3 + ($C$4 - 2014)*13 + 12) + INDEX(MOP_Mes_Corriente!$3:$163, 104, 3 + ($C$4 - 2014)*13 + 12)</f>
        <v>2542855698</v>
      </c>
      <c r="P34" s="10"/>
      <c r="Q34" s="10"/>
      <c r="R34" s="10"/>
      <c r="S34" s="10"/>
      <c r="T34" s="10"/>
      <c r="U34" s="10"/>
      <c r="V34" s="10"/>
      <c r="W34" s="10"/>
      <c r="X34" s="10"/>
      <c r="Y34" s="10"/>
      <c r="Z34" s="10"/>
    </row>
    <row r="35" spans="1:26" ht="14.25" customHeight="1">
      <c r="A35" s="10"/>
      <c r="B35" s="45" t="s">
        <v>98</v>
      </c>
      <c r="C35" s="46">
        <f t="array" ref="C35">INDEX(MOP_Mes_Corriente!$3:$163, 38, 3 + ($C$4 - 2014)*13 + 0) + INDEX(MOP_Mes_Corriente!$3:$163, 77, 3 + ($C$4 - 2014)*13 + 0) + INDEX(MOP_Mes_Corriente!$3:$163, 116, 3 + ($C$4 - 2014)*13 + 0)</f>
        <v>14517665</v>
      </c>
      <c r="D35" s="46">
        <f t="array" ref="D35">INDEX(MOP_Mes_Corriente!$3:$163, 38, 3 + ($C$4 - 2014)*13 + 1) + INDEX(MOP_Mes_Corriente!$3:$163, 77, 3 + ($C$4 - 2014)*13 + 1) + INDEX(MOP_Mes_Corriente!$3:$163, 116, 3 + ($C$4 - 2014)*13 + 1)</f>
        <v>235585109</v>
      </c>
      <c r="E35" s="46">
        <f t="array" ref="E35">INDEX(MOP_Mes_Corriente!$3:$163, 38, 3 + ($C$4 - 2014)*13 + 2) + INDEX(MOP_Mes_Corriente!$3:$163, 77, 3 + ($C$4 - 2014)*13 + 2) + INDEX(MOP_Mes_Corriente!$3:$163, 116, 3 + ($C$4 - 2014)*13 + 2)</f>
        <v>451375737</v>
      </c>
      <c r="F35" s="46">
        <f t="array" ref="F35">INDEX(MOP_Mes_Corriente!$3:$163, 38, 3 + ($C$4 - 2014)*13 + 3) + INDEX(MOP_Mes_Corriente!$3:$163, 77, 3 + ($C$4 - 2014)*13 + 3) + INDEX(MOP_Mes_Corriente!$3:$163, 116, 3 + ($C$4 - 2014)*13 + 3)</f>
        <v>645745968</v>
      </c>
      <c r="G35" s="46">
        <f t="array" ref="G35">INDEX(MOP_Mes_Corriente!$3:$163, 38, 3 + ($C$4 - 2014)*13 + 4) + INDEX(MOP_Mes_Corriente!$3:$163, 77, 3 + ($C$4 - 2014)*13 + 4) + INDEX(MOP_Mes_Corriente!$3:$163, 116, 3 + ($C$4 - 2014)*13 + 4)</f>
        <v>838968524</v>
      </c>
      <c r="H35" s="46">
        <f t="array" ref="H35">INDEX(MOP_Mes_Corriente!$3:$163, 38, 3 + ($C$4 - 2014)*13 + 5) + INDEX(MOP_Mes_Corriente!$3:$163, 77, 3 + ($C$4 - 2014)*13 + 5) + INDEX(MOP_Mes_Corriente!$3:$163, 116, 3 + ($C$4 - 2014)*13 + 5)</f>
        <v>1056784592</v>
      </c>
      <c r="I35" s="46">
        <f t="array" ref="I35">INDEX(MOP_Mes_Corriente!$3:$163, 38, 3 + ($C$4 - 2014)*13 + 6) + INDEX(MOP_Mes_Corriente!$3:$163, 77, 3 + ($C$4 - 2014)*13 + 6) + INDEX(MOP_Mes_Corriente!$3:$163, 116, 3 + ($C$4 - 2014)*13 + 6)</f>
        <v>1238260857</v>
      </c>
      <c r="J35" s="46">
        <f t="array" ref="J35">INDEX(MOP_Mes_Corriente!$3:$163, 38, 3 + ($C$4 - 2014)*13 + 7) + INDEX(MOP_Mes_Corriente!$3:$163, 77, 3 + ($C$4 - 2014)*13 + 7) + INDEX(MOP_Mes_Corriente!$3:$163, 116, 3 + ($C$4 - 2014)*13 + 7)</f>
        <v>0</v>
      </c>
      <c r="K35" s="46">
        <f t="array" ref="K35">INDEX(MOP_Mes_Corriente!$3:$163, 38, 3 + ($C$4 - 2014)*13 + 8) + INDEX(MOP_Mes_Corriente!$3:$163, 77, 3 + ($C$4 - 2014)*13 + 8) + INDEX(MOP_Mes_Corriente!$3:$163, 116, 3 + ($C$4 - 2014)*13 + 8)</f>
        <v>0</v>
      </c>
      <c r="L35" s="46">
        <f t="array" ref="L35">INDEX(MOP_Mes_Corriente!$3:$163, 38, 3 + ($C$4 - 2014)*13 + 9) + INDEX(MOP_Mes_Corriente!$3:$163, 77, 3 + ($C$4 - 2014)*13 + 9) + INDEX(MOP_Mes_Corriente!$3:$163, 116, 3 + ($C$4 - 2014)*13 + 9)</f>
        <v>0</v>
      </c>
      <c r="M35" s="46">
        <f t="array" ref="M35">INDEX(MOP_Mes_Corriente!$3:$163, 38, 3 + ($C$4 - 2014)*13 + 10) + INDEX(MOP_Mes_Corriente!$3:$163, 77, 3 + ($C$4 - 2014)*13 + 10) + INDEX(MOP_Mes_Corriente!$3:$163, 116, 3 + ($C$4 - 2014)*13 + 10)</f>
        <v>0</v>
      </c>
      <c r="N35" s="46">
        <f t="array" ref="N35">INDEX(MOP_Mes_Corriente!$3:$163, 38, 3 + ($C$4 - 2014)*13 + 11) + INDEX(MOP_Mes_Corriente!$3:$163, 77, 3 + ($C$4 - 2014)*13 + 11) + INDEX(MOP_Mes_Corriente!$3:$163, 116, 3 + ($C$4 - 2014)*13 + 11)</f>
        <v>0</v>
      </c>
      <c r="O35" s="52">
        <f t="array" ref="O35">INDEX(MOP_Mes_Corriente!$3:$163, 38, 3 + ($C$4 - 2014)*13 + 12) + INDEX(MOP_Mes_Corriente!$3:$163, 77, 3 + ($C$4 - 2014)*13 + 12) + INDEX(MOP_Mes_Corriente!$3:$163, 116, 3 + ($C$4 - 2014)*13 + 12)</f>
        <v>1238260857</v>
      </c>
      <c r="P35" s="10"/>
      <c r="Q35" s="10"/>
      <c r="R35" s="10"/>
      <c r="S35" s="10"/>
      <c r="T35" s="10"/>
      <c r="U35" s="10"/>
      <c r="V35" s="10"/>
      <c r="W35" s="10"/>
      <c r="X35" s="10"/>
      <c r="Y35" s="10"/>
      <c r="Z35" s="10"/>
    </row>
    <row r="36" spans="1:26" ht="14.25" customHeight="1">
      <c r="A36" s="10"/>
      <c r="B36" s="53" t="s">
        <v>124</v>
      </c>
      <c r="C36" s="54">
        <f t="shared" ref="C36:O36" si="5">IF(C34&gt;0, C35/C34, 0)</f>
        <v>5.3556701871104321E-3</v>
      </c>
      <c r="D36" s="54">
        <f t="shared" si="5"/>
        <v>8.6909027367587113E-2</v>
      </c>
      <c r="E36" s="54">
        <f t="shared" si="5"/>
        <v>0.1701108462435908</v>
      </c>
      <c r="F36" s="54">
        <f t="shared" si="5"/>
        <v>0.24336353080242479</v>
      </c>
      <c r="G36" s="54">
        <f t="shared" si="5"/>
        <v>0.32985963480444558</v>
      </c>
      <c r="H36" s="54">
        <f t="shared" si="5"/>
        <v>0.41558968243112632</v>
      </c>
      <c r="I36" s="54">
        <f t="shared" si="5"/>
        <v>0.48695679348769716</v>
      </c>
      <c r="J36" s="54">
        <f t="shared" si="5"/>
        <v>0</v>
      </c>
      <c r="K36" s="54">
        <f t="shared" si="5"/>
        <v>0</v>
      </c>
      <c r="L36" s="54">
        <f t="shared" si="5"/>
        <v>0</v>
      </c>
      <c r="M36" s="54">
        <f t="shared" si="5"/>
        <v>0</v>
      </c>
      <c r="N36" s="54">
        <f t="shared" si="5"/>
        <v>0</v>
      </c>
      <c r="O36" s="37">
        <f t="shared" si="5"/>
        <v>0.48695679348769716</v>
      </c>
      <c r="P36" s="10"/>
      <c r="Q36" s="10"/>
      <c r="R36" s="10"/>
      <c r="S36" s="10"/>
      <c r="T36" s="10"/>
      <c r="U36" s="10"/>
      <c r="V36" s="10"/>
      <c r="W36" s="10"/>
      <c r="X36" s="10"/>
      <c r="Y36" s="10"/>
      <c r="Z36" s="10"/>
    </row>
    <row r="37" spans="1:26" ht="14.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4.25" customHeight="1">
      <c r="A38" s="10"/>
      <c r="B38" s="23" t="s">
        <v>125</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4.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4.25" customHeight="1">
      <c r="A40" s="10"/>
      <c r="B40" s="25" t="s">
        <v>126</v>
      </c>
      <c r="C40" s="25" t="s">
        <v>96</v>
      </c>
      <c r="D40" s="25" t="s">
        <v>97</v>
      </c>
      <c r="E40" s="25" t="s">
        <v>98</v>
      </c>
      <c r="F40" s="25" t="s">
        <v>99</v>
      </c>
      <c r="G40" s="25" t="s">
        <v>100</v>
      </c>
      <c r="H40" s="25" t="s">
        <v>127</v>
      </c>
      <c r="I40" s="25" t="s">
        <v>128</v>
      </c>
      <c r="J40" s="10"/>
      <c r="K40" s="10"/>
      <c r="L40" s="10"/>
      <c r="M40" s="10"/>
      <c r="N40" s="10"/>
      <c r="O40" s="10"/>
      <c r="P40" s="10"/>
      <c r="Q40" s="10"/>
      <c r="R40" s="10"/>
      <c r="S40" s="10"/>
      <c r="T40" s="10"/>
      <c r="U40" s="10"/>
      <c r="V40" s="10"/>
      <c r="W40" s="10"/>
      <c r="X40" s="10"/>
      <c r="Y40" s="10"/>
      <c r="Z40" s="10"/>
    </row>
    <row r="41" spans="1:26" ht="14.25" customHeight="1">
      <c r="A41" s="10"/>
      <c r="B41" s="57">
        <v>2014</v>
      </c>
      <c r="C41" s="41">
        <f>MOP_Mes_Corriente!O16 + MOP_Mes_Corriente!O55 + MOP_Mes_Corriente!O94</f>
        <v>1084025889</v>
      </c>
      <c r="D41" s="41">
        <f>MOP_Mes_Corriente!O28 + MOP_Mes_Corriente!O67 + MOP_Mes_Corriente!O106</f>
        <v>1166387752</v>
      </c>
      <c r="E41" s="41">
        <f>MOP_Mes_Corriente!O40 + MOP_Mes_Corriente!O79 + MOP_Mes_Corriente!O118</f>
        <v>1164341987</v>
      </c>
      <c r="F41" s="41">
        <f t="shared" ref="F41:F53" si="6">D41 - E41</f>
        <v>2045765</v>
      </c>
      <c r="G41" s="42">
        <f t="shared" ref="G41:G53" si="7">IF(D41&gt;0, E41/D41, 0)</f>
        <v>0.99824606783079461</v>
      </c>
      <c r="H41" s="64" t="s">
        <v>129</v>
      </c>
      <c r="I41" s="64" t="s">
        <v>129</v>
      </c>
      <c r="J41" s="10"/>
      <c r="K41" s="10"/>
      <c r="L41" s="10"/>
      <c r="M41" s="10"/>
      <c r="N41" s="10"/>
      <c r="O41" s="10"/>
      <c r="P41" s="10"/>
      <c r="Q41" s="10"/>
      <c r="R41" s="10"/>
      <c r="S41" s="10"/>
      <c r="T41" s="10"/>
      <c r="U41" s="10"/>
      <c r="V41" s="10"/>
      <c r="W41" s="10"/>
      <c r="X41" s="10"/>
      <c r="Y41" s="10"/>
      <c r="Z41" s="10"/>
    </row>
    <row r="42" spans="1:26" ht="14.25" customHeight="1">
      <c r="A42" s="10"/>
      <c r="B42" s="66">
        <v>2015</v>
      </c>
      <c r="C42" s="32">
        <f>MOP_Mes_Corriente!AB16 + MOP_Mes_Corriente!AB55 + MOP_Mes_Corriente!AB94</f>
        <v>1280988401</v>
      </c>
      <c r="D42" s="32">
        <f>MOP_Mes_Corriente!AB28 + MOP_Mes_Corriente!AB67 + MOP_Mes_Corriente!AB106</f>
        <v>1327989832</v>
      </c>
      <c r="E42" s="32">
        <f>MOP_Mes_Corriente!AB40 + MOP_Mes_Corriente!AB79 + MOP_Mes_Corriente!AB118</f>
        <v>1325414832</v>
      </c>
      <c r="F42" s="32">
        <f t="shared" si="6"/>
        <v>2575000</v>
      </c>
      <c r="G42" s="33">
        <f t="shared" si="7"/>
        <v>0.99806097912954506</v>
      </c>
      <c r="H42" s="33">
        <f t="shared" ref="H42:H53" si="8">IF(D41&gt;0, (D42-D41)/D41, 0)</f>
        <v>0.13854919148705189</v>
      </c>
      <c r="I42" s="33">
        <f t="shared" ref="I42:I53" si="9">IF(E41&gt;0, (E42-E41)/E41, 0)</f>
        <v>0.13833808863580901</v>
      </c>
      <c r="J42" s="10"/>
      <c r="K42" s="10"/>
      <c r="L42" s="10"/>
      <c r="M42" s="10"/>
      <c r="N42" s="10"/>
      <c r="O42" s="10"/>
      <c r="P42" s="10"/>
      <c r="Q42" s="10"/>
      <c r="R42" s="10"/>
      <c r="S42" s="10"/>
      <c r="T42" s="10"/>
      <c r="U42" s="10"/>
      <c r="V42" s="10"/>
      <c r="W42" s="10"/>
      <c r="X42" s="10"/>
      <c r="Y42" s="10"/>
      <c r="Z42" s="10"/>
    </row>
    <row r="43" spans="1:26" ht="14.25" customHeight="1">
      <c r="A43" s="10"/>
      <c r="B43" s="57">
        <v>2016</v>
      </c>
      <c r="C43" s="41">
        <f>MOP_Mes_Corriente!AO16 + MOP_Mes_Corriente!AO55 + MOP_Mes_Corriente!AO94</f>
        <v>1280211801</v>
      </c>
      <c r="D43" s="41">
        <f>MOP_Mes_Corriente!AO28 + MOP_Mes_Corriente!AO67 + MOP_Mes_Corriente!AO106</f>
        <v>1282280297</v>
      </c>
      <c r="E43" s="41">
        <f>MOP_Mes_Corriente!AO40 + MOP_Mes_Corriente!AO79 + MOP_Mes_Corriente!AO118</f>
        <v>1279809174</v>
      </c>
      <c r="F43" s="41">
        <f t="shared" si="6"/>
        <v>2471123</v>
      </c>
      <c r="G43" s="42">
        <f t="shared" si="7"/>
        <v>0.99807286830673336</v>
      </c>
      <c r="H43" s="42">
        <f t="shared" si="8"/>
        <v>-3.4420094114094094E-2</v>
      </c>
      <c r="I43" s="42">
        <f t="shared" si="9"/>
        <v>-3.4408591860393488E-2</v>
      </c>
      <c r="J43" s="10"/>
      <c r="K43" s="10"/>
      <c r="L43" s="10"/>
      <c r="M43" s="10"/>
      <c r="N43" s="10"/>
      <c r="O43" s="10"/>
      <c r="P43" s="10"/>
      <c r="Q43" s="10"/>
      <c r="R43" s="10"/>
      <c r="S43" s="10"/>
      <c r="T43" s="10"/>
      <c r="U43" s="10"/>
      <c r="V43" s="10"/>
      <c r="W43" s="10"/>
      <c r="X43" s="10"/>
      <c r="Y43" s="10"/>
      <c r="Z43" s="10"/>
    </row>
    <row r="44" spans="1:26" ht="14.25" customHeight="1">
      <c r="A44" s="10"/>
      <c r="B44" s="66">
        <v>2017</v>
      </c>
      <c r="C44" s="32">
        <f>MOP_Mes_Corriente!BB16 + MOP_Mes_Corriente!BB55 + MOP_Mes_Corriente!BB94</f>
        <v>1341993281</v>
      </c>
      <c r="D44" s="32">
        <f>MOP_Mes_Corriente!BB28 + MOP_Mes_Corriente!BB67 + MOP_Mes_Corriente!BB106</f>
        <v>1319688378</v>
      </c>
      <c r="E44" s="32">
        <f>MOP_Mes_Corriente!BB40 + MOP_Mes_Corriente!BB79 + MOP_Mes_Corriente!BB118</f>
        <v>1316094896</v>
      </c>
      <c r="F44" s="32">
        <f t="shared" si="6"/>
        <v>3593482</v>
      </c>
      <c r="G44" s="33">
        <f t="shared" si="7"/>
        <v>0.99727702231837034</v>
      </c>
      <c r="H44" s="33">
        <f t="shared" si="8"/>
        <v>2.917309194215904E-2</v>
      </c>
      <c r="I44" s="33">
        <f t="shared" si="9"/>
        <v>2.8352447175066117E-2</v>
      </c>
      <c r="J44" s="10"/>
      <c r="K44" s="10"/>
      <c r="L44" s="10"/>
      <c r="M44" s="10"/>
      <c r="N44" s="10"/>
      <c r="O44" s="10"/>
      <c r="P44" s="10"/>
      <c r="Q44" s="10"/>
      <c r="R44" s="10"/>
      <c r="S44" s="10"/>
      <c r="T44" s="10"/>
      <c r="U44" s="10"/>
      <c r="V44" s="10"/>
      <c r="W44" s="10"/>
      <c r="X44" s="10"/>
      <c r="Y44" s="10"/>
      <c r="Z44" s="10"/>
    </row>
    <row r="45" spans="1:26" ht="14.25" customHeight="1">
      <c r="A45" s="10"/>
      <c r="B45" s="57">
        <v>2018</v>
      </c>
      <c r="C45" s="41">
        <f>MOP_Mes_Corriente!BO16 + MOP_Mes_Corriente!BO55 + MOP_Mes_Corriente!BO94</f>
        <v>1360411524</v>
      </c>
      <c r="D45" s="41">
        <f>MOP_Mes_Corriente!BO28 + MOP_Mes_Corriente!BO67 + MOP_Mes_Corriente!BO106</f>
        <v>1257040244</v>
      </c>
      <c r="E45" s="41">
        <f>MOP_Mes_Corriente!BO40 + MOP_Mes_Corriente!BO79 + MOP_Mes_Corriente!BO118</f>
        <v>1252583084</v>
      </c>
      <c r="F45" s="41">
        <f t="shared" si="6"/>
        <v>4457160</v>
      </c>
      <c r="G45" s="42">
        <f t="shared" si="7"/>
        <v>0.99645424239894109</v>
      </c>
      <c r="H45" s="42">
        <f t="shared" si="8"/>
        <v>-4.7471914615891238E-2</v>
      </c>
      <c r="I45" s="42">
        <f t="shared" si="9"/>
        <v>-4.8257775478828389E-2</v>
      </c>
      <c r="J45" s="10"/>
      <c r="K45" s="10"/>
      <c r="L45" s="10"/>
      <c r="M45" s="10"/>
      <c r="N45" s="10"/>
      <c r="O45" s="10"/>
      <c r="P45" s="10"/>
      <c r="Q45" s="10"/>
      <c r="R45" s="10"/>
      <c r="S45" s="10"/>
      <c r="T45" s="10"/>
      <c r="U45" s="10"/>
      <c r="V45" s="10"/>
      <c r="W45" s="10"/>
      <c r="X45" s="10"/>
      <c r="Y45" s="10"/>
      <c r="Z45" s="10"/>
    </row>
    <row r="46" spans="1:26" ht="14.25" customHeight="1">
      <c r="A46" s="10"/>
      <c r="B46" s="66">
        <v>2019</v>
      </c>
      <c r="C46" s="32">
        <f>MOP_Mes_Corriente!CB16 + MOP_Mes_Corriente!CB55 + MOP_Mes_Corriente!CB94</f>
        <v>1453655213</v>
      </c>
      <c r="D46" s="32">
        <f>MOP_Mes_Corriente!CB28 + MOP_Mes_Corriente!CB67 + MOP_Mes_Corriente!CB106</f>
        <v>1476564275</v>
      </c>
      <c r="E46" s="32">
        <f>MOP_Mes_Corriente!CB40 + MOP_Mes_Corriente!CB79 + MOP_Mes_Corriente!CB118</f>
        <v>1462473656</v>
      </c>
      <c r="F46" s="32">
        <f t="shared" si="6"/>
        <v>14090619</v>
      </c>
      <c r="G46" s="33">
        <f t="shared" si="7"/>
        <v>0.99045715839224135</v>
      </c>
      <c r="H46" s="33">
        <f t="shared" si="8"/>
        <v>0.17463564277103605</v>
      </c>
      <c r="I46" s="33">
        <f t="shared" si="9"/>
        <v>0.16756618756955846</v>
      </c>
      <c r="J46" s="10"/>
      <c r="K46" s="10"/>
      <c r="L46" s="10"/>
      <c r="M46" s="10"/>
      <c r="N46" s="10"/>
      <c r="O46" s="10"/>
      <c r="P46" s="10"/>
      <c r="Q46" s="10"/>
      <c r="R46" s="10"/>
      <c r="S46" s="10"/>
      <c r="T46" s="10"/>
      <c r="U46" s="10"/>
      <c r="V46" s="10"/>
      <c r="W46" s="10"/>
      <c r="X46" s="10"/>
      <c r="Y46" s="10"/>
      <c r="Z46" s="10"/>
    </row>
    <row r="47" spans="1:26" ht="14.25" customHeight="1">
      <c r="A47" s="10"/>
      <c r="B47" s="57">
        <v>2020</v>
      </c>
      <c r="C47" s="41">
        <f>MOP_Mes_Corriente!CO16 + MOP_Mes_Corriente!CO55 + MOP_Mes_Corriente!CO94</f>
        <v>1578601711</v>
      </c>
      <c r="D47" s="41">
        <f>MOP_Mes_Corriente!CO28 + MOP_Mes_Corriente!CO67 + MOP_Mes_Corriente!CO106</f>
        <v>1397548041</v>
      </c>
      <c r="E47" s="41">
        <f>MOP_Mes_Corriente!CO40 + MOP_Mes_Corriente!CO79 + MOP_Mes_Corriente!CO118</f>
        <v>1373767417</v>
      </c>
      <c r="F47" s="41">
        <f t="shared" si="6"/>
        <v>23780624</v>
      </c>
      <c r="G47" s="42">
        <f t="shared" si="7"/>
        <v>0.98298403825675718</v>
      </c>
      <c r="H47" s="42">
        <f t="shared" si="8"/>
        <v>-5.3513575628124962E-2</v>
      </c>
      <c r="I47" s="42">
        <f t="shared" si="9"/>
        <v>-6.0654931209236089E-2</v>
      </c>
      <c r="J47" s="10"/>
      <c r="K47" s="10"/>
      <c r="L47" s="10"/>
      <c r="M47" s="10"/>
      <c r="N47" s="10"/>
      <c r="O47" s="10"/>
      <c r="P47" s="10"/>
      <c r="Q47" s="10"/>
      <c r="R47" s="10"/>
      <c r="S47" s="10"/>
      <c r="T47" s="10"/>
      <c r="U47" s="10"/>
      <c r="V47" s="10"/>
      <c r="W47" s="10"/>
      <c r="X47" s="10"/>
      <c r="Y47" s="10"/>
      <c r="Z47" s="10"/>
    </row>
    <row r="48" spans="1:26" ht="14.25" customHeight="1">
      <c r="A48" s="10"/>
      <c r="B48" s="66">
        <v>2021</v>
      </c>
      <c r="C48" s="32">
        <f>MOP_Mes_Corriente!DB16 + MOP_Mes_Corriente!DB55 + MOP_Mes_Corriente!DB94</f>
        <v>2326773489</v>
      </c>
      <c r="D48" s="32">
        <f>MOP_Mes_Corriente!DB28 + MOP_Mes_Corriente!DB67 + MOP_Mes_Corriente!DB106</f>
        <v>1577529365</v>
      </c>
      <c r="E48" s="32">
        <f>MOP_Mes_Corriente!DB40 + MOP_Mes_Corriente!DB79 + MOP_Mes_Corriente!DB118</f>
        <v>1391673062</v>
      </c>
      <c r="F48" s="32">
        <f t="shared" si="6"/>
        <v>185856303</v>
      </c>
      <c r="G48" s="33">
        <f t="shared" si="7"/>
        <v>0.88218520230208208</v>
      </c>
      <c r="H48" s="33">
        <f t="shared" si="8"/>
        <v>0.12878364014679336</v>
      </c>
      <c r="I48" s="33">
        <f t="shared" si="9"/>
        <v>1.3033971237359752E-2</v>
      </c>
      <c r="J48" s="10"/>
      <c r="K48" s="10"/>
      <c r="L48" s="10"/>
      <c r="M48" s="10"/>
      <c r="N48" s="10"/>
      <c r="O48" s="10"/>
      <c r="P48" s="10"/>
      <c r="Q48" s="10"/>
      <c r="R48" s="10"/>
      <c r="S48" s="10"/>
      <c r="T48" s="10"/>
      <c r="U48" s="10"/>
      <c r="V48" s="10"/>
      <c r="W48" s="10"/>
      <c r="X48" s="10"/>
      <c r="Y48" s="10"/>
      <c r="Z48" s="10"/>
    </row>
    <row r="49" spans="1:26" ht="14.25" customHeight="1">
      <c r="A49" s="10"/>
      <c r="B49" s="57">
        <v>2022</v>
      </c>
      <c r="C49" s="41">
        <f>MOP_Mes_Corriente!DO16 + MOP_Mes_Corriente!DO55 + MOP_Mes_Corriente!DO94</f>
        <v>2620025909</v>
      </c>
      <c r="D49" s="41">
        <f>MOP_Mes_Corriente!DO28 + MOP_Mes_Corriente!DO67 + MOP_Mes_Corriente!DO106</f>
        <v>1358582828</v>
      </c>
      <c r="E49" s="41">
        <f>MOP_Mes_Corriente!DO40 + MOP_Mes_Corriente!DO79 + MOP_Mes_Corriente!DO118</f>
        <v>1340723690</v>
      </c>
      <c r="F49" s="41">
        <f t="shared" si="6"/>
        <v>17859138</v>
      </c>
      <c r="G49" s="42">
        <f t="shared" si="7"/>
        <v>0.986854582855069</v>
      </c>
      <c r="H49" s="42">
        <f t="shared" si="8"/>
        <v>-0.13879078377726425</v>
      </c>
      <c r="I49" s="42">
        <f t="shared" si="9"/>
        <v>-3.6610158945506698E-2</v>
      </c>
      <c r="J49" s="10"/>
      <c r="K49" s="10"/>
      <c r="L49" s="10"/>
      <c r="M49" s="10"/>
      <c r="N49" s="10"/>
      <c r="O49" s="10"/>
      <c r="P49" s="10"/>
      <c r="Q49" s="10"/>
      <c r="R49" s="10"/>
      <c r="S49" s="10"/>
      <c r="T49" s="10"/>
      <c r="U49" s="10"/>
      <c r="V49" s="10"/>
      <c r="W49" s="10"/>
      <c r="X49" s="10"/>
      <c r="Y49" s="10"/>
      <c r="Z49" s="10"/>
    </row>
    <row r="50" spans="1:26" ht="14.25" customHeight="1">
      <c r="A50" s="10"/>
      <c r="B50" s="66">
        <v>2023</v>
      </c>
      <c r="C50" s="32">
        <f>MOP_Mes_Corriente!EB16 + MOP_Mes_Corriente!EB55 + MOP_Mes_Corriente!EB94</f>
        <v>2835156480</v>
      </c>
      <c r="D50" s="32">
        <f>MOP_Mes_Corriente!EB28 + MOP_Mes_Corriente!EB67 + MOP_Mes_Corriente!EB106</f>
        <v>2132837420</v>
      </c>
      <c r="E50" s="32">
        <f>MOP_Mes_Corriente!EB40 + MOP_Mes_Corriente!EB79 + MOP_Mes_Corriente!EB118</f>
        <v>2106371463</v>
      </c>
      <c r="F50" s="32">
        <f t="shared" si="6"/>
        <v>26465957</v>
      </c>
      <c r="G50" s="33">
        <f t="shared" si="7"/>
        <v>0.98759119811391904</v>
      </c>
      <c r="H50" s="33">
        <f t="shared" si="8"/>
        <v>0.56989870329790449</v>
      </c>
      <c r="I50" s="33">
        <f t="shared" si="9"/>
        <v>0.57107051863907921</v>
      </c>
      <c r="J50" s="10"/>
      <c r="K50" s="10"/>
      <c r="L50" s="10"/>
      <c r="M50" s="10"/>
      <c r="N50" s="10"/>
      <c r="O50" s="10"/>
      <c r="P50" s="10"/>
      <c r="Q50" s="10"/>
      <c r="R50" s="10"/>
      <c r="S50" s="10"/>
      <c r="T50" s="10"/>
      <c r="U50" s="10"/>
      <c r="V50" s="10"/>
      <c r="W50" s="10"/>
      <c r="X50" s="10"/>
      <c r="Y50" s="10"/>
      <c r="Z50" s="10"/>
    </row>
    <row r="51" spans="1:26" ht="14.25" customHeight="1">
      <c r="A51" s="10"/>
      <c r="B51" s="57">
        <v>2024</v>
      </c>
      <c r="C51" s="41">
        <f>MOP_Mes_Corriente!EO16 + MOP_Mes_Corriente!EO55 + MOP_Mes_Corriente!EO94</f>
        <v>2942161253</v>
      </c>
      <c r="D51" s="41">
        <f>MOP_Mes_Corriente!EO28 + MOP_Mes_Corriente!EO67 + MOP_Mes_Corriente!EO106</f>
        <v>2330868371</v>
      </c>
      <c r="E51" s="41">
        <f>MOP_Mes_Corriente!EO40 + MOP_Mes_Corriente!EO79 + MOP_Mes_Corriente!EO118</f>
        <v>2321713289</v>
      </c>
      <c r="F51" s="41">
        <f t="shared" si="6"/>
        <v>9155082</v>
      </c>
      <c r="G51" s="42">
        <f t="shared" si="7"/>
        <v>0.99607224409842066</v>
      </c>
      <c r="H51" s="42">
        <f t="shared" si="8"/>
        <v>9.284859180687105E-2</v>
      </c>
      <c r="I51" s="42">
        <f t="shared" si="9"/>
        <v>0.10223354701800762</v>
      </c>
      <c r="J51" s="10"/>
      <c r="K51" s="10"/>
      <c r="L51" s="10"/>
      <c r="M51" s="10"/>
      <c r="N51" s="10"/>
      <c r="O51" s="10"/>
      <c r="P51" s="10"/>
      <c r="Q51" s="10"/>
      <c r="R51" s="10"/>
      <c r="S51" s="10"/>
      <c r="T51" s="10"/>
      <c r="U51" s="10"/>
      <c r="V51" s="10"/>
      <c r="W51" s="10"/>
      <c r="X51" s="10"/>
      <c r="Y51" s="10"/>
      <c r="Z51" s="10"/>
    </row>
    <row r="52" spans="1:26" ht="14.25" customHeight="1">
      <c r="A52" s="10"/>
      <c r="B52" s="66">
        <v>2025</v>
      </c>
      <c r="C52" s="32">
        <f>MOP_Mes_Corriente!FB16 + MOP_Mes_Corriente!FB55 + MOP_Mes_Corriente!FB94</f>
        <v>3058423954</v>
      </c>
      <c r="D52" s="32">
        <f>MOP_Mes_Corriente!FB28 + MOP_Mes_Corriente!FB67 + MOP_Mes_Corriente!FB106</f>
        <v>2814546937</v>
      </c>
      <c r="E52" s="32">
        <f>MOP_Mes_Corriente!FB40 + MOP_Mes_Corriente!FB79 + MOP_Mes_Corriente!FB118</f>
        <v>2769768945</v>
      </c>
      <c r="F52" s="32">
        <f t="shared" si="6"/>
        <v>44777992</v>
      </c>
      <c r="G52" s="33">
        <f t="shared" si="7"/>
        <v>0.984090515098061</v>
      </c>
      <c r="H52" s="33">
        <f t="shared" si="8"/>
        <v>0.20751003017493003</v>
      </c>
      <c r="I52" s="33">
        <f t="shared" si="9"/>
        <v>0.19298492114544641</v>
      </c>
      <c r="J52" s="10"/>
      <c r="K52" s="10"/>
      <c r="L52" s="10"/>
      <c r="M52" s="10"/>
      <c r="N52" s="10"/>
      <c r="O52" s="10"/>
      <c r="P52" s="10"/>
      <c r="Q52" s="10"/>
      <c r="R52" s="10"/>
      <c r="S52" s="10"/>
      <c r="T52" s="10"/>
      <c r="U52" s="10"/>
      <c r="V52" s="10"/>
      <c r="W52" s="10"/>
      <c r="X52" s="10"/>
      <c r="Y52" s="10"/>
      <c r="Z52" s="10"/>
    </row>
    <row r="53" spans="1:26" ht="14.25" customHeight="1">
      <c r="A53" s="10"/>
      <c r="B53" s="57">
        <v>2026</v>
      </c>
      <c r="C53" s="41">
        <f>MOP_Mes_Corriente!FO16 + MOP_Mes_Corriente!FO55 + MOP_Mes_Corriente!FO94</f>
        <v>2710709303</v>
      </c>
      <c r="D53" s="41">
        <f>MOP_Mes_Corriente!FO28 + MOP_Mes_Corriente!FO67 + MOP_Mes_Corriente!FO106</f>
        <v>2542855698</v>
      </c>
      <c r="E53" s="41">
        <f>MOP_Mes_Corriente!FO40 + MOP_Mes_Corriente!FO79 + MOP_Mes_Corriente!FO118</f>
        <v>1238260857</v>
      </c>
      <c r="F53" s="41">
        <f t="shared" si="6"/>
        <v>1304594841</v>
      </c>
      <c r="G53" s="42">
        <f t="shared" si="7"/>
        <v>0.48695679348769716</v>
      </c>
      <c r="H53" s="42">
        <f t="shared" si="8"/>
        <v>-9.6531074123636124E-2</v>
      </c>
      <c r="I53" s="42">
        <f t="shared" si="9"/>
        <v>-0.55293712884054302</v>
      </c>
      <c r="J53" s="10"/>
      <c r="K53" s="10"/>
      <c r="L53" s="10"/>
      <c r="M53" s="10"/>
      <c r="N53" s="10"/>
      <c r="O53" s="10"/>
      <c r="P53" s="10"/>
      <c r="Q53" s="10"/>
      <c r="R53" s="10"/>
      <c r="S53" s="10"/>
      <c r="T53" s="10"/>
      <c r="U53" s="10"/>
      <c r="V53" s="10"/>
      <c r="W53" s="10"/>
      <c r="X53" s="10"/>
      <c r="Y53" s="10"/>
      <c r="Z53" s="10"/>
    </row>
    <row r="54" spans="1:26"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J9:L9"/>
    <mergeCell ref="H9:I9"/>
    <mergeCell ref="D6:E6"/>
    <mergeCell ref="H6:I6"/>
    <mergeCell ref="B7:C8"/>
    <mergeCell ref="F7:G8"/>
    <mergeCell ref="B9:C9"/>
    <mergeCell ref="D9:E9"/>
    <mergeCell ref="F9:G9"/>
    <mergeCell ref="B6:C6"/>
    <mergeCell ref="F4:G4"/>
    <mergeCell ref="J6:L6"/>
    <mergeCell ref="D7:E8"/>
    <mergeCell ref="H7:I8"/>
    <mergeCell ref="F6:G6"/>
    <mergeCell ref="J4:L4"/>
    <mergeCell ref="H4:I4"/>
    <mergeCell ref="D4:E4"/>
    <mergeCell ref="J7:L8"/>
  </mergeCells>
  <dataValidations count="1">
    <dataValidation type="list" allowBlank="1" sqref="C4" xr:uid="{00000000-0002-0000-0200-000000000000}">
      <formula1>"2014,2015,2016,2017,2018,2019,2020,2021,2022,2023,2024,2025,2026"</formula1>
    </dataValidation>
  </dataValidations>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Z1000"/>
  <sheetViews>
    <sheetView showGridLines="0" workbookViewId="0">
      <pane xSplit="4" ySplit="2" topLeftCell="E3" activePane="bottomRight" state="frozen"/>
      <selection pane="topRight" activeCell="E1" sqref="E1"/>
      <selection pane="bottomLeft" activeCell="A3" sqref="A3"/>
      <selection pane="bottomRight" activeCell="E3" sqref="E3"/>
    </sheetView>
  </sheetViews>
  <sheetFormatPr baseColWidth="10" defaultColWidth="14.44140625" defaultRowHeight="15" customHeight="1"/>
  <cols>
    <col min="1" max="1" width="8.88671875" style="101" customWidth="1"/>
    <col min="2" max="2" width="10" style="101" customWidth="1"/>
    <col min="3" max="3" width="11" style="101" customWidth="1"/>
    <col min="4" max="4" width="34" style="101" customWidth="1"/>
    <col min="5" max="19" width="15" style="101" customWidth="1"/>
    <col min="20" max="26" width="8.88671875" style="101"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2" t="s">
        <v>126</v>
      </c>
      <c r="C2" s="3" t="s">
        <v>130</v>
      </c>
      <c r="D2" s="3" t="s">
        <v>17</v>
      </c>
      <c r="E2" s="3" t="s">
        <v>131</v>
      </c>
      <c r="F2" s="3" t="s">
        <v>132</v>
      </c>
      <c r="G2" s="3" t="s">
        <v>133</v>
      </c>
      <c r="H2" s="3" t="s">
        <v>134</v>
      </c>
      <c r="I2" s="3" t="s">
        <v>135</v>
      </c>
      <c r="J2" s="3" t="s">
        <v>136</v>
      </c>
      <c r="K2" s="3" t="s">
        <v>137</v>
      </c>
      <c r="L2" s="3" t="s">
        <v>138</v>
      </c>
      <c r="M2" s="3" t="s">
        <v>139</v>
      </c>
      <c r="N2" s="3" t="s">
        <v>140</v>
      </c>
      <c r="O2" s="3" t="s">
        <v>141</v>
      </c>
      <c r="P2" s="3" t="s">
        <v>142</v>
      </c>
      <c r="Q2" s="3" t="s">
        <v>143</v>
      </c>
      <c r="R2" s="3" t="s">
        <v>144</v>
      </c>
      <c r="S2" s="4" t="s">
        <v>145</v>
      </c>
      <c r="T2" s="1"/>
      <c r="U2" s="1"/>
      <c r="V2" s="1"/>
      <c r="W2" s="1"/>
      <c r="X2" s="1"/>
      <c r="Y2" s="1"/>
      <c r="Z2" s="1"/>
    </row>
    <row r="3" spans="1:26" ht="13.5" customHeight="1">
      <c r="A3" s="1"/>
      <c r="B3" s="5">
        <v>2014</v>
      </c>
      <c r="C3" s="6">
        <v>31</v>
      </c>
      <c r="D3" s="7" t="s">
        <v>43</v>
      </c>
      <c r="E3" s="8">
        <v>806907228</v>
      </c>
      <c r="F3" s="8">
        <v>797883262</v>
      </c>
      <c r="G3" s="8">
        <v>853032416</v>
      </c>
      <c r="H3" s="8">
        <v>0</v>
      </c>
      <c r="I3" s="8">
        <v>109495507</v>
      </c>
      <c r="J3" s="8">
        <v>187847739</v>
      </c>
      <c r="K3" s="8">
        <v>265238101</v>
      </c>
      <c r="L3" s="8">
        <v>332568897</v>
      </c>
      <c r="M3" s="8">
        <v>394278543</v>
      </c>
      <c r="N3" s="8">
        <v>446664037</v>
      </c>
      <c r="O3" s="8">
        <v>504805550</v>
      </c>
      <c r="P3" s="8">
        <v>557993422</v>
      </c>
      <c r="Q3" s="8">
        <v>619454289</v>
      </c>
      <c r="R3" s="8">
        <v>701289585</v>
      </c>
      <c r="S3" s="9">
        <v>852007357</v>
      </c>
      <c r="T3" s="1"/>
      <c r="U3" s="1"/>
      <c r="V3" s="1"/>
      <c r="W3" s="1"/>
      <c r="X3" s="1"/>
      <c r="Y3" s="1"/>
      <c r="Z3" s="1"/>
    </row>
    <row r="4" spans="1:26" ht="13.5" customHeight="1">
      <c r="A4" s="1"/>
      <c r="B4" s="5">
        <v>2014</v>
      </c>
      <c r="C4" s="6">
        <v>31</v>
      </c>
      <c r="D4" s="7" t="s">
        <v>44</v>
      </c>
      <c r="E4" s="8">
        <v>101236706</v>
      </c>
      <c r="F4" s="8">
        <v>101236706</v>
      </c>
      <c r="G4" s="8">
        <v>105052138</v>
      </c>
      <c r="H4" s="8">
        <v>0</v>
      </c>
      <c r="I4" s="8">
        <v>0</v>
      </c>
      <c r="J4" s="8">
        <v>0</v>
      </c>
      <c r="K4" s="8">
        <v>12849023</v>
      </c>
      <c r="L4" s="8">
        <v>18502602</v>
      </c>
      <c r="M4" s="8">
        <v>24001975</v>
      </c>
      <c r="N4" s="8">
        <v>28200302</v>
      </c>
      <c r="O4" s="8">
        <v>35581648</v>
      </c>
      <c r="P4" s="8">
        <v>44712998</v>
      </c>
      <c r="Q4" s="8">
        <v>54749457</v>
      </c>
      <c r="R4" s="8">
        <v>68221191</v>
      </c>
      <c r="S4" s="9">
        <v>104714724</v>
      </c>
      <c r="T4" s="1"/>
      <c r="U4" s="1"/>
      <c r="V4" s="1"/>
      <c r="W4" s="1"/>
      <c r="X4" s="1"/>
      <c r="Y4" s="1"/>
      <c r="Z4" s="1"/>
    </row>
    <row r="5" spans="1:26" ht="13.5" customHeight="1">
      <c r="A5" s="1"/>
      <c r="B5" s="5">
        <v>2014</v>
      </c>
      <c r="C5" s="6">
        <v>31</v>
      </c>
      <c r="D5" s="7" t="s">
        <v>45</v>
      </c>
      <c r="E5" s="8">
        <v>49407947</v>
      </c>
      <c r="F5" s="8">
        <v>55507947</v>
      </c>
      <c r="G5" s="8">
        <v>67579947</v>
      </c>
      <c r="H5" s="8">
        <v>0</v>
      </c>
      <c r="I5" s="8">
        <v>0</v>
      </c>
      <c r="J5" s="8">
        <v>2123137</v>
      </c>
      <c r="K5" s="8">
        <v>11318242</v>
      </c>
      <c r="L5" s="8">
        <v>16412231</v>
      </c>
      <c r="M5" s="8">
        <v>21503320</v>
      </c>
      <c r="N5" s="8">
        <v>26571960</v>
      </c>
      <c r="O5" s="8">
        <v>31336635</v>
      </c>
      <c r="P5" s="8">
        <v>36845348</v>
      </c>
      <c r="Q5" s="8">
        <v>42847765</v>
      </c>
      <c r="R5" s="8">
        <v>49413111</v>
      </c>
      <c r="S5" s="9">
        <v>67417598</v>
      </c>
      <c r="T5" s="1"/>
      <c r="U5" s="1"/>
      <c r="V5" s="1"/>
      <c r="W5" s="1"/>
      <c r="X5" s="1"/>
      <c r="Y5" s="1"/>
      <c r="Z5" s="1"/>
    </row>
    <row r="6" spans="1:26" ht="13.5" customHeight="1">
      <c r="A6" s="1"/>
      <c r="B6" s="5">
        <v>2014</v>
      </c>
      <c r="C6" s="6">
        <v>31</v>
      </c>
      <c r="D6" s="7" t="s">
        <v>46</v>
      </c>
      <c r="E6" s="8">
        <v>55038550</v>
      </c>
      <c r="F6" s="8">
        <v>56087343</v>
      </c>
      <c r="G6" s="8">
        <v>55967642</v>
      </c>
      <c r="H6" s="8">
        <v>0</v>
      </c>
      <c r="I6" s="8">
        <v>7450429</v>
      </c>
      <c r="J6" s="8">
        <v>13193802</v>
      </c>
      <c r="K6" s="8">
        <v>18293446</v>
      </c>
      <c r="L6" s="8">
        <v>22626920</v>
      </c>
      <c r="M6" s="8">
        <v>26415122</v>
      </c>
      <c r="N6" s="8">
        <v>30372078</v>
      </c>
      <c r="O6" s="8">
        <v>34891139</v>
      </c>
      <c r="P6" s="8">
        <v>39425450</v>
      </c>
      <c r="Q6" s="8">
        <v>44372578</v>
      </c>
      <c r="R6" s="8">
        <v>49575185</v>
      </c>
      <c r="S6" s="9">
        <v>55862229</v>
      </c>
      <c r="T6" s="1"/>
      <c r="U6" s="1"/>
      <c r="V6" s="1"/>
      <c r="W6" s="1"/>
      <c r="X6" s="1"/>
      <c r="Y6" s="1"/>
      <c r="Z6" s="1"/>
    </row>
    <row r="7" spans="1:26" ht="13.5" customHeight="1">
      <c r="A7" s="1"/>
      <c r="B7" s="5">
        <v>2014</v>
      </c>
      <c r="C7" s="6">
        <v>31</v>
      </c>
      <c r="D7" s="7" t="s">
        <v>47</v>
      </c>
      <c r="E7" s="8">
        <v>41285665</v>
      </c>
      <c r="F7" s="8">
        <v>41769665</v>
      </c>
      <c r="G7" s="8">
        <v>45507263</v>
      </c>
      <c r="H7" s="8">
        <v>0</v>
      </c>
      <c r="I7" s="8">
        <v>3153629</v>
      </c>
      <c r="J7" s="8">
        <v>6333205</v>
      </c>
      <c r="K7" s="8">
        <v>10206572</v>
      </c>
      <c r="L7" s="8">
        <v>13380354</v>
      </c>
      <c r="M7" s="8">
        <v>15204069</v>
      </c>
      <c r="N7" s="8">
        <v>18935291</v>
      </c>
      <c r="O7" s="8">
        <v>22710901</v>
      </c>
      <c r="P7" s="8">
        <v>27092685</v>
      </c>
      <c r="Q7" s="8">
        <v>30577580</v>
      </c>
      <c r="R7" s="8">
        <v>35648923</v>
      </c>
      <c r="S7" s="9">
        <v>45255795</v>
      </c>
      <c r="T7" s="1"/>
      <c r="U7" s="1"/>
      <c r="V7" s="1"/>
      <c r="W7" s="1"/>
      <c r="X7" s="1"/>
      <c r="Y7" s="1"/>
      <c r="Z7" s="1"/>
    </row>
    <row r="8" spans="1:26" ht="13.5" customHeight="1">
      <c r="A8" s="1"/>
      <c r="B8" s="5">
        <v>2014</v>
      </c>
      <c r="C8" s="6">
        <v>31</v>
      </c>
      <c r="D8" s="7" t="s">
        <v>48</v>
      </c>
      <c r="E8" s="8">
        <v>26272563</v>
      </c>
      <c r="F8" s="8">
        <v>26955763</v>
      </c>
      <c r="G8" s="8">
        <v>25516525</v>
      </c>
      <c r="H8" s="8">
        <v>0</v>
      </c>
      <c r="I8" s="8">
        <v>57591</v>
      </c>
      <c r="J8" s="8">
        <v>2904221</v>
      </c>
      <c r="K8" s="8">
        <v>4181638</v>
      </c>
      <c r="L8" s="8">
        <v>8599963</v>
      </c>
      <c r="M8" s="8">
        <v>17353835</v>
      </c>
      <c r="N8" s="8">
        <v>19639160</v>
      </c>
      <c r="O8" s="8">
        <v>20130486</v>
      </c>
      <c r="P8" s="8">
        <v>20287005</v>
      </c>
      <c r="Q8" s="8">
        <v>20566868</v>
      </c>
      <c r="R8" s="8">
        <v>23635450</v>
      </c>
      <c r="S8" s="9">
        <v>25363607</v>
      </c>
      <c r="T8" s="1"/>
      <c r="U8" s="1"/>
      <c r="V8" s="1"/>
      <c r="W8" s="1"/>
      <c r="X8" s="1"/>
      <c r="Y8" s="1"/>
      <c r="Z8" s="1"/>
    </row>
    <row r="9" spans="1:26" ht="13.5" customHeight="1">
      <c r="A9" s="1"/>
      <c r="B9" s="5">
        <v>2014</v>
      </c>
      <c r="C9" s="6">
        <v>29</v>
      </c>
      <c r="D9" s="7" t="s">
        <v>43</v>
      </c>
      <c r="E9" s="8">
        <v>2953248</v>
      </c>
      <c r="F9" s="8">
        <v>16777214</v>
      </c>
      <c r="G9" s="8">
        <v>12770620</v>
      </c>
      <c r="H9" s="8">
        <v>0</v>
      </c>
      <c r="I9" s="8">
        <v>3363</v>
      </c>
      <c r="J9" s="8">
        <v>89766</v>
      </c>
      <c r="K9" s="8">
        <v>177873</v>
      </c>
      <c r="L9" s="8">
        <v>347371</v>
      </c>
      <c r="M9" s="8">
        <v>768455</v>
      </c>
      <c r="N9" s="8">
        <v>1122871</v>
      </c>
      <c r="O9" s="8">
        <v>1568088</v>
      </c>
      <c r="P9" s="8">
        <v>2263223</v>
      </c>
      <c r="Q9" s="8">
        <v>3127503</v>
      </c>
      <c r="R9" s="8">
        <v>3633055</v>
      </c>
      <c r="S9" s="9">
        <v>12762763</v>
      </c>
      <c r="T9" s="1"/>
      <c r="U9" s="1"/>
      <c r="V9" s="1"/>
      <c r="W9" s="1"/>
      <c r="X9" s="1"/>
      <c r="Y9" s="1"/>
      <c r="Z9" s="1"/>
    </row>
    <row r="10" spans="1:26" ht="13.5" customHeight="1">
      <c r="A10" s="1"/>
      <c r="B10" s="5">
        <v>2014</v>
      </c>
      <c r="C10" s="6">
        <v>29</v>
      </c>
      <c r="D10" s="7" t="s">
        <v>44</v>
      </c>
      <c r="E10" s="8">
        <v>381750</v>
      </c>
      <c r="F10" s="8">
        <v>381750</v>
      </c>
      <c r="G10" s="8">
        <v>381750</v>
      </c>
      <c r="H10" s="8">
        <v>1034</v>
      </c>
      <c r="I10" s="8">
        <v>1034</v>
      </c>
      <c r="J10" s="8">
        <v>54953</v>
      </c>
      <c r="K10" s="8">
        <v>56185</v>
      </c>
      <c r="L10" s="8">
        <v>56766</v>
      </c>
      <c r="M10" s="8">
        <v>58287</v>
      </c>
      <c r="N10" s="8">
        <v>81035</v>
      </c>
      <c r="O10" s="8">
        <v>124589</v>
      </c>
      <c r="P10" s="8">
        <v>127877</v>
      </c>
      <c r="Q10" s="8">
        <v>227166</v>
      </c>
      <c r="R10" s="8">
        <v>271989</v>
      </c>
      <c r="S10" s="9">
        <v>381174</v>
      </c>
      <c r="T10" s="1"/>
      <c r="U10" s="1"/>
      <c r="V10" s="1"/>
      <c r="W10" s="1"/>
      <c r="X10" s="1"/>
      <c r="Y10" s="1"/>
      <c r="Z10" s="1"/>
    </row>
    <row r="11" spans="1:26" ht="13.5" customHeight="1">
      <c r="A11" s="1"/>
      <c r="B11" s="5">
        <v>2014</v>
      </c>
      <c r="C11" s="6">
        <v>29</v>
      </c>
      <c r="D11" s="7" t="s">
        <v>45</v>
      </c>
      <c r="E11" s="8">
        <v>40007</v>
      </c>
      <c r="F11" s="8">
        <v>40007</v>
      </c>
      <c r="G11" s="8">
        <v>40007</v>
      </c>
      <c r="H11" s="8">
        <v>0</v>
      </c>
      <c r="I11" s="8">
        <v>0</v>
      </c>
      <c r="J11" s="8">
        <v>0</v>
      </c>
      <c r="K11" s="8">
        <v>158</v>
      </c>
      <c r="L11" s="8">
        <v>158</v>
      </c>
      <c r="M11" s="8">
        <v>2851</v>
      </c>
      <c r="N11" s="8">
        <v>3091</v>
      </c>
      <c r="O11" s="8">
        <v>4209</v>
      </c>
      <c r="P11" s="8">
        <v>4548</v>
      </c>
      <c r="Q11" s="8">
        <v>19543</v>
      </c>
      <c r="R11" s="8">
        <v>20114</v>
      </c>
      <c r="S11" s="9">
        <v>39562</v>
      </c>
      <c r="T11" s="1"/>
      <c r="U11" s="1"/>
      <c r="V11" s="1"/>
      <c r="W11" s="1"/>
      <c r="X11" s="1"/>
      <c r="Y11" s="1"/>
      <c r="Z11" s="1"/>
    </row>
    <row r="12" spans="1:26" ht="13.5" customHeight="1">
      <c r="A12" s="1"/>
      <c r="B12" s="5">
        <v>2014</v>
      </c>
      <c r="C12" s="6">
        <v>29</v>
      </c>
      <c r="D12" s="7" t="s">
        <v>46</v>
      </c>
      <c r="E12" s="8">
        <v>166373</v>
      </c>
      <c r="F12" s="8">
        <v>166373</v>
      </c>
      <c r="G12" s="8">
        <v>166373</v>
      </c>
      <c r="H12" s="8">
        <v>28</v>
      </c>
      <c r="I12" s="8">
        <v>1653</v>
      </c>
      <c r="J12" s="8">
        <v>2688</v>
      </c>
      <c r="K12" s="8">
        <v>4655</v>
      </c>
      <c r="L12" s="8">
        <v>12025</v>
      </c>
      <c r="M12" s="8">
        <v>62826</v>
      </c>
      <c r="N12" s="8">
        <v>63775</v>
      </c>
      <c r="O12" s="8">
        <v>95480</v>
      </c>
      <c r="P12" s="8">
        <v>126024</v>
      </c>
      <c r="Q12" s="8">
        <v>127041</v>
      </c>
      <c r="R12" s="8">
        <v>138557</v>
      </c>
      <c r="S12" s="9">
        <v>164578</v>
      </c>
      <c r="T12" s="1"/>
      <c r="U12" s="1"/>
      <c r="V12" s="1"/>
      <c r="W12" s="1"/>
      <c r="X12" s="1"/>
      <c r="Y12" s="1"/>
      <c r="Z12" s="1"/>
    </row>
    <row r="13" spans="1:26" ht="13.5" customHeight="1">
      <c r="A13" s="1"/>
      <c r="B13" s="5">
        <v>2014</v>
      </c>
      <c r="C13" s="6">
        <v>29</v>
      </c>
      <c r="D13" s="7" t="s">
        <v>47</v>
      </c>
      <c r="E13" s="8">
        <v>231070</v>
      </c>
      <c r="F13" s="8">
        <v>231070</v>
      </c>
      <c r="G13" s="8">
        <v>231070</v>
      </c>
      <c r="H13" s="8">
        <v>169</v>
      </c>
      <c r="I13" s="8">
        <v>435</v>
      </c>
      <c r="J13" s="8">
        <v>39580</v>
      </c>
      <c r="K13" s="8">
        <v>54505</v>
      </c>
      <c r="L13" s="8">
        <v>56186</v>
      </c>
      <c r="M13" s="8">
        <v>57808</v>
      </c>
      <c r="N13" s="8">
        <v>69634</v>
      </c>
      <c r="O13" s="8">
        <v>114793</v>
      </c>
      <c r="P13" s="8">
        <v>128678</v>
      </c>
      <c r="Q13" s="8">
        <v>129341</v>
      </c>
      <c r="R13" s="8">
        <v>205814</v>
      </c>
      <c r="S13" s="9">
        <v>230680</v>
      </c>
      <c r="T13" s="1"/>
      <c r="U13" s="1"/>
      <c r="V13" s="1"/>
      <c r="W13" s="1"/>
      <c r="X13" s="1"/>
      <c r="Y13" s="1"/>
      <c r="Z13" s="1"/>
    </row>
    <row r="14" spans="1:26" ht="13.5" customHeight="1">
      <c r="A14" s="1"/>
      <c r="B14" s="5">
        <v>2014</v>
      </c>
      <c r="C14" s="6">
        <v>29</v>
      </c>
      <c r="D14" s="7" t="s">
        <v>48</v>
      </c>
      <c r="E14" s="8">
        <v>104782</v>
      </c>
      <c r="F14" s="8">
        <v>142001</v>
      </c>
      <c r="G14" s="8">
        <v>142001</v>
      </c>
      <c r="H14" s="8">
        <v>140</v>
      </c>
      <c r="I14" s="8">
        <v>8109</v>
      </c>
      <c r="J14" s="8">
        <v>8109</v>
      </c>
      <c r="K14" s="8">
        <v>8613</v>
      </c>
      <c r="L14" s="8">
        <v>84253</v>
      </c>
      <c r="M14" s="8">
        <v>84548</v>
      </c>
      <c r="N14" s="8">
        <v>86349</v>
      </c>
      <c r="O14" s="8">
        <v>86349</v>
      </c>
      <c r="P14" s="8">
        <v>86399</v>
      </c>
      <c r="Q14" s="8">
        <v>98968</v>
      </c>
      <c r="R14" s="8">
        <v>117677</v>
      </c>
      <c r="S14" s="9">
        <v>141920</v>
      </c>
      <c r="T14" s="1"/>
      <c r="U14" s="1"/>
      <c r="V14" s="1"/>
      <c r="W14" s="1"/>
      <c r="X14" s="1"/>
      <c r="Y14" s="1"/>
      <c r="Z14" s="1"/>
    </row>
    <row r="15" spans="1:26" ht="13.5" customHeight="1">
      <c r="A15" s="1"/>
      <c r="B15" s="5">
        <v>2014</v>
      </c>
      <c r="C15" s="6">
        <v>33</v>
      </c>
      <c r="D15" s="7" t="s">
        <v>43</v>
      </c>
      <c r="E15" s="8">
        <v>0</v>
      </c>
      <c r="F15" s="8">
        <v>0</v>
      </c>
      <c r="G15" s="8">
        <v>0</v>
      </c>
      <c r="H15" s="8">
        <v>0</v>
      </c>
      <c r="I15" s="8">
        <v>0</v>
      </c>
      <c r="J15" s="8">
        <v>0</v>
      </c>
      <c r="K15" s="8">
        <v>0</v>
      </c>
      <c r="L15" s="8">
        <v>0</v>
      </c>
      <c r="M15" s="8">
        <v>0</v>
      </c>
      <c r="N15" s="8">
        <v>0</v>
      </c>
      <c r="O15" s="8">
        <v>0</v>
      </c>
      <c r="P15" s="8">
        <v>0</v>
      </c>
      <c r="Q15" s="8">
        <v>0</v>
      </c>
      <c r="R15" s="8">
        <v>0</v>
      </c>
      <c r="S15" s="9">
        <v>0</v>
      </c>
      <c r="T15" s="1"/>
      <c r="U15" s="1"/>
      <c r="V15" s="1"/>
      <c r="W15" s="1"/>
      <c r="X15" s="1"/>
      <c r="Y15" s="1"/>
      <c r="Z15" s="1"/>
    </row>
    <row r="16" spans="1:26" ht="13.5" customHeight="1">
      <c r="A16" s="1"/>
      <c r="B16" s="5">
        <v>2014</v>
      </c>
      <c r="C16" s="6">
        <v>33</v>
      </c>
      <c r="D16" s="7" t="s">
        <v>44</v>
      </c>
      <c r="E16" s="8">
        <v>0</v>
      </c>
      <c r="F16" s="8">
        <v>0</v>
      </c>
      <c r="G16" s="8">
        <v>0</v>
      </c>
      <c r="H16" s="8">
        <v>0</v>
      </c>
      <c r="I16" s="8">
        <v>0</v>
      </c>
      <c r="J16" s="8">
        <v>0</v>
      </c>
      <c r="K16" s="8">
        <v>0</v>
      </c>
      <c r="L16" s="8">
        <v>0</v>
      </c>
      <c r="M16" s="8">
        <v>0</v>
      </c>
      <c r="N16" s="8">
        <v>0</v>
      </c>
      <c r="O16" s="8">
        <v>0</v>
      </c>
      <c r="P16" s="8">
        <v>0</v>
      </c>
      <c r="Q16" s="8">
        <v>0</v>
      </c>
      <c r="R16" s="8">
        <v>0</v>
      </c>
      <c r="S16" s="9">
        <v>0</v>
      </c>
      <c r="T16" s="1"/>
      <c r="U16" s="1"/>
      <c r="V16" s="1"/>
      <c r="W16" s="1"/>
      <c r="X16" s="1"/>
      <c r="Y16" s="1"/>
      <c r="Z16" s="1"/>
    </row>
    <row r="17" spans="1:26" ht="13.5" customHeight="1">
      <c r="A17" s="1"/>
      <c r="B17" s="5">
        <v>2014</v>
      </c>
      <c r="C17" s="6">
        <v>33</v>
      </c>
      <c r="D17" s="7" t="s">
        <v>45</v>
      </c>
      <c r="E17" s="8">
        <v>0</v>
      </c>
      <c r="F17" s="8">
        <v>0</v>
      </c>
      <c r="G17" s="8">
        <v>0</v>
      </c>
      <c r="H17" s="8">
        <v>0</v>
      </c>
      <c r="I17" s="8">
        <v>0</v>
      </c>
      <c r="J17" s="8">
        <v>0</v>
      </c>
      <c r="K17" s="8">
        <v>0</v>
      </c>
      <c r="L17" s="8">
        <v>0</v>
      </c>
      <c r="M17" s="8">
        <v>0</v>
      </c>
      <c r="N17" s="8">
        <v>0</v>
      </c>
      <c r="O17" s="8">
        <v>0</v>
      </c>
      <c r="P17" s="8">
        <v>0</v>
      </c>
      <c r="Q17" s="8">
        <v>0</v>
      </c>
      <c r="R17" s="8">
        <v>0</v>
      </c>
      <c r="S17" s="9">
        <v>0</v>
      </c>
      <c r="T17" s="1"/>
      <c r="U17" s="1"/>
      <c r="V17" s="1"/>
      <c r="W17" s="1"/>
      <c r="X17" s="1"/>
      <c r="Y17" s="1"/>
      <c r="Z17" s="1"/>
    </row>
    <row r="18" spans="1:26" ht="13.5" customHeight="1">
      <c r="A18" s="1"/>
      <c r="B18" s="5">
        <v>2014</v>
      </c>
      <c r="C18" s="6">
        <v>33</v>
      </c>
      <c r="D18" s="7" t="s">
        <v>46</v>
      </c>
      <c r="E18" s="8">
        <v>0</v>
      </c>
      <c r="F18" s="8">
        <v>0</v>
      </c>
      <c r="G18" s="8">
        <v>0</v>
      </c>
      <c r="H18" s="8">
        <v>0</v>
      </c>
      <c r="I18" s="8">
        <v>0</v>
      </c>
      <c r="J18" s="8">
        <v>0</v>
      </c>
      <c r="K18" s="8">
        <v>0</v>
      </c>
      <c r="L18" s="8">
        <v>0</v>
      </c>
      <c r="M18" s="8">
        <v>0</v>
      </c>
      <c r="N18" s="8">
        <v>0</v>
      </c>
      <c r="O18" s="8">
        <v>0</v>
      </c>
      <c r="P18" s="8">
        <v>0</v>
      </c>
      <c r="Q18" s="8">
        <v>0</v>
      </c>
      <c r="R18" s="8">
        <v>0</v>
      </c>
      <c r="S18" s="9">
        <v>0</v>
      </c>
      <c r="T18" s="1"/>
      <c r="U18" s="1"/>
      <c r="V18" s="1"/>
      <c r="W18" s="1"/>
      <c r="X18" s="1"/>
      <c r="Y18" s="1"/>
      <c r="Z18" s="1"/>
    </row>
    <row r="19" spans="1:26" ht="13.5" customHeight="1">
      <c r="A19" s="1"/>
      <c r="B19" s="5">
        <v>2014</v>
      </c>
      <c r="C19" s="6">
        <v>33</v>
      </c>
      <c r="D19" s="7" t="s">
        <v>47</v>
      </c>
      <c r="E19" s="8">
        <v>0</v>
      </c>
      <c r="F19" s="8">
        <v>0</v>
      </c>
      <c r="G19" s="8">
        <v>0</v>
      </c>
      <c r="H19" s="8">
        <v>0</v>
      </c>
      <c r="I19" s="8">
        <v>0</v>
      </c>
      <c r="J19" s="8">
        <v>0</v>
      </c>
      <c r="K19" s="8">
        <v>0</v>
      </c>
      <c r="L19" s="8">
        <v>0</v>
      </c>
      <c r="M19" s="8">
        <v>0</v>
      </c>
      <c r="N19" s="8">
        <v>0</v>
      </c>
      <c r="O19" s="8">
        <v>0</v>
      </c>
      <c r="P19" s="8">
        <v>0</v>
      </c>
      <c r="Q19" s="8">
        <v>0</v>
      </c>
      <c r="R19" s="8">
        <v>0</v>
      </c>
      <c r="S19" s="9">
        <v>0</v>
      </c>
      <c r="T19" s="1"/>
      <c r="U19" s="1"/>
      <c r="V19" s="1"/>
      <c r="W19" s="1"/>
      <c r="X19" s="1"/>
      <c r="Y19" s="1"/>
      <c r="Z19" s="1"/>
    </row>
    <row r="20" spans="1:26" ht="13.5" customHeight="1">
      <c r="A20" s="1"/>
      <c r="B20" s="5">
        <v>2014</v>
      </c>
      <c r="C20" s="6">
        <v>33</v>
      </c>
      <c r="D20" s="7" t="s">
        <v>48</v>
      </c>
      <c r="E20" s="8">
        <v>0</v>
      </c>
      <c r="F20" s="8">
        <v>0</v>
      </c>
      <c r="G20" s="8">
        <v>0</v>
      </c>
      <c r="H20" s="8">
        <v>0</v>
      </c>
      <c r="I20" s="8">
        <v>0</v>
      </c>
      <c r="J20" s="8">
        <v>0</v>
      </c>
      <c r="K20" s="8">
        <v>0</v>
      </c>
      <c r="L20" s="8">
        <v>0</v>
      </c>
      <c r="M20" s="8">
        <v>0</v>
      </c>
      <c r="N20" s="8">
        <v>0</v>
      </c>
      <c r="O20" s="8">
        <v>0</v>
      </c>
      <c r="P20" s="8">
        <v>0</v>
      </c>
      <c r="Q20" s="8">
        <v>0</v>
      </c>
      <c r="R20" s="8">
        <v>0</v>
      </c>
      <c r="S20" s="9">
        <v>0</v>
      </c>
      <c r="T20" s="1"/>
      <c r="U20" s="1"/>
      <c r="V20" s="1"/>
      <c r="W20" s="1"/>
      <c r="X20" s="1"/>
      <c r="Y20" s="1"/>
      <c r="Z20" s="1"/>
    </row>
    <row r="21" spans="1:26" ht="13.5" customHeight="1">
      <c r="A21" s="1"/>
      <c r="B21" s="5">
        <v>2015</v>
      </c>
      <c r="C21" s="6">
        <v>31</v>
      </c>
      <c r="D21" s="7" t="s">
        <v>43</v>
      </c>
      <c r="E21" s="8">
        <v>957407656</v>
      </c>
      <c r="F21" s="8">
        <v>949005726</v>
      </c>
      <c r="G21" s="8">
        <v>978378698</v>
      </c>
      <c r="H21" s="8">
        <v>35691957</v>
      </c>
      <c r="I21" s="8">
        <v>115879618</v>
      </c>
      <c r="J21" s="8">
        <v>210457678</v>
      </c>
      <c r="K21" s="8">
        <v>292947200</v>
      </c>
      <c r="L21" s="8">
        <v>361894458</v>
      </c>
      <c r="M21" s="8">
        <v>419786083</v>
      </c>
      <c r="N21" s="8">
        <v>476513994</v>
      </c>
      <c r="O21" s="8">
        <v>546526929</v>
      </c>
      <c r="P21" s="8">
        <v>608703218</v>
      </c>
      <c r="Q21" s="8">
        <v>688327936</v>
      </c>
      <c r="R21" s="8">
        <v>772280679</v>
      </c>
      <c r="S21" s="9">
        <v>976840711</v>
      </c>
      <c r="T21" s="1"/>
      <c r="U21" s="1"/>
      <c r="V21" s="1"/>
      <c r="W21" s="1"/>
      <c r="X21" s="1"/>
      <c r="Y21" s="1"/>
      <c r="Z21" s="1"/>
    </row>
    <row r="22" spans="1:26" ht="13.5" customHeight="1">
      <c r="A22" s="1"/>
      <c r="B22" s="5">
        <v>2015</v>
      </c>
      <c r="C22" s="6">
        <v>31</v>
      </c>
      <c r="D22" s="7" t="s">
        <v>44</v>
      </c>
      <c r="E22" s="8">
        <v>117398169</v>
      </c>
      <c r="F22" s="8">
        <v>119398169</v>
      </c>
      <c r="G22" s="8">
        <v>127586435</v>
      </c>
      <c r="H22" s="8">
        <v>4135149</v>
      </c>
      <c r="I22" s="8">
        <v>12016222</v>
      </c>
      <c r="J22" s="8">
        <v>22838957</v>
      </c>
      <c r="K22" s="8">
        <v>31173658</v>
      </c>
      <c r="L22" s="8">
        <v>38126481</v>
      </c>
      <c r="M22" s="8">
        <v>48008563</v>
      </c>
      <c r="N22" s="8">
        <v>54996009</v>
      </c>
      <c r="O22" s="8">
        <v>62015391</v>
      </c>
      <c r="P22" s="8">
        <v>73214656</v>
      </c>
      <c r="Q22" s="8">
        <v>81368537</v>
      </c>
      <c r="R22" s="8">
        <v>95966048</v>
      </c>
      <c r="S22" s="9">
        <v>127205691</v>
      </c>
      <c r="T22" s="1"/>
      <c r="U22" s="1"/>
      <c r="V22" s="1"/>
      <c r="W22" s="1"/>
      <c r="X22" s="1"/>
      <c r="Y22" s="1"/>
      <c r="Z22" s="1"/>
    </row>
    <row r="23" spans="1:26" ht="13.5" customHeight="1">
      <c r="A23" s="1"/>
      <c r="B23" s="5">
        <v>2015</v>
      </c>
      <c r="C23" s="6">
        <v>31</v>
      </c>
      <c r="D23" s="7" t="s">
        <v>45</v>
      </c>
      <c r="E23" s="8">
        <v>68884752</v>
      </c>
      <c r="F23" s="8">
        <v>85940845</v>
      </c>
      <c r="G23" s="8">
        <v>93689760</v>
      </c>
      <c r="H23" s="8">
        <v>3681645</v>
      </c>
      <c r="I23" s="8">
        <v>8539463</v>
      </c>
      <c r="J23" s="8">
        <v>18555701</v>
      </c>
      <c r="K23" s="8">
        <v>26344808</v>
      </c>
      <c r="L23" s="8">
        <v>33283091</v>
      </c>
      <c r="M23" s="8">
        <v>38882927</v>
      </c>
      <c r="N23" s="8">
        <v>45906320</v>
      </c>
      <c r="O23" s="8">
        <v>51669887</v>
      </c>
      <c r="P23" s="8">
        <v>58317963</v>
      </c>
      <c r="Q23" s="8">
        <v>63943837</v>
      </c>
      <c r="R23" s="8">
        <v>72706421</v>
      </c>
      <c r="S23" s="9">
        <v>93526873</v>
      </c>
      <c r="T23" s="1"/>
      <c r="U23" s="1"/>
      <c r="V23" s="1"/>
      <c r="W23" s="1"/>
      <c r="X23" s="1"/>
      <c r="Y23" s="1"/>
      <c r="Z23" s="1"/>
    </row>
    <row r="24" spans="1:26" ht="13.5" customHeight="1">
      <c r="A24" s="1"/>
      <c r="B24" s="5">
        <v>2015</v>
      </c>
      <c r="C24" s="6">
        <v>31</v>
      </c>
      <c r="D24" s="7" t="s">
        <v>46</v>
      </c>
      <c r="E24" s="8">
        <v>63737311</v>
      </c>
      <c r="F24" s="8">
        <v>63737311</v>
      </c>
      <c r="G24" s="8">
        <v>66227311</v>
      </c>
      <c r="H24" s="8">
        <v>2407710</v>
      </c>
      <c r="I24" s="8">
        <v>5910699</v>
      </c>
      <c r="J24" s="8">
        <v>9882174</v>
      </c>
      <c r="K24" s="8">
        <v>13108974</v>
      </c>
      <c r="L24" s="8">
        <v>15732284</v>
      </c>
      <c r="M24" s="8">
        <v>19553181</v>
      </c>
      <c r="N24" s="8">
        <v>24349229</v>
      </c>
      <c r="O24" s="8">
        <v>30187369</v>
      </c>
      <c r="P24" s="8">
        <v>35622534</v>
      </c>
      <c r="Q24" s="8">
        <v>42257897</v>
      </c>
      <c r="R24" s="8">
        <v>50178950</v>
      </c>
      <c r="S24" s="9">
        <v>66160697</v>
      </c>
      <c r="T24" s="1"/>
      <c r="U24" s="1"/>
      <c r="V24" s="1"/>
      <c r="W24" s="1"/>
      <c r="X24" s="1"/>
      <c r="Y24" s="1"/>
      <c r="Z24" s="1"/>
    </row>
    <row r="25" spans="1:26" ht="13.5" customHeight="1">
      <c r="A25" s="1"/>
      <c r="B25" s="5">
        <v>2015</v>
      </c>
      <c r="C25" s="6">
        <v>31</v>
      </c>
      <c r="D25" s="7" t="s">
        <v>47</v>
      </c>
      <c r="E25" s="8">
        <v>41009608</v>
      </c>
      <c r="F25" s="8">
        <v>41009608</v>
      </c>
      <c r="G25" s="8">
        <v>34834080</v>
      </c>
      <c r="H25" s="8">
        <v>2264225</v>
      </c>
      <c r="I25" s="8">
        <v>4541595</v>
      </c>
      <c r="J25" s="8">
        <v>8911305</v>
      </c>
      <c r="K25" s="8">
        <v>11084249</v>
      </c>
      <c r="L25" s="8">
        <v>12623921</v>
      </c>
      <c r="M25" s="8">
        <v>14560264</v>
      </c>
      <c r="N25" s="8">
        <v>16520085</v>
      </c>
      <c r="O25" s="8">
        <v>18590642</v>
      </c>
      <c r="P25" s="8">
        <v>20057752</v>
      </c>
      <c r="Q25" s="8">
        <v>21728752</v>
      </c>
      <c r="R25" s="8">
        <v>25609920</v>
      </c>
      <c r="S25" s="9">
        <v>34520713</v>
      </c>
      <c r="T25" s="1"/>
      <c r="U25" s="1"/>
      <c r="V25" s="1"/>
      <c r="W25" s="1"/>
      <c r="X25" s="1"/>
      <c r="Y25" s="1"/>
      <c r="Z25" s="1"/>
    </row>
    <row r="26" spans="1:26" ht="13.5" customHeight="1">
      <c r="A26" s="1"/>
      <c r="B26" s="5">
        <v>2015</v>
      </c>
      <c r="C26" s="6">
        <v>31</v>
      </c>
      <c r="D26" s="7" t="s">
        <v>48</v>
      </c>
      <c r="E26" s="8">
        <v>28203580</v>
      </c>
      <c r="F26" s="8">
        <v>22493729</v>
      </c>
      <c r="G26" s="8">
        <v>12055801</v>
      </c>
      <c r="H26" s="8">
        <v>298118</v>
      </c>
      <c r="I26" s="8">
        <v>929191</v>
      </c>
      <c r="J26" s="8">
        <v>1348993</v>
      </c>
      <c r="K26" s="8">
        <v>1710614</v>
      </c>
      <c r="L26" s="8">
        <v>1997677</v>
      </c>
      <c r="M26" s="8">
        <v>2275739</v>
      </c>
      <c r="N26" s="8">
        <v>3467099</v>
      </c>
      <c r="O26" s="8">
        <v>4389984</v>
      </c>
      <c r="P26" s="8">
        <v>5606304</v>
      </c>
      <c r="Q26" s="8">
        <v>7175069</v>
      </c>
      <c r="R26" s="8">
        <v>9072251</v>
      </c>
      <c r="S26" s="9">
        <v>11974051</v>
      </c>
      <c r="T26" s="1"/>
      <c r="U26" s="1"/>
      <c r="V26" s="1"/>
      <c r="W26" s="1"/>
      <c r="X26" s="1"/>
      <c r="Y26" s="1"/>
      <c r="Z26" s="1"/>
    </row>
    <row r="27" spans="1:26" ht="13.5" customHeight="1">
      <c r="A27" s="1"/>
      <c r="B27" s="5">
        <v>2015</v>
      </c>
      <c r="C27" s="6">
        <v>29</v>
      </c>
      <c r="D27" s="7" t="s">
        <v>43</v>
      </c>
      <c r="E27" s="8">
        <v>1753030</v>
      </c>
      <c r="F27" s="8">
        <v>8742652</v>
      </c>
      <c r="G27" s="8">
        <v>11742652</v>
      </c>
      <c r="H27" s="8">
        <v>0</v>
      </c>
      <c r="I27" s="8">
        <v>2870</v>
      </c>
      <c r="J27" s="8">
        <v>6339</v>
      </c>
      <c r="K27" s="8">
        <v>61172</v>
      </c>
      <c r="L27" s="8">
        <v>711583</v>
      </c>
      <c r="M27" s="8">
        <v>1495390</v>
      </c>
      <c r="N27" s="8">
        <v>1891893</v>
      </c>
      <c r="O27" s="8">
        <v>5438346</v>
      </c>
      <c r="P27" s="8">
        <v>6548037</v>
      </c>
      <c r="Q27" s="8">
        <v>6819195</v>
      </c>
      <c r="R27" s="8">
        <v>7620746</v>
      </c>
      <c r="S27" s="9">
        <v>11724749</v>
      </c>
      <c r="T27" s="1"/>
      <c r="U27" s="1"/>
      <c r="V27" s="1"/>
      <c r="W27" s="1"/>
      <c r="X27" s="1"/>
      <c r="Y27" s="1"/>
      <c r="Z27" s="1"/>
    </row>
    <row r="28" spans="1:26" ht="13.5" customHeight="1">
      <c r="A28" s="1"/>
      <c r="B28" s="5">
        <v>2015</v>
      </c>
      <c r="C28" s="6">
        <v>29</v>
      </c>
      <c r="D28" s="7" t="s">
        <v>44</v>
      </c>
      <c r="E28" s="8">
        <v>362280</v>
      </c>
      <c r="F28" s="8">
        <v>362280</v>
      </c>
      <c r="G28" s="8">
        <v>362280</v>
      </c>
      <c r="H28" s="8">
        <v>0</v>
      </c>
      <c r="I28" s="8">
        <v>600</v>
      </c>
      <c r="J28" s="8">
        <v>2848</v>
      </c>
      <c r="K28" s="8">
        <v>35886</v>
      </c>
      <c r="L28" s="8">
        <v>37141</v>
      </c>
      <c r="M28" s="8">
        <v>46047</v>
      </c>
      <c r="N28" s="8">
        <v>56945</v>
      </c>
      <c r="O28" s="8">
        <v>89534</v>
      </c>
      <c r="P28" s="8">
        <v>202171</v>
      </c>
      <c r="Q28" s="8">
        <v>217407</v>
      </c>
      <c r="R28" s="8">
        <v>234284</v>
      </c>
      <c r="S28" s="9">
        <v>362008</v>
      </c>
      <c r="T28" s="1"/>
      <c r="U28" s="1"/>
      <c r="V28" s="1"/>
      <c r="W28" s="1"/>
      <c r="X28" s="1"/>
      <c r="Y28" s="1"/>
      <c r="Z28" s="1"/>
    </row>
    <row r="29" spans="1:26" ht="13.5" customHeight="1">
      <c r="A29" s="1"/>
      <c r="B29" s="5">
        <v>2015</v>
      </c>
      <c r="C29" s="6">
        <v>29</v>
      </c>
      <c r="D29" s="7" t="s">
        <v>45</v>
      </c>
      <c r="E29" s="8">
        <v>78467</v>
      </c>
      <c r="F29" s="8">
        <v>78467</v>
      </c>
      <c r="G29" s="8">
        <v>78467</v>
      </c>
      <c r="H29" s="8">
        <v>0</v>
      </c>
      <c r="I29" s="8">
        <v>0</v>
      </c>
      <c r="J29" s="8">
        <v>0</v>
      </c>
      <c r="K29" s="8">
        <v>0</v>
      </c>
      <c r="L29" s="8">
        <v>50</v>
      </c>
      <c r="M29" s="8">
        <v>219</v>
      </c>
      <c r="N29" s="8">
        <v>3752</v>
      </c>
      <c r="O29" s="8">
        <v>4034</v>
      </c>
      <c r="P29" s="8">
        <v>15970</v>
      </c>
      <c r="Q29" s="8">
        <v>48323</v>
      </c>
      <c r="R29" s="8">
        <v>48523</v>
      </c>
      <c r="S29" s="9">
        <v>78328</v>
      </c>
      <c r="T29" s="1"/>
      <c r="U29" s="1"/>
      <c r="V29" s="1"/>
      <c r="W29" s="1"/>
      <c r="X29" s="1"/>
      <c r="Y29" s="1"/>
      <c r="Z29" s="1"/>
    </row>
    <row r="30" spans="1:26" ht="13.5" customHeight="1">
      <c r="A30" s="1"/>
      <c r="B30" s="5">
        <v>2015</v>
      </c>
      <c r="C30" s="6">
        <v>29</v>
      </c>
      <c r="D30" s="7" t="s">
        <v>46</v>
      </c>
      <c r="E30" s="8">
        <v>1590037</v>
      </c>
      <c r="F30" s="8">
        <v>1590037</v>
      </c>
      <c r="G30" s="8">
        <v>1900037</v>
      </c>
      <c r="H30" s="8">
        <v>0</v>
      </c>
      <c r="I30" s="8">
        <v>0</v>
      </c>
      <c r="J30" s="8">
        <v>8688</v>
      </c>
      <c r="K30" s="8">
        <v>76594</v>
      </c>
      <c r="L30" s="8">
        <v>147628</v>
      </c>
      <c r="M30" s="8">
        <v>148375</v>
      </c>
      <c r="N30" s="8">
        <v>148375</v>
      </c>
      <c r="O30" s="8">
        <v>180831</v>
      </c>
      <c r="P30" s="8">
        <v>299063</v>
      </c>
      <c r="Q30" s="8">
        <v>831232</v>
      </c>
      <c r="R30" s="8">
        <v>841681</v>
      </c>
      <c r="S30" s="9">
        <v>1887067</v>
      </c>
      <c r="T30" s="1"/>
      <c r="U30" s="1"/>
      <c r="V30" s="1"/>
      <c r="W30" s="1"/>
      <c r="X30" s="1"/>
      <c r="Y30" s="1"/>
      <c r="Z30" s="1"/>
    </row>
    <row r="31" spans="1:26" ht="13.5" customHeight="1">
      <c r="A31" s="1"/>
      <c r="B31" s="5">
        <v>2015</v>
      </c>
      <c r="C31" s="6">
        <v>29</v>
      </c>
      <c r="D31" s="7" t="s">
        <v>47</v>
      </c>
      <c r="E31" s="8">
        <v>467863</v>
      </c>
      <c r="F31" s="8">
        <v>467863</v>
      </c>
      <c r="G31" s="8">
        <v>838663</v>
      </c>
      <c r="H31" s="8">
        <v>98</v>
      </c>
      <c r="I31" s="8">
        <v>907</v>
      </c>
      <c r="J31" s="8">
        <v>1747</v>
      </c>
      <c r="K31" s="8">
        <v>39102</v>
      </c>
      <c r="L31" s="8">
        <v>50749</v>
      </c>
      <c r="M31" s="8">
        <v>52117</v>
      </c>
      <c r="N31" s="8">
        <v>53586</v>
      </c>
      <c r="O31" s="8">
        <v>55733</v>
      </c>
      <c r="P31" s="8">
        <v>63697</v>
      </c>
      <c r="Q31" s="8">
        <v>82932</v>
      </c>
      <c r="R31" s="8">
        <v>158015</v>
      </c>
      <c r="S31" s="9">
        <v>838373</v>
      </c>
      <c r="T31" s="1"/>
      <c r="U31" s="1"/>
      <c r="V31" s="1"/>
      <c r="W31" s="1"/>
      <c r="X31" s="1"/>
      <c r="Y31" s="1"/>
      <c r="Z31" s="1"/>
    </row>
    <row r="32" spans="1:26" ht="13.5" customHeight="1">
      <c r="A32" s="1"/>
      <c r="B32" s="5">
        <v>2015</v>
      </c>
      <c r="C32" s="6">
        <v>29</v>
      </c>
      <c r="D32" s="7" t="s">
        <v>48</v>
      </c>
      <c r="E32" s="8">
        <v>95648</v>
      </c>
      <c r="F32" s="8">
        <v>95648</v>
      </c>
      <c r="G32" s="8">
        <v>295648</v>
      </c>
      <c r="H32" s="8">
        <v>0</v>
      </c>
      <c r="I32" s="8">
        <v>60</v>
      </c>
      <c r="J32" s="8">
        <v>60</v>
      </c>
      <c r="K32" s="8">
        <v>2161</v>
      </c>
      <c r="L32" s="8">
        <v>36520</v>
      </c>
      <c r="M32" s="8">
        <v>61061</v>
      </c>
      <c r="N32" s="8">
        <v>74560</v>
      </c>
      <c r="O32" s="8">
        <v>75213</v>
      </c>
      <c r="P32" s="8">
        <v>75636</v>
      </c>
      <c r="Q32" s="8">
        <v>79205</v>
      </c>
      <c r="R32" s="8">
        <v>177440</v>
      </c>
      <c r="S32" s="9">
        <v>295571</v>
      </c>
      <c r="T32" s="1"/>
      <c r="U32" s="1"/>
      <c r="V32" s="1"/>
      <c r="W32" s="1"/>
      <c r="X32" s="1"/>
      <c r="Y32" s="1"/>
      <c r="Z32" s="1"/>
    </row>
    <row r="33" spans="1:26" ht="13.5" customHeight="1">
      <c r="A33" s="1"/>
      <c r="B33" s="5">
        <v>2015</v>
      </c>
      <c r="C33" s="6">
        <v>33</v>
      </c>
      <c r="D33" s="7" t="s">
        <v>43</v>
      </c>
      <c r="E33" s="8">
        <v>0</v>
      </c>
      <c r="F33" s="8">
        <v>0</v>
      </c>
      <c r="G33" s="8">
        <v>0</v>
      </c>
      <c r="H33" s="8">
        <v>0</v>
      </c>
      <c r="I33" s="8">
        <v>0</v>
      </c>
      <c r="J33" s="8">
        <v>0</v>
      </c>
      <c r="K33" s="8">
        <v>0</v>
      </c>
      <c r="L33" s="8">
        <v>0</v>
      </c>
      <c r="M33" s="8">
        <v>0</v>
      </c>
      <c r="N33" s="8">
        <v>0</v>
      </c>
      <c r="O33" s="8">
        <v>0</v>
      </c>
      <c r="P33" s="8">
        <v>0</v>
      </c>
      <c r="Q33" s="8">
        <v>0</v>
      </c>
      <c r="R33" s="8">
        <v>0</v>
      </c>
      <c r="S33" s="9">
        <v>0</v>
      </c>
      <c r="T33" s="1"/>
      <c r="U33" s="1"/>
      <c r="V33" s="1"/>
      <c r="W33" s="1"/>
      <c r="X33" s="1"/>
      <c r="Y33" s="1"/>
      <c r="Z33" s="1"/>
    </row>
    <row r="34" spans="1:26" ht="13.5" customHeight="1">
      <c r="A34" s="1"/>
      <c r="B34" s="5">
        <v>2015</v>
      </c>
      <c r="C34" s="6">
        <v>33</v>
      </c>
      <c r="D34" s="7" t="s">
        <v>44</v>
      </c>
      <c r="E34" s="8">
        <v>0</v>
      </c>
      <c r="F34" s="8">
        <v>0</v>
      </c>
      <c r="G34" s="8">
        <v>0</v>
      </c>
      <c r="H34" s="8">
        <v>0</v>
      </c>
      <c r="I34" s="8">
        <v>0</v>
      </c>
      <c r="J34" s="8">
        <v>0</v>
      </c>
      <c r="K34" s="8">
        <v>0</v>
      </c>
      <c r="L34" s="8">
        <v>0</v>
      </c>
      <c r="M34" s="8">
        <v>0</v>
      </c>
      <c r="N34" s="8">
        <v>0</v>
      </c>
      <c r="O34" s="8">
        <v>0</v>
      </c>
      <c r="P34" s="8">
        <v>0</v>
      </c>
      <c r="Q34" s="8">
        <v>0</v>
      </c>
      <c r="R34" s="8">
        <v>0</v>
      </c>
      <c r="S34" s="9">
        <v>0</v>
      </c>
      <c r="T34" s="1"/>
      <c r="U34" s="1"/>
      <c r="V34" s="1"/>
      <c r="W34" s="1"/>
      <c r="X34" s="1"/>
      <c r="Y34" s="1"/>
      <c r="Z34" s="1"/>
    </row>
    <row r="35" spans="1:26" ht="13.5" customHeight="1">
      <c r="A35" s="1"/>
      <c r="B35" s="5">
        <v>2015</v>
      </c>
      <c r="C35" s="6">
        <v>33</v>
      </c>
      <c r="D35" s="7" t="s">
        <v>45</v>
      </c>
      <c r="E35" s="8">
        <v>0</v>
      </c>
      <c r="F35" s="8">
        <v>0</v>
      </c>
      <c r="G35" s="8">
        <v>0</v>
      </c>
      <c r="H35" s="8">
        <v>0</v>
      </c>
      <c r="I35" s="8">
        <v>0</v>
      </c>
      <c r="J35" s="8">
        <v>0</v>
      </c>
      <c r="K35" s="8">
        <v>0</v>
      </c>
      <c r="L35" s="8">
        <v>0</v>
      </c>
      <c r="M35" s="8">
        <v>0</v>
      </c>
      <c r="N35" s="8">
        <v>0</v>
      </c>
      <c r="O35" s="8">
        <v>0</v>
      </c>
      <c r="P35" s="8">
        <v>0</v>
      </c>
      <c r="Q35" s="8">
        <v>0</v>
      </c>
      <c r="R35" s="8">
        <v>0</v>
      </c>
      <c r="S35" s="9">
        <v>0</v>
      </c>
      <c r="T35" s="1"/>
      <c r="U35" s="1"/>
      <c r="V35" s="1"/>
      <c r="W35" s="1"/>
      <c r="X35" s="1"/>
      <c r="Y35" s="1"/>
      <c r="Z35" s="1"/>
    </row>
    <row r="36" spans="1:26" ht="13.5" customHeight="1">
      <c r="A36" s="1"/>
      <c r="B36" s="5">
        <v>2015</v>
      </c>
      <c r="C36" s="6">
        <v>33</v>
      </c>
      <c r="D36" s="7" t="s">
        <v>46</v>
      </c>
      <c r="E36" s="8">
        <v>0</v>
      </c>
      <c r="F36" s="8">
        <v>0</v>
      </c>
      <c r="G36" s="8">
        <v>0</v>
      </c>
      <c r="H36" s="8">
        <v>0</v>
      </c>
      <c r="I36" s="8">
        <v>0</v>
      </c>
      <c r="J36" s="8">
        <v>0</v>
      </c>
      <c r="K36" s="8">
        <v>0</v>
      </c>
      <c r="L36" s="8">
        <v>0</v>
      </c>
      <c r="M36" s="8">
        <v>0</v>
      </c>
      <c r="N36" s="8">
        <v>0</v>
      </c>
      <c r="O36" s="8">
        <v>0</v>
      </c>
      <c r="P36" s="8">
        <v>0</v>
      </c>
      <c r="Q36" s="8">
        <v>0</v>
      </c>
      <c r="R36" s="8">
        <v>0</v>
      </c>
      <c r="S36" s="9">
        <v>0</v>
      </c>
      <c r="T36" s="1"/>
      <c r="U36" s="1"/>
      <c r="V36" s="1"/>
      <c r="W36" s="1"/>
      <c r="X36" s="1"/>
      <c r="Y36" s="1"/>
      <c r="Z36" s="1"/>
    </row>
    <row r="37" spans="1:26" ht="13.5" customHeight="1">
      <c r="A37" s="1"/>
      <c r="B37" s="5">
        <v>2015</v>
      </c>
      <c r="C37" s="6">
        <v>33</v>
      </c>
      <c r="D37" s="7" t="s">
        <v>47</v>
      </c>
      <c r="E37" s="8">
        <v>0</v>
      </c>
      <c r="F37" s="8">
        <v>0</v>
      </c>
      <c r="G37" s="8">
        <v>0</v>
      </c>
      <c r="H37" s="8">
        <v>0</v>
      </c>
      <c r="I37" s="8">
        <v>0</v>
      </c>
      <c r="J37" s="8">
        <v>0</v>
      </c>
      <c r="K37" s="8">
        <v>0</v>
      </c>
      <c r="L37" s="8">
        <v>0</v>
      </c>
      <c r="M37" s="8">
        <v>0</v>
      </c>
      <c r="N37" s="8">
        <v>0</v>
      </c>
      <c r="O37" s="8">
        <v>0</v>
      </c>
      <c r="P37" s="8">
        <v>0</v>
      </c>
      <c r="Q37" s="8">
        <v>0</v>
      </c>
      <c r="R37" s="8">
        <v>0</v>
      </c>
      <c r="S37" s="9">
        <v>0</v>
      </c>
      <c r="T37" s="1"/>
      <c r="U37" s="1"/>
      <c r="V37" s="1"/>
      <c r="W37" s="1"/>
      <c r="X37" s="1"/>
      <c r="Y37" s="1"/>
      <c r="Z37" s="1"/>
    </row>
    <row r="38" spans="1:26" ht="13.5" customHeight="1">
      <c r="A38" s="1"/>
      <c r="B38" s="5">
        <v>2015</v>
      </c>
      <c r="C38" s="6">
        <v>33</v>
      </c>
      <c r="D38" s="7" t="s">
        <v>48</v>
      </c>
      <c r="E38" s="8">
        <v>0</v>
      </c>
      <c r="F38" s="8">
        <v>0</v>
      </c>
      <c r="G38" s="8">
        <v>0</v>
      </c>
      <c r="H38" s="8">
        <v>0</v>
      </c>
      <c r="I38" s="8">
        <v>0</v>
      </c>
      <c r="J38" s="8">
        <v>0</v>
      </c>
      <c r="K38" s="8">
        <v>0</v>
      </c>
      <c r="L38" s="8">
        <v>0</v>
      </c>
      <c r="M38" s="8">
        <v>0</v>
      </c>
      <c r="N38" s="8">
        <v>0</v>
      </c>
      <c r="O38" s="8">
        <v>0</v>
      </c>
      <c r="P38" s="8">
        <v>0</v>
      </c>
      <c r="Q38" s="8">
        <v>0</v>
      </c>
      <c r="R38" s="8">
        <v>0</v>
      </c>
      <c r="S38" s="9">
        <v>0</v>
      </c>
      <c r="T38" s="1"/>
      <c r="U38" s="1"/>
      <c r="V38" s="1"/>
      <c r="W38" s="1"/>
      <c r="X38" s="1"/>
      <c r="Y38" s="1"/>
      <c r="Z38" s="1"/>
    </row>
    <row r="39" spans="1:26" ht="13.5" customHeight="1">
      <c r="A39" s="1"/>
      <c r="B39" s="5">
        <v>2016</v>
      </c>
      <c r="C39" s="6">
        <v>31</v>
      </c>
      <c r="D39" s="7" t="s">
        <v>43</v>
      </c>
      <c r="E39" s="8">
        <v>937156766</v>
      </c>
      <c r="F39" s="8">
        <v>937166385</v>
      </c>
      <c r="G39" s="8">
        <v>940884842</v>
      </c>
      <c r="H39" s="8">
        <v>40005015</v>
      </c>
      <c r="I39" s="8">
        <v>118158110</v>
      </c>
      <c r="J39" s="8">
        <v>206609169</v>
      </c>
      <c r="K39" s="8">
        <v>287881130</v>
      </c>
      <c r="L39" s="8">
        <v>358249243</v>
      </c>
      <c r="M39" s="8">
        <v>428512091</v>
      </c>
      <c r="N39" s="8">
        <v>493195502</v>
      </c>
      <c r="O39" s="8">
        <v>565430649</v>
      </c>
      <c r="P39" s="8">
        <v>635240221</v>
      </c>
      <c r="Q39" s="8">
        <v>720114806</v>
      </c>
      <c r="R39" s="8">
        <v>799381459</v>
      </c>
      <c r="S39" s="9">
        <v>939632633</v>
      </c>
      <c r="T39" s="1"/>
      <c r="U39" s="1"/>
      <c r="V39" s="1"/>
      <c r="W39" s="1"/>
      <c r="X39" s="1"/>
      <c r="Y39" s="1"/>
      <c r="Z39" s="1"/>
    </row>
    <row r="40" spans="1:26" ht="13.5" customHeight="1">
      <c r="A40" s="1"/>
      <c r="B40" s="5">
        <v>2016</v>
      </c>
      <c r="C40" s="6">
        <v>31</v>
      </c>
      <c r="D40" s="7" t="s">
        <v>44</v>
      </c>
      <c r="E40" s="8">
        <v>127292924</v>
      </c>
      <c r="F40" s="8">
        <v>127292924</v>
      </c>
      <c r="G40" s="8">
        <v>125791938</v>
      </c>
      <c r="H40" s="8">
        <v>1644472</v>
      </c>
      <c r="I40" s="8">
        <v>6760437</v>
      </c>
      <c r="J40" s="8">
        <v>14482109</v>
      </c>
      <c r="K40" s="8">
        <v>20055802</v>
      </c>
      <c r="L40" s="8">
        <v>26700349</v>
      </c>
      <c r="M40" s="8">
        <v>38755843</v>
      </c>
      <c r="N40" s="8">
        <v>45496469</v>
      </c>
      <c r="O40" s="8">
        <v>52480551</v>
      </c>
      <c r="P40" s="8">
        <v>60402105</v>
      </c>
      <c r="Q40" s="8">
        <v>68110654</v>
      </c>
      <c r="R40" s="8">
        <v>84499774</v>
      </c>
      <c r="S40" s="9">
        <v>125549909</v>
      </c>
      <c r="T40" s="1"/>
      <c r="U40" s="1"/>
      <c r="V40" s="1"/>
      <c r="W40" s="1"/>
      <c r="X40" s="1"/>
      <c r="Y40" s="1"/>
      <c r="Z40" s="1"/>
    </row>
    <row r="41" spans="1:26" ht="13.5" customHeight="1">
      <c r="A41" s="1"/>
      <c r="B41" s="5">
        <v>2016</v>
      </c>
      <c r="C41" s="6">
        <v>31</v>
      </c>
      <c r="D41" s="7" t="s">
        <v>45</v>
      </c>
      <c r="E41" s="8">
        <v>71502372</v>
      </c>
      <c r="F41" s="8">
        <v>71502372</v>
      </c>
      <c r="G41" s="8">
        <v>80579039</v>
      </c>
      <c r="H41" s="8">
        <v>0</v>
      </c>
      <c r="I41" s="8">
        <v>7489256</v>
      </c>
      <c r="J41" s="8">
        <v>14608985</v>
      </c>
      <c r="K41" s="8">
        <v>20077326</v>
      </c>
      <c r="L41" s="8">
        <v>25109701</v>
      </c>
      <c r="M41" s="8">
        <v>31740697</v>
      </c>
      <c r="N41" s="8">
        <v>36595708</v>
      </c>
      <c r="O41" s="8">
        <v>43957889</v>
      </c>
      <c r="P41" s="8">
        <v>48847708</v>
      </c>
      <c r="Q41" s="8">
        <v>53992956</v>
      </c>
      <c r="R41" s="8">
        <v>60335109</v>
      </c>
      <c r="S41" s="9">
        <v>80271976</v>
      </c>
      <c r="T41" s="1"/>
      <c r="U41" s="1"/>
      <c r="V41" s="1"/>
      <c r="W41" s="1"/>
      <c r="X41" s="1"/>
      <c r="Y41" s="1"/>
      <c r="Z41" s="1"/>
    </row>
    <row r="42" spans="1:26" ht="13.5" customHeight="1">
      <c r="A42" s="1"/>
      <c r="B42" s="5">
        <v>2016</v>
      </c>
      <c r="C42" s="6">
        <v>31</v>
      </c>
      <c r="D42" s="7" t="s">
        <v>46</v>
      </c>
      <c r="E42" s="8">
        <v>66005341</v>
      </c>
      <c r="F42" s="8">
        <v>66005341</v>
      </c>
      <c r="G42" s="8">
        <v>66601585</v>
      </c>
      <c r="H42" s="8">
        <v>5244325</v>
      </c>
      <c r="I42" s="8">
        <v>10266262</v>
      </c>
      <c r="J42" s="8">
        <v>16219822</v>
      </c>
      <c r="K42" s="8">
        <v>21648618</v>
      </c>
      <c r="L42" s="8">
        <v>27387993</v>
      </c>
      <c r="M42" s="8">
        <v>33761936</v>
      </c>
      <c r="N42" s="8">
        <v>38844614</v>
      </c>
      <c r="O42" s="8">
        <v>43222678</v>
      </c>
      <c r="P42" s="8">
        <v>47526334</v>
      </c>
      <c r="Q42" s="8">
        <v>53352145</v>
      </c>
      <c r="R42" s="8">
        <v>57473232</v>
      </c>
      <c r="S42" s="9">
        <v>66424573</v>
      </c>
      <c r="T42" s="1"/>
      <c r="U42" s="1"/>
      <c r="V42" s="1"/>
      <c r="W42" s="1"/>
      <c r="X42" s="1"/>
      <c r="Y42" s="1"/>
      <c r="Z42" s="1"/>
    </row>
    <row r="43" spans="1:26" ht="13.5" customHeight="1">
      <c r="A43" s="1"/>
      <c r="B43" s="5">
        <v>2016</v>
      </c>
      <c r="C43" s="6">
        <v>31</v>
      </c>
      <c r="D43" s="7" t="s">
        <v>47</v>
      </c>
      <c r="E43" s="8">
        <v>43953347</v>
      </c>
      <c r="F43" s="8">
        <v>43633347</v>
      </c>
      <c r="G43" s="8">
        <v>43860342</v>
      </c>
      <c r="H43" s="8">
        <v>1294891</v>
      </c>
      <c r="I43" s="8">
        <v>3230391</v>
      </c>
      <c r="J43" s="8">
        <v>6707771</v>
      </c>
      <c r="K43" s="8">
        <v>9854285</v>
      </c>
      <c r="L43" s="8">
        <v>12462996</v>
      </c>
      <c r="M43" s="8">
        <v>14578473</v>
      </c>
      <c r="N43" s="8">
        <v>18444600</v>
      </c>
      <c r="O43" s="8">
        <v>21445778</v>
      </c>
      <c r="P43" s="8">
        <v>24594268</v>
      </c>
      <c r="Q43" s="8">
        <v>28879386</v>
      </c>
      <c r="R43" s="8">
        <v>34953390</v>
      </c>
      <c r="S43" s="9">
        <v>43649710</v>
      </c>
      <c r="T43" s="1"/>
      <c r="U43" s="1"/>
      <c r="V43" s="1"/>
      <c r="W43" s="1"/>
      <c r="X43" s="1"/>
      <c r="Y43" s="1"/>
      <c r="Z43" s="1"/>
    </row>
    <row r="44" spans="1:26" ht="13.5" customHeight="1">
      <c r="A44" s="1"/>
      <c r="B44" s="5">
        <v>2016</v>
      </c>
      <c r="C44" s="6">
        <v>31</v>
      </c>
      <c r="D44" s="7" t="s">
        <v>48</v>
      </c>
      <c r="E44" s="8">
        <v>25719874</v>
      </c>
      <c r="F44" s="8">
        <v>25684874</v>
      </c>
      <c r="G44" s="8">
        <v>16279503</v>
      </c>
      <c r="H44" s="8">
        <v>0</v>
      </c>
      <c r="I44" s="8">
        <v>1722584</v>
      </c>
      <c r="J44" s="8">
        <v>2423350</v>
      </c>
      <c r="K44" s="8">
        <v>4116924</v>
      </c>
      <c r="L44" s="8">
        <v>5773095</v>
      </c>
      <c r="M44" s="8">
        <v>7187484</v>
      </c>
      <c r="N44" s="8">
        <v>8310819</v>
      </c>
      <c r="O44" s="8">
        <v>8643566</v>
      </c>
      <c r="P44" s="8">
        <v>10276104</v>
      </c>
      <c r="Q44" s="8">
        <v>11991317</v>
      </c>
      <c r="R44" s="8">
        <v>13830342</v>
      </c>
      <c r="S44" s="9">
        <v>16091959</v>
      </c>
      <c r="T44" s="1"/>
      <c r="U44" s="1"/>
      <c r="V44" s="1"/>
      <c r="W44" s="1"/>
      <c r="X44" s="1"/>
      <c r="Y44" s="1"/>
      <c r="Z44" s="1"/>
    </row>
    <row r="45" spans="1:26" ht="13.5" customHeight="1">
      <c r="A45" s="1"/>
      <c r="B45" s="5">
        <v>2016</v>
      </c>
      <c r="C45" s="6">
        <v>29</v>
      </c>
      <c r="D45" s="7" t="s">
        <v>43</v>
      </c>
      <c r="E45" s="8">
        <v>1791359</v>
      </c>
      <c r="F45" s="8">
        <v>2260359</v>
      </c>
      <c r="G45" s="8">
        <v>2665605</v>
      </c>
      <c r="H45" s="8">
        <v>109</v>
      </c>
      <c r="I45" s="8">
        <v>109</v>
      </c>
      <c r="J45" s="8">
        <v>251411</v>
      </c>
      <c r="K45" s="8">
        <v>311698</v>
      </c>
      <c r="L45" s="8">
        <v>338921</v>
      </c>
      <c r="M45" s="8">
        <v>351062</v>
      </c>
      <c r="N45" s="8">
        <v>353892</v>
      </c>
      <c r="O45" s="8">
        <v>600284</v>
      </c>
      <c r="P45" s="8">
        <v>745907</v>
      </c>
      <c r="Q45" s="8">
        <v>1013149</v>
      </c>
      <c r="R45" s="8">
        <v>1394994</v>
      </c>
      <c r="S45" s="9">
        <v>2658727</v>
      </c>
      <c r="T45" s="1"/>
      <c r="U45" s="1"/>
      <c r="V45" s="1"/>
      <c r="W45" s="1"/>
      <c r="X45" s="1"/>
      <c r="Y45" s="1"/>
      <c r="Z45" s="1"/>
    </row>
    <row r="46" spans="1:26" ht="13.5" customHeight="1">
      <c r="A46" s="1"/>
      <c r="B46" s="5">
        <v>2016</v>
      </c>
      <c r="C46" s="6">
        <v>29</v>
      </c>
      <c r="D46" s="7" t="s">
        <v>44</v>
      </c>
      <c r="E46" s="8">
        <v>327142</v>
      </c>
      <c r="F46" s="8">
        <v>258142</v>
      </c>
      <c r="G46" s="8">
        <v>258142</v>
      </c>
      <c r="H46" s="8">
        <v>81</v>
      </c>
      <c r="I46" s="8">
        <v>6200</v>
      </c>
      <c r="J46" s="8">
        <v>42765</v>
      </c>
      <c r="K46" s="8">
        <v>67427</v>
      </c>
      <c r="L46" s="8">
        <v>221926</v>
      </c>
      <c r="M46" s="8">
        <v>224260</v>
      </c>
      <c r="N46" s="8">
        <v>226362</v>
      </c>
      <c r="O46" s="8">
        <v>229974</v>
      </c>
      <c r="P46" s="8">
        <v>231250</v>
      </c>
      <c r="Q46" s="8">
        <v>232453</v>
      </c>
      <c r="R46" s="8">
        <v>234657</v>
      </c>
      <c r="S46" s="9">
        <v>257788</v>
      </c>
      <c r="T46" s="1"/>
      <c r="U46" s="1"/>
      <c r="V46" s="1"/>
      <c r="W46" s="1"/>
      <c r="X46" s="1"/>
      <c r="Y46" s="1"/>
      <c r="Z46" s="1"/>
    </row>
    <row r="47" spans="1:26" ht="13.5" customHeight="1">
      <c r="A47" s="1"/>
      <c r="B47" s="5">
        <v>2016</v>
      </c>
      <c r="C47" s="6">
        <v>29</v>
      </c>
      <c r="D47" s="7" t="s">
        <v>45</v>
      </c>
      <c r="E47" s="8">
        <v>62947</v>
      </c>
      <c r="F47" s="8">
        <v>62947</v>
      </c>
      <c r="G47" s="8">
        <v>62947</v>
      </c>
      <c r="H47" s="8">
        <v>0</v>
      </c>
      <c r="I47" s="8">
        <v>0</v>
      </c>
      <c r="J47" s="8">
        <v>18172</v>
      </c>
      <c r="K47" s="8">
        <v>18172</v>
      </c>
      <c r="L47" s="8">
        <v>18909</v>
      </c>
      <c r="M47" s="8">
        <v>33441</v>
      </c>
      <c r="N47" s="8">
        <v>47973</v>
      </c>
      <c r="O47" s="8">
        <v>47973</v>
      </c>
      <c r="P47" s="8">
        <v>47973</v>
      </c>
      <c r="Q47" s="8">
        <v>47973</v>
      </c>
      <c r="R47" s="8">
        <v>47973</v>
      </c>
      <c r="S47" s="9">
        <v>62859</v>
      </c>
      <c r="T47" s="1"/>
      <c r="U47" s="1"/>
      <c r="V47" s="1"/>
      <c r="W47" s="1"/>
      <c r="X47" s="1"/>
      <c r="Y47" s="1"/>
      <c r="Z47" s="1"/>
    </row>
    <row r="48" spans="1:26" ht="13.5" customHeight="1">
      <c r="A48" s="1"/>
      <c r="B48" s="5">
        <v>2016</v>
      </c>
      <c r="C48" s="6">
        <v>29</v>
      </c>
      <c r="D48" s="7" t="s">
        <v>46</v>
      </c>
      <c r="E48" s="8">
        <v>6130543</v>
      </c>
      <c r="F48" s="8">
        <v>6108543</v>
      </c>
      <c r="G48" s="8">
        <v>4530168</v>
      </c>
      <c r="H48" s="8">
        <v>0</v>
      </c>
      <c r="I48" s="8">
        <v>0</v>
      </c>
      <c r="J48" s="8">
        <v>3725</v>
      </c>
      <c r="K48" s="8">
        <v>21787</v>
      </c>
      <c r="L48" s="8">
        <v>600528</v>
      </c>
      <c r="M48" s="8">
        <v>600638</v>
      </c>
      <c r="N48" s="8">
        <v>1677304</v>
      </c>
      <c r="O48" s="8">
        <v>2766835</v>
      </c>
      <c r="P48" s="8">
        <v>3300940</v>
      </c>
      <c r="Q48" s="8">
        <v>4100106</v>
      </c>
      <c r="R48" s="8">
        <v>4283586</v>
      </c>
      <c r="S48" s="9">
        <v>4478644</v>
      </c>
      <c r="T48" s="1"/>
      <c r="U48" s="1"/>
      <c r="V48" s="1"/>
      <c r="W48" s="1"/>
      <c r="X48" s="1"/>
      <c r="Y48" s="1"/>
      <c r="Z48" s="1"/>
    </row>
    <row r="49" spans="1:26" ht="13.5" customHeight="1">
      <c r="A49" s="1"/>
      <c r="B49" s="5">
        <v>2016</v>
      </c>
      <c r="C49" s="6">
        <v>29</v>
      </c>
      <c r="D49" s="7" t="s">
        <v>47</v>
      </c>
      <c r="E49" s="8">
        <v>173175</v>
      </c>
      <c r="F49" s="8">
        <v>173175</v>
      </c>
      <c r="G49" s="8">
        <v>635175</v>
      </c>
      <c r="H49" s="8">
        <v>0</v>
      </c>
      <c r="I49" s="8">
        <v>17902</v>
      </c>
      <c r="J49" s="8">
        <v>25945</v>
      </c>
      <c r="K49" s="8">
        <v>51062</v>
      </c>
      <c r="L49" s="8">
        <v>54469</v>
      </c>
      <c r="M49" s="8">
        <v>55416</v>
      </c>
      <c r="N49" s="8">
        <v>56875</v>
      </c>
      <c r="O49" s="8">
        <v>60356</v>
      </c>
      <c r="P49" s="8">
        <v>64353</v>
      </c>
      <c r="Q49" s="8">
        <v>74033</v>
      </c>
      <c r="R49" s="8">
        <v>75711</v>
      </c>
      <c r="S49" s="9">
        <v>634425</v>
      </c>
      <c r="T49" s="1"/>
      <c r="U49" s="1"/>
      <c r="V49" s="1"/>
      <c r="W49" s="1"/>
      <c r="X49" s="1"/>
      <c r="Y49" s="1"/>
      <c r="Z49" s="1"/>
    </row>
    <row r="50" spans="1:26" ht="13.5" customHeight="1">
      <c r="A50" s="1"/>
      <c r="B50" s="5">
        <v>2016</v>
      </c>
      <c r="C50" s="6">
        <v>29</v>
      </c>
      <c r="D50" s="7" t="s">
        <v>48</v>
      </c>
      <c r="E50" s="8">
        <v>96011</v>
      </c>
      <c r="F50" s="8">
        <v>131011</v>
      </c>
      <c r="G50" s="8">
        <v>131011</v>
      </c>
      <c r="H50" s="8">
        <v>0</v>
      </c>
      <c r="I50" s="8">
        <v>19653</v>
      </c>
      <c r="J50" s="8">
        <v>32728</v>
      </c>
      <c r="K50" s="8">
        <v>33680</v>
      </c>
      <c r="L50" s="8">
        <v>35995</v>
      </c>
      <c r="M50" s="8">
        <v>38174</v>
      </c>
      <c r="N50" s="8">
        <v>38528</v>
      </c>
      <c r="O50" s="8">
        <v>39517</v>
      </c>
      <c r="P50" s="8">
        <v>41442</v>
      </c>
      <c r="Q50" s="8">
        <v>42876</v>
      </c>
      <c r="R50" s="8">
        <v>54418</v>
      </c>
      <c r="S50" s="9">
        <v>95971</v>
      </c>
      <c r="T50" s="1"/>
      <c r="U50" s="1"/>
      <c r="V50" s="1"/>
      <c r="W50" s="1"/>
      <c r="X50" s="1"/>
      <c r="Y50" s="1"/>
      <c r="Z50" s="1"/>
    </row>
    <row r="51" spans="1:26" ht="13.5" customHeight="1">
      <c r="A51" s="1"/>
      <c r="B51" s="5">
        <v>2016</v>
      </c>
      <c r="C51" s="6">
        <v>33</v>
      </c>
      <c r="D51" s="7" t="s">
        <v>43</v>
      </c>
      <c r="E51" s="8">
        <v>0</v>
      </c>
      <c r="F51" s="8">
        <v>0</v>
      </c>
      <c r="G51" s="8">
        <v>0</v>
      </c>
      <c r="H51" s="8">
        <v>0</v>
      </c>
      <c r="I51" s="8">
        <v>0</v>
      </c>
      <c r="J51" s="8">
        <v>0</v>
      </c>
      <c r="K51" s="8">
        <v>0</v>
      </c>
      <c r="L51" s="8">
        <v>0</v>
      </c>
      <c r="M51" s="8">
        <v>0</v>
      </c>
      <c r="N51" s="8">
        <v>0</v>
      </c>
      <c r="O51" s="8">
        <v>0</v>
      </c>
      <c r="P51" s="8">
        <v>0</v>
      </c>
      <c r="Q51" s="8">
        <v>0</v>
      </c>
      <c r="R51" s="8">
        <v>0</v>
      </c>
      <c r="S51" s="9">
        <v>0</v>
      </c>
      <c r="T51" s="1"/>
      <c r="U51" s="1"/>
      <c r="V51" s="1"/>
      <c r="W51" s="1"/>
      <c r="X51" s="1"/>
      <c r="Y51" s="1"/>
      <c r="Z51" s="1"/>
    </row>
    <row r="52" spans="1:26" ht="13.5" customHeight="1">
      <c r="A52" s="1"/>
      <c r="B52" s="5">
        <v>2016</v>
      </c>
      <c r="C52" s="6">
        <v>33</v>
      </c>
      <c r="D52" s="7" t="s">
        <v>44</v>
      </c>
      <c r="E52" s="8">
        <v>0</v>
      </c>
      <c r="F52" s="8">
        <v>0</v>
      </c>
      <c r="G52" s="8">
        <v>0</v>
      </c>
      <c r="H52" s="8">
        <v>0</v>
      </c>
      <c r="I52" s="8">
        <v>0</v>
      </c>
      <c r="J52" s="8">
        <v>0</v>
      </c>
      <c r="K52" s="8">
        <v>0</v>
      </c>
      <c r="L52" s="8">
        <v>0</v>
      </c>
      <c r="M52" s="8">
        <v>0</v>
      </c>
      <c r="N52" s="8">
        <v>0</v>
      </c>
      <c r="O52" s="8">
        <v>0</v>
      </c>
      <c r="P52" s="8">
        <v>0</v>
      </c>
      <c r="Q52" s="8">
        <v>0</v>
      </c>
      <c r="R52" s="8">
        <v>0</v>
      </c>
      <c r="S52" s="9">
        <v>0</v>
      </c>
      <c r="T52" s="1"/>
      <c r="U52" s="1"/>
      <c r="V52" s="1"/>
      <c r="W52" s="1"/>
      <c r="X52" s="1"/>
      <c r="Y52" s="1"/>
      <c r="Z52" s="1"/>
    </row>
    <row r="53" spans="1:26" ht="13.5" customHeight="1">
      <c r="A53" s="1"/>
      <c r="B53" s="5">
        <v>2016</v>
      </c>
      <c r="C53" s="6">
        <v>33</v>
      </c>
      <c r="D53" s="7" t="s">
        <v>45</v>
      </c>
      <c r="E53" s="8">
        <v>0</v>
      </c>
      <c r="F53" s="8">
        <v>0</v>
      </c>
      <c r="G53" s="8">
        <v>0</v>
      </c>
      <c r="H53" s="8">
        <v>0</v>
      </c>
      <c r="I53" s="8">
        <v>0</v>
      </c>
      <c r="J53" s="8">
        <v>0</v>
      </c>
      <c r="K53" s="8">
        <v>0</v>
      </c>
      <c r="L53" s="8">
        <v>0</v>
      </c>
      <c r="M53" s="8">
        <v>0</v>
      </c>
      <c r="N53" s="8">
        <v>0</v>
      </c>
      <c r="O53" s="8">
        <v>0</v>
      </c>
      <c r="P53" s="8">
        <v>0</v>
      </c>
      <c r="Q53" s="8">
        <v>0</v>
      </c>
      <c r="R53" s="8">
        <v>0</v>
      </c>
      <c r="S53" s="9">
        <v>0</v>
      </c>
      <c r="T53" s="1"/>
      <c r="U53" s="1"/>
      <c r="V53" s="1"/>
      <c r="W53" s="1"/>
      <c r="X53" s="1"/>
      <c r="Y53" s="1"/>
      <c r="Z53" s="1"/>
    </row>
    <row r="54" spans="1:26" ht="13.5" customHeight="1">
      <c r="A54" s="1"/>
      <c r="B54" s="5">
        <v>2016</v>
      </c>
      <c r="C54" s="6">
        <v>33</v>
      </c>
      <c r="D54" s="7" t="s">
        <v>46</v>
      </c>
      <c r="E54" s="8">
        <v>0</v>
      </c>
      <c r="F54" s="8">
        <v>0</v>
      </c>
      <c r="G54" s="8">
        <v>0</v>
      </c>
      <c r="H54" s="8">
        <v>0</v>
      </c>
      <c r="I54" s="8">
        <v>0</v>
      </c>
      <c r="J54" s="8">
        <v>0</v>
      </c>
      <c r="K54" s="8">
        <v>0</v>
      </c>
      <c r="L54" s="8">
        <v>0</v>
      </c>
      <c r="M54" s="8">
        <v>0</v>
      </c>
      <c r="N54" s="8">
        <v>0</v>
      </c>
      <c r="O54" s="8">
        <v>0</v>
      </c>
      <c r="P54" s="8">
        <v>0</v>
      </c>
      <c r="Q54" s="8">
        <v>0</v>
      </c>
      <c r="R54" s="8">
        <v>0</v>
      </c>
      <c r="S54" s="9">
        <v>0</v>
      </c>
      <c r="T54" s="1"/>
      <c r="U54" s="1"/>
      <c r="V54" s="1"/>
      <c r="W54" s="1"/>
      <c r="X54" s="1"/>
      <c r="Y54" s="1"/>
      <c r="Z54" s="1"/>
    </row>
    <row r="55" spans="1:26" ht="13.5" customHeight="1">
      <c r="A55" s="1"/>
      <c r="B55" s="5">
        <v>2016</v>
      </c>
      <c r="C55" s="6">
        <v>33</v>
      </c>
      <c r="D55" s="7" t="s">
        <v>47</v>
      </c>
      <c r="E55" s="8">
        <v>0</v>
      </c>
      <c r="F55" s="8">
        <v>0</v>
      </c>
      <c r="G55" s="8">
        <v>0</v>
      </c>
      <c r="H55" s="8">
        <v>0</v>
      </c>
      <c r="I55" s="8">
        <v>0</v>
      </c>
      <c r="J55" s="8">
        <v>0</v>
      </c>
      <c r="K55" s="8">
        <v>0</v>
      </c>
      <c r="L55" s="8">
        <v>0</v>
      </c>
      <c r="M55" s="8">
        <v>0</v>
      </c>
      <c r="N55" s="8">
        <v>0</v>
      </c>
      <c r="O55" s="8">
        <v>0</v>
      </c>
      <c r="P55" s="8">
        <v>0</v>
      </c>
      <c r="Q55" s="8">
        <v>0</v>
      </c>
      <c r="R55" s="8">
        <v>0</v>
      </c>
      <c r="S55" s="9">
        <v>0</v>
      </c>
      <c r="T55" s="1"/>
      <c r="U55" s="1"/>
      <c r="V55" s="1"/>
      <c r="W55" s="1"/>
      <c r="X55" s="1"/>
      <c r="Y55" s="1"/>
      <c r="Z55" s="1"/>
    </row>
    <row r="56" spans="1:26" ht="13.5" customHeight="1">
      <c r="A56" s="1"/>
      <c r="B56" s="5">
        <v>2016</v>
      </c>
      <c r="C56" s="6">
        <v>33</v>
      </c>
      <c r="D56" s="7" t="s">
        <v>48</v>
      </c>
      <c r="E56" s="8">
        <v>0</v>
      </c>
      <c r="F56" s="8">
        <v>0</v>
      </c>
      <c r="G56" s="8">
        <v>0</v>
      </c>
      <c r="H56" s="8">
        <v>0</v>
      </c>
      <c r="I56" s="8">
        <v>0</v>
      </c>
      <c r="J56" s="8">
        <v>0</v>
      </c>
      <c r="K56" s="8">
        <v>0</v>
      </c>
      <c r="L56" s="8">
        <v>0</v>
      </c>
      <c r="M56" s="8">
        <v>0</v>
      </c>
      <c r="N56" s="8">
        <v>0</v>
      </c>
      <c r="O56" s="8">
        <v>0</v>
      </c>
      <c r="P56" s="8">
        <v>0</v>
      </c>
      <c r="Q56" s="8">
        <v>0</v>
      </c>
      <c r="R56" s="8">
        <v>0</v>
      </c>
      <c r="S56" s="9">
        <v>0</v>
      </c>
      <c r="T56" s="1"/>
      <c r="U56" s="1"/>
      <c r="V56" s="1"/>
      <c r="W56" s="1"/>
      <c r="X56" s="1"/>
      <c r="Y56" s="1"/>
      <c r="Z56" s="1"/>
    </row>
    <row r="57" spans="1:26" ht="13.5" customHeight="1">
      <c r="A57" s="1"/>
      <c r="B57" s="5">
        <v>2017</v>
      </c>
      <c r="C57" s="6">
        <v>31</v>
      </c>
      <c r="D57" s="7" t="s">
        <v>43</v>
      </c>
      <c r="E57" s="8">
        <v>982538421</v>
      </c>
      <c r="F57" s="8">
        <v>963304221</v>
      </c>
      <c r="G57" s="8">
        <v>909483945</v>
      </c>
      <c r="H57" s="8">
        <v>40701104</v>
      </c>
      <c r="I57" s="8">
        <v>108107750</v>
      </c>
      <c r="J57" s="8">
        <v>184856578</v>
      </c>
      <c r="K57" s="8">
        <v>252856020</v>
      </c>
      <c r="L57" s="8">
        <v>319104639</v>
      </c>
      <c r="M57" s="8">
        <v>374972572</v>
      </c>
      <c r="N57" s="8">
        <v>431914072</v>
      </c>
      <c r="O57" s="8">
        <v>497890053</v>
      </c>
      <c r="P57" s="8">
        <v>572274603</v>
      </c>
      <c r="Q57" s="8">
        <v>640444837</v>
      </c>
      <c r="R57" s="8">
        <v>725045158</v>
      </c>
      <c r="S57" s="9">
        <v>907408172</v>
      </c>
      <c r="T57" s="1"/>
      <c r="U57" s="1"/>
      <c r="V57" s="1"/>
      <c r="W57" s="1"/>
      <c r="X57" s="1"/>
      <c r="Y57" s="1"/>
      <c r="Z57" s="1"/>
    </row>
    <row r="58" spans="1:26" ht="13.5" customHeight="1">
      <c r="A58" s="1"/>
      <c r="B58" s="5">
        <v>2017</v>
      </c>
      <c r="C58" s="6">
        <v>31</v>
      </c>
      <c r="D58" s="7" t="s">
        <v>44</v>
      </c>
      <c r="E58" s="8">
        <v>121635713</v>
      </c>
      <c r="F58" s="8">
        <v>129989213</v>
      </c>
      <c r="G58" s="8">
        <v>146472297</v>
      </c>
      <c r="H58" s="8">
        <v>1269137</v>
      </c>
      <c r="I58" s="8">
        <v>5677714</v>
      </c>
      <c r="J58" s="8">
        <v>11079172</v>
      </c>
      <c r="K58" s="8">
        <v>19699660</v>
      </c>
      <c r="L58" s="8">
        <v>26881172</v>
      </c>
      <c r="M58" s="8">
        <v>36009564</v>
      </c>
      <c r="N58" s="8">
        <v>43753678</v>
      </c>
      <c r="O58" s="8">
        <v>54111195</v>
      </c>
      <c r="P58" s="8">
        <v>65957670</v>
      </c>
      <c r="Q58" s="8">
        <v>79535288</v>
      </c>
      <c r="R58" s="8">
        <v>98614598</v>
      </c>
      <c r="S58" s="9">
        <v>145867704</v>
      </c>
      <c r="T58" s="1"/>
      <c r="U58" s="1"/>
      <c r="V58" s="1"/>
      <c r="W58" s="1"/>
      <c r="X58" s="1"/>
      <c r="Y58" s="1"/>
      <c r="Z58" s="1"/>
    </row>
    <row r="59" spans="1:26" ht="13.5" customHeight="1">
      <c r="A59" s="1"/>
      <c r="B59" s="5">
        <v>2017</v>
      </c>
      <c r="C59" s="6">
        <v>31</v>
      </c>
      <c r="D59" s="7" t="s">
        <v>45</v>
      </c>
      <c r="E59" s="8">
        <v>89991483</v>
      </c>
      <c r="F59" s="8">
        <v>92696068</v>
      </c>
      <c r="G59" s="8">
        <v>100477231</v>
      </c>
      <c r="H59" s="8">
        <v>0</v>
      </c>
      <c r="I59" s="8">
        <v>7437942</v>
      </c>
      <c r="J59" s="8">
        <v>15597962</v>
      </c>
      <c r="K59" s="8">
        <v>22904045</v>
      </c>
      <c r="L59" s="8">
        <v>29421513</v>
      </c>
      <c r="M59" s="8">
        <v>37145004</v>
      </c>
      <c r="N59" s="8">
        <v>44696488</v>
      </c>
      <c r="O59" s="8">
        <v>52727926</v>
      </c>
      <c r="P59" s="8">
        <v>60463520</v>
      </c>
      <c r="Q59" s="8">
        <v>67026822</v>
      </c>
      <c r="R59" s="8">
        <v>76122310</v>
      </c>
      <c r="S59" s="9">
        <v>100202686</v>
      </c>
      <c r="T59" s="1"/>
      <c r="U59" s="1"/>
      <c r="V59" s="1"/>
      <c r="W59" s="1"/>
      <c r="X59" s="1"/>
      <c r="Y59" s="1"/>
      <c r="Z59" s="1"/>
    </row>
    <row r="60" spans="1:26" ht="13.5" customHeight="1">
      <c r="A60" s="1"/>
      <c r="B60" s="5">
        <v>2017</v>
      </c>
      <c r="C60" s="6">
        <v>31</v>
      </c>
      <c r="D60" s="7" t="s">
        <v>46</v>
      </c>
      <c r="E60" s="8">
        <v>68152361</v>
      </c>
      <c r="F60" s="8">
        <v>68152361</v>
      </c>
      <c r="G60" s="8">
        <v>72233361</v>
      </c>
      <c r="H60" s="8">
        <v>5239069</v>
      </c>
      <c r="I60" s="8">
        <v>9634272</v>
      </c>
      <c r="J60" s="8">
        <v>14245421</v>
      </c>
      <c r="K60" s="8">
        <v>19009524</v>
      </c>
      <c r="L60" s="8">
        <v>23475477</v>
      </c>
      <c r="M60" s="8">
        <v>27885034</v>
      </c>
      <c r="N60" s="8">
        <v>32415133</v>
      </c>
      <c r="O60" s="8">
        <v>37252785</v>
      </c>
      <c r="P60" s="8">
        <v>41640505</v>
      </c>
      <c r="Q60" s="8">
        <v>48309815</v>
      </c>
      <c r="R60" s="8">
        <v>56401587</v>
      </c>
      <c r="S60" s="9">
        <v>72170849</v>
      </c>
      <c r="T60" s="1"/>
      <c r="U60" s="1"/>
      <c r="V60" s="1"/>
      <c r="W60" s="1"/>
      <c r="X60" s="1"/>
      <c r="Y60" s="1"/>
      <c r="Z60" s="1"/>
    </row>
    <row r="61" spans="1:26" ht="13.5" customHeight="1">
      <c r="A61" s="1"/>
      <c r="B61" s="5">
        <v>2017</v>
      </c>
      <c r="C61" s="6">
        <v>31</v>
      </c>
      <c r="D61" s="7" t="s">
        <v>47</v>
      </c>
      <c r="E61" s="8">
        <v>45271947</v>
      </c>
      <c r="F61" s="8">
        <v>45271947</v>
      </c>
      <c r="G61" s="8">
        <v>49070760</v>
      </c>
      <c r="H61" s="8">
        <v>1701148</v>
      </c>
      <c r="I61" s="8">
        <v>4989185</v>
      </c>
      <c r="J61" s="8">
        <v>8908051</v>
      </c>
      <c r="K61" s="8">
        <v>11712516</v>
      </c>
      <c r="L61" s="8">
        <v>15151391</v>
      </c>
      <c r="M61" s="8">
        <v>18220822</v>
      </c>
      <c r="N61" s="8">
        <v>21901116</v>
      </c>
      <c r="O61" s="8">
        <v>24950352</v>
      </c>
      <c r="P61" s="8">
        <v>28607785</v>
      </c>
      <c r="Q61" s="8">
        <v>32972810</v>
      </c>
      <c r="R61" s="8">
        <v>38268304</v>
      </c>
      <c r="S61" s="9">
        <v>48861397</v>
      </c>
      <c r="T61" s="1"/>
      <c r="U61" s="1"/>
      <c r="V61" s="1"/>
      <c r="W61" s="1"/>
      <c r="X61" s="1"/>
      <c r="Y61" s="1"/>
      <c r="Z61" s="1"/>
    </row>
    <row r="62" spans="1:26" ht="13.5" customHeight="1">
      <c r="A62" s="1"/>
      <c r="B62" s="5">
        <v>2017</v>
      </c>
      <c r="C62" s="6">
        <v>31</v>
      </c>
      <c r="D62" s="7" t="s">
        <v>48</v>
      </c>
      <c r="E62" s="8">
        <v>28283754</v>
      </c>
      <c r="F62" s="8">
        <v>28337248</v>
      </c>
      <c r="G62" s="8">
        <v>21498175</v>
      </c>
      <c r="H62" s="8">
        <v>0</v>
      </c>
      <c r="I62" s="8">
        <v>1930720</v>
      </c>
      <c r="J62" s="8">
        <v>3039686</v>
      </c>
      <c r="K62" s="8">
        <v>4280290</v>
      </c>
      <c r="L62" s="8">
        <v>5593090</v>
      </c>
      <c r="M62" s="8">
        <v>8744083</v>
      </c>
      <c r="N62" s="8">
        <v>10181331</v>
      </c>
      <c r="O62" s="8">
        <v>11686410</v>
      </c>
      <c r="P62" s="8">
        <v>13119459</v>
      </c>
      <c r="Q62" s="8">
        <v>14292697</v>
      </c>
      <c r="R62" s="8">
        <v>15490579</v>
      </c>
      <c r="S62" s="9">
        <v>21241804</v>
      </c>
      <c r="T62" s="1"/>
      <c r="U62" s="1"/>
      <c r="V62" s="1"/>
      <c r="W62" s="1"/>
      <c r="X62" s="1"/>
      <c r="Y62" s="1"/>
      <c r="Z62" s="1"/>
    </row>
    <row r="63" spans="1:26" ht="13.5" customHeight="1">
      <c r="A63" s="1"/>
      <c r="B63" s="5">
        <v>2017</v>
      </c>
      <c r="C63" s="6">
        <v>29</v>
      </c>
      <c r="D63" s="7" t="s">
        <v>43</v>
      </c>
      <c r="E63" s="8">
        <v>1779405</v>
      </c>
      <c r="F63" s="8">
        <v>18941005</v>
      </c>
      <c r="G63" s="8">
        <v>14280017</v>
      </c>
      <c r="H63" s="8">
        <v>309</v>
      </c>
      <c r="I63" s="8">
        <v>845</v>
      </c>
      <c r="J63" s="8">
        <v>11077</v>
      </c>
      <c r="K63" s="8">
        <v>123120</v>
      </c>
      <c r="L63" s="8">
        <v>196933</v>
      </c>
      <c r="M63" s="8">
        <v>285370</v>
      </c>
      <c r="N63" s="8">
        <v>547537</v>
      </c>
      <c r="O63" s="8">
        <v>1009460</v>
      </c>
      <c r="P63" s="8">
        <v>1211237</v>
      </c>
      <c r="Q63" s="8">
        <v>1293769</v>
      </c>
      <c r="R63" s="8">
        <v>1785704</v>
      </c>
      <c r="S63" s="9">
        <v>14200656</v>
      </c>
      <c r="T63" s="1"/>
      <c r="U63" s="1"/>
      <c r="V63" s="1"/>
      <c r="W63" s="1"/>
      <c r="X63" s="1"/>
      <c r="Y63" s="1"/>
      <c r="Z63" s="1"/>
    </row>
    <row r="64" spans="1:26" ht="13.5" customHeight="1">
      <c r="A64" s="1"/>
      <c r="B64" s="5">
        <v>2017</v>
      </c>
      <c r="C64" s="6">
        <v>29</v>
      </c>
      <c r="D64" s="7" t="s">
        <v>44</v>
      </c>
      <c r="E64" s="8">
        <v>174624</v>
      </c>
      <c r="F64" s="8">
        <v>174624</v>
      </c>
      <c r="G64" s="8">
        <v>546624</v>
      </c>
      <c r="H64" s="8">
        <v>883</v>
      </c>
      <c r="I64" s="8">
        <v>883</v>
      </c>
      <c r="J64" s="8">
        <v>883</v>
      </c>
      <c r="K64" s="8">
        <v>883</v>
      </c>
      <c r="L64" s="8">
        <v>1928</v>
      </c>
      <c r="M64" s="8">
        <v>15652</v>
      </c>
      <c r="N64" s="8">
        <v>23980</v>
      </c>
      <c r="O64" s="8">
        <v>46130</v>
      </c>
      <c r="P64" s="8">
        <v>130300</v>
      </c>
      <c r="Q64" s="8">
        <v>484366</v>
      </c>
      <c r="R64" s="8">
        <v>489621</v>
      </c>
      <c r="S64" s="9">
        <v>521394</v>
      </c>
      <c r="T64" s="1"/>
      <c r="U64" s="1"/>
      <c r="V64" s="1"/>
      <c r="W64" s="1"/>
      <c r="X64" s="1"/>
      <c r="Y64" s="1"/>
      <c r="Z64" s="1"/>
    </row>
    <row r="65" spans="1:26" ht="13.5" customHeight="1">
      <c r="A65" s="1"/>
      <c r="B65" s="5">
        <v>2017</v>
      </c>
      <c r="C65" s="6">
        <v>29</v>
      </c>
      <c r="D65" s="7" t="s">
        <v>45</v>
      </c>
      <c r="E65" s="8">
        <v>49257</v>
      </c>
      <c r="F65" s="8">
        <v>49257</v>
      </c>
      <c r="G65" s="8">
        <v>49257</v>
      </c>
      <c r="H65" s="8">
        <v>0</v>
      </c>
      <c r="I65" s="8">
        <v>0</v>
      </c>
      <c r="J65" s="8">
        <v>0</v>
      </c>
      <c r="K65" s="8">
        <v>4582</v>
      </c>
      <c r="L65" s="8">
        <v>4582</v>
      </c>
      <c r="M65" s="8">
        <v>4910</v>
      </c>
      <c r="N65" s="8">
        <v>4910</v>
      </c>
      <c r="O65" s="8">
        <v>19278</v>
      </c>
      <c r="P65" s="8">
        <v>39213</v>
      </c>
      <c r="Q65" s="8">
        <v>40363</v>
      </c>
      <c r="R65" s="8">
        <v>43648</v>
      </c>
      <c r="S65" s="9">
        <v>48831</v>
      </c>
      <c r="T65" s="1"/>
      <c r="U65" s="1"/>
      <c r="V65" s="1"/>
      <c r="W65" s="1"/>
      <c r="X65" s="1"/>
      <c r="Y65" s="1"/>
      <c r="Z65" s="1"/>
    </row>
    <row r="66" spans="1:26" ht="13.5" customHeight="1">
      <c r="A66" s="1"/>
      <c r="B66" s="5">
        <v>2017</v>
      </c>
      <c r="C66" s="6">
        <v>29</v>
      </c>
      <c r="D66" s="7" t="s">
        <v>46</v>
      </c>
      <c r="E66" s="8">
        <v>3892493</v>
      </c>
      <c r="F66" s="8">
        <v>3892493</v>
      </c>
      <c r="G66" s="8">
        <v>3718873</v>
      </c>
      <c r="H66" s="8">
        <v>42</v>
      </c>
      <c r="I66" s="8">
        <v>799133</v>
      </c>
      <c r="J66" s="8">
        <v>799559</v>
      </c>
      <c r="K66" s="8">
        <v>815806</v>
      </c>
      <c r="L66" s="8">
        <v>928261</v>
      </c>
      <c r="M66" s="8">
        <v>932834</v>
      </c>
      <c r="N66" s="8">
        <v>949476</v>
      </c>
      <c r="O66" s="8">
        <v>1550892</v>
      </c>
      <c r="P66" s="8">
        <v>2352528</v>
      </c>
      <c r="Q66" s="8">
        <v>2352966</v>
      </c>
      <c r="R66" s="8">
        <v>3418204</v>
      </c>
      <c r="S66" s="9">
        <v>3716927</v>
      </c>
      <c r="T66" s="1"/>
      <c r="U66" s="1"/>
      <c r="V66" s="1"/>
      <c r="W66" s="1"/>
      <c r="X66" s="1"/>
      <c r="Y66" s="1"/>
      <c r="Z66" s="1"/>
    </row>
    <row r="67" spans="1:26" ht="13.5" customHeight="1">
      <c r="A67" s="1"/>
      <c r="B67" s="5">
        <v>2017</v>
      </c>
      <c r="C67" s="6">
        <v>29</v>
      </c>
      <c r="D67" s="7" t="s">
        <v>47</v>
      </c>
      <c r="E67" s="8">
        <v>100131</v>
      </c>
      <c r="F67" s="8">
        <v>100131</v>
      </c>
      <c r="G67" s="8">
        <v>1762131</v>
      </c>
      <c r="H67" s="8">
        <v>0</v>
      </c>
      <c r="I67" s="8">
        <v>269</v>
      </c>
      <c r="J67" s="8">
        <v>269</v>
      </c>
      <c r="K67" s="8">
        <v>22119</v>
      </c>
      <c r="L67" s="8">
        <v>22119</v>
      </c>
      <c r="M67" s="8">
        <v>22695</v>
      </c>
      <c r="N67" s="8">
        <v>46097</v>
      </c>
      <c r="O67" s="8">
        <v>48260</v>
      </c>
      <c r="P67" s="8">
        <v>48861</v>
      </c>
      <c r="Q67" s="8">
        <v>61420</v>
      </c>
      <c r="R67" s="8">
        <v>74200</v>
      </c>
      <c r="S67" s="9">
        <v>1758867</v>
      </c>
      <c r="T67" s="1"/>
      <c r="U67" s="1"/>
      <c r="V67" s="1"/>
      <c r="W67" s="1"/>
      <c r="X67" s="1"/>
      <c r="Y67" s="1"/>
      <c r="Z67" s="1"/>
    </row>
    <row r="68" spans="1:26" ht="13.5" customHeight="1">
      <c r="A68" s="1"/>
      <c r="B68" s="5">
        <v>2017</v>
      </c>
      <c r="C68" s="6">
        <v>29</v>
      </c>
      <c r="D68" s="7" t="s">
        <v>48</v>
      </c>
      <c r="E68" s="8">
        <v>123692</v>
      </c>
      <c r="F68" s="8">
        <v>154815</v>
      </c>
      <c r="G68" s="8">
        <v>95707</v>
      </c>
      <c r="H68" s="8">
        <v>0</v>
      </c>
      <c r="I68" s="8">
        <v>1007</v>
      </c>
      <c r="J68" s="8">
        <v>1387</v>
      </c>
      <c r="K68" s="8">
        <v>4088</v>
      </c>
      <c r="L68" s="8">
        <v>18570</v>
      </c>
      <c r="M68" s="8">
        <v>18846</v>
      </c>
      <c r="N68" s="8">
        <v>38317</v>
      </c>
      <c r="O68" s="8">
        <v>42381</v>
      </c>
      <c r="P68" s="8">
        <v>45866</v>
      </c>
      <c r="Q68" s="8">
        <v>54771</v>
      </c>
      <c r="R68" s="8">
        <v>81489</v>
      </c>
      <c r="S68" s="9">
        <v>95609</v>
      </c>
      <c r="T68" s="1"/>
      <c r="U68" s="1"/>
      <c r="V68" s="1"/>
      <c r="W68" s="1"/>
      <c r="X68" s="1"/>
      <c r="Y68" s="1"/>
      <c r="Z68" s="1"/>
    </row>
    <row r="69" spans="1:26" ht="13.5" customHeight="1">
      <c r="A69" s="1"/>
      <c r="B69" s="5">
        <v>2017</v>
      </c>
      <c r="C69" s="6">
        <v>33</v>
      </c>
      <c r="D69" s="7" t="s">
        <v>43</v>
      </c>
      <c r="E69" s="8">
        <v>0</v>
      </c>
      <c r="F69" s="8">
        <v>0</v>
      </c>
      <c r="G69" s="8">
        <v>0</v>
      </c>
      <c r="H69" s="8">
        <v>0</v>
      </c>
      <c r="I69" s="8">
        <v>0</v>
      </c>
      <c r="J69" s="8">
        <v>0</v>
      </c>
      <c r="K69" s="8">
        <v>0</v>
      </c>
      <c r="L69" s="8">
        <v>0</v>
      </c>
      <c r="M69" s="8">
        <v>0</v>
      </c>
      <c r="N69" s="8">
        <v>0</v>
      </c>
      <c r="O69" s="8">
        <v>0</v>
      </c>
      <c r="P69" s="8">
        <v>0</v>
      </c>
      <c r="Q69" s="8">
        <v>0</v>
      </c>
      <c r="R69" s="8">
        <v>0</v>
      </c>
      <c r="S69" s="9">
        <v>0</v>
      </c>
      <c r="T69" s="1"/>
      <c r="U69" s="1"/>
      <c r="V69" s="1"/>
      <c r="W69" s="1"/>
      <c r="X69" s="1"/>
      <c r="Y69" s="1"/>
      <c r="Z69" s="1"/>
    </row>
    <row r="70" spans="1:26" ht="13.5" customHeight="1">
      <c r="A70" s="1"/>
      <c r="B70" s="5">
        <v>2017</v>
      </c>
      <c r="C70" s="6">
        <v>33</v>
      </c>
      <c r="D70" s="7" t="s">
        <v>44</v>
      </c>
      <c r="E70" s="8">
        <v>0</v>
      </c>
      <c r="F70" s="8">
        <v>0</v>
      </c>
      <c r="G70" s="8">
        <v>0</v>
      </c>
      <c r="H70" s="8">
        <v>0</v>
      </c>
      <c r="I70" s="8">
        <v>0</v>
      </c>
      <c r="J70" s="8">
        <v>0</v>
      </c>
      <c r="K70" s="8">
        <v>0</v>
      </c>
      <c r="L70" s="8">
        <v>0</v>
      </c>
      <c r="M70" s="8">
        <v>0</v>
      </c>
      <c r="N70" s="8">
        <v>0</v>
      </c>
      <c r="O70" s="8">
        <v>0</v>
      </c>
      <c r="P70" s="8">
        <v>0</v>
      </c>
      <c r="Q70" s="8">
        <v>0</v>
      </c>
      <c r="R70" s="8">
        <v>0</v>
      </c>
      <c r="S70" s="9">
        <v>0</v>
      </c>
      <c r="T70" s="1"/>
      <c r="U70" s="1"/>
      <c r="V70" s="1"/>
      <c r="W70" s="1"/>
      <c r="X70" s="1"/>
      <c r="Y70" s="1"/>
      <c r="Z70" s="1"/>
    </row>
    <row r="71" spans="1:26" ht="13.5" customHeight="1">
      <c r="A71" s="1"/>
      <c r="B71" s="5">
        <v>2017</v>
      </c>
      <c r="C71" s="6">
        <v>33</v>
      </c>
      <c r="D71" s="7" t="s">
        <v>45</v>
      </c>
      <c r="E71" s="8">
        <v>0</v>
      </c>
      <c r="F71" s="8">
        <v>0</v>
      </c>
      <c r="G71" s="8">
        <v>0</v>
      </c>
      <c r="H71" s="8">
        <v>0</v>
      </c>
      <c r="I71" s="8">
        <v>0</v>
      </c>
      <c r="J71" s="8">
        <v>0</v>
      </c>
      <c r="K71" s="8">
        <v>0</v>
      </c>
      <c r="L71" s="8">
        <v>0</v>
      </c>
      <c r="M71" s="8">
        <v>0</v>
      </c>
      <c r="N71" s="8">
        <v>0</v>
      </c>
      <c r="O71" s="8">
        <v>0</v>
      </c>
      <c r="P71" s="8">
        <v>0</v>
      </c>
      <c r="Q71" s="8">
        <v>0</v>
      </c>
      <c r="R71" s="8">
        <v>0</v>
      </c>
      <c r="S71" s="9">
        <v>0</v>
      </c>
      <c r="T71" s="1"/>
      <c r="U71" s="1"/>
      <c r="V71" s="1"/>
      <c r="W71" s="1"/>
      <c r="X71" s="1"/>
      <c r="Y71" s="1"/>
      <c r="Z71" s="1"/>
    </row>
    <row r="72" spans="1:26" ht="13.5" customHeight="1">
      <c r="A72" s="1"/>
      <c r="B72" s="5">
        <v>2017</v>
      </c>
      <c r="C72" s="6">
        <v>33</v>
      </c>
      <c r="D72" s="7" t="s">
        <v>46</v>
      </c>
      <c r="E72" s="8">
        <v>0</v>
      </c>
      <c r="F72" s="8">
        <v>0</v>
      </c>
      <c r="G72" s="8">
        <v>0</v>
      </c>
      <c r="H72" s="8">
        <v>0</v>
      </c>
      <c r="I72" s="8">
        <v>0</v>
      </c>
      <c r="J72" s="8">
        <v>0</v>
      </c>
      <c r="K72" s="8">
        <v>0</v>
      </c>
      <c r="L72" s="8">
        <v>0</v>
      </c>
      <c r="M72" s="8">
        <v>0</v>
      </c>
      <c r="N72" s="8">
        <v>0</v>
      </c>
      <c r="O72" s="8">
        <v>0</v>
      </c>
      <c r="P72" s="8">
        <v>0</v>
      </c>
      <c r="Q72" s="8">
        <v>0</v>
      </c>
      <c r="R72" s="8">
        <v>0</v>
      </c>
      <c r="S72" s="9">
        <v>0</v>
      </c>
      <c r="T72" s="1"/>
      <c r="U72" s="1"/>
      <c r="V72" s="1"/>
      <c r="W72" s="1"/>
      <c r="X72" s="1"/>
      <c r="Y72" s="1"/>
      <c r="Z72" s="1"/>
    </row>
    <row r="73" spans="1:26" ht="13.5" customHeight="1">
      <c r="A73" s="1"/>
      <c r="B73" s="5">
        <v>2017</v>
      </c>
      <c r="C73" s="6">
        <v>33</v>
      </c>
      <c r="D73" s="7" t="s">
        <v>47</v>
      </c>
      <c r="E73" s="8">
        <v>0</v>
      </c>
      <c r="F73" s="8">
        <v>0</v>
      </c>
      <c r="G73" s="8">
        <v>0</v>
      </c>
      <c r="H73" s="8">
        <v>0</v>
      </c>
      <c r="I73" s="8">
        <v>0</v>
      </c>
      <c r="J73" s="8">
        <v>0</v>
      </c>
      <c r="K73" s="8">
        <v>0</v>
      </c>
      <c r="L73" s="8">
        <v>0</v>
      </c>
      <c r="M73" s="8">
        <v>0</v>
      </c>
      <c r="N73" s="8">
        <v>0</v>
      </c>
      <c r="O73" s="8">
        <v>0</v>
      </c>
      <c r="P73" s="8">
        <v>0</v>
      </c>
      <c r="Q73" s="8">
        <v>0</v>
      </c>
      <c r="R73" s="8">
        <v>0</v>
      </c>
      <c r="S73" s="9">
        <v>0</v>
      </c>
      <c r="T73" s="1"/>
      <c r="U73" s="1"/>
      <c r="V73" s="1"/>
      <c r="W73" s="1"/>
      <c r="X73" s="1"/>
      <c r="Y73" s="1"/>
      <c r="Z73" s="1"/>
    </row>
    <row r="74" spans="1:26" ht="13.5" customHeight="1">
      <c r="A74" s="1"/>
      <c r="B74" s="5">
        <v>2017</v>
      </c>
      <c r="C74" s="6">
        <v>33</v>
      </c>
      <c r="D74" s="7" t="s">
        <v>48</v>
      </c>
      <c r="E74" s="8">
        <v>0</v>
      </c>
      <c r="F74" s="8">
        <v>0</v>
      </c>
      <c r="G74" s="8">
        <v>0</v>
      </c>
      <c r="H74" s="8">
        <v>0</v>
      </c>
      <c r="I74" s="8">
        <v>0</v>
      </c>
      <c r="J74" s="8">
        <v>0</v>
      </c>
      <c r="K74" s="8">
        <v>0</v>
      </c>
      <c r="L74" s="8">
        <v>0</v>
      </c>
      <c r="M74" s="8">
        <v>0</v>
      </c>
      <c r="N74" s="8">
        <v>0</v>
      </c>
      <c r="O74" s="8">
        <v>0</v>
      </c>
      <c r="P74" s="8">
        <v>0</v>
      </c>
      <c r="Q74" s="8">
        <v>0</v>
      </c>
      <c r="R74" s="8">
        <v>0</v>
      </c>
      <c r="S74" s="9">
        <v>0</v>
      </c>
      <c r="T74" s="1"/>
      <c r="U74" s="1"/>
      <c r="V74" s="1"/>
      <c r="W74" s="1"/>
      <c r="X74" s="1"/>
      <c r="Y74" s="1"/>
      <c r="Z74" s="1"/>
    </row>
    <row r="75" spans="1:26" ht="13.5" customHeight="1">
      <c r="A75" s="1"/>
      <c r="B75" s="5">
        <v>2018</v>
      </c>
      <c r="C75" s="6">
        <v>31</v>
      </c>
      <c r="D75" s="7" t="s">
        <v>43</v>
      </c>
      <c r="E75" s="8">
        <v>998447263</v>
      </c>
      <c r="F75" s="8">
        <v>987815248</v>
      </c>
      <c r="G75" s="8">
        <v>903724337</v>
      </c>
      <c r="H75" s="8">
        <v>0</v>
      </c>
      <c r="I75" s="8">
        <v>80673042</v>
      </c>
      <c r="J75" s="8">
        <v>168539648</v>
      </c>
      <c r="K75" s="8">
        <v>237340393</v>
      </c>
      <c r="L75" s="8">
        <v>309376504</v>
      </c>
      <c r="M75" s="8">
        <v>379148992</v>
      </c>
      <c r="N75" s="8">
        <v>442209871</v>
      </c>
      <c r="O75" s="8">
        <v>504027341</v>
      </c>
      <c r="P75" s="8">
        <v>570803171</v>
      </c>
      <c r="Q75" s="8">
        <v>654884646</v>
      </c>
      <c r="R75" s="8">
        <v>732454087</v>
      </c>
      <c r="S75" s="9">
        <v>901443445</v>
      </c>
      <c r="T75" s="1"/>
      <c r="U75" s="1"/>
      <c r="V75" s="1"/>
      <c r="W75" s="1"/>
      <c r="X75" s="1"/>
      <c r="Y75" s="1"/>
      <c r="Z75" s="1"/>
    </row>
    <row r="76" spans="1:26" ht="13.5" customHeight="1">
      <c r="A76" s="1"/>
      <c r="B76" s="5">
        <v>2018</v>
      </c>
      <c r="C76" s="6">
        <v>31</v>
      </c>
      <c r="D76" s="7" t="s">
        <v>44</v>
      </c>
      <c r="E76" s="8">
        <v>119785354</v>
      </c>
      <c r="F76" s="8">
        <v>119601854</v>
      </c>
      <c r="G76" s="8">
        <v>120161746</v>
      </c>
      <c r="H76" s="8">
        <v>0</v>
      </c>
      <c r="I76" s="8">
        <v>8476734</v>
      </c>
      <c r="J76" s="8">
        <v>15590064</v>
      </c>
      <c r="K76" s="8">
        <v>22689725</v>
      </c>
      <c r="L76" s="8">
        <v>31479542</v>
      </c>
      <c r="M76" s="8">
        <v>41016085</v>
      </c>
      <c r="N76" s="8">
        <v>50471408</v>
      </c>
      <c r="O76" s="8">
        <v>56335889</v>
      </c>
      <c r="P76" s="8">
        <v>65509002</v>
      </c>
      <c r="Q76" s="8">
        <v>73476914</v>
      </c>
      <c r="R76" s="8">
        <v>84787919</v>
      </c>
      <c r="S76" s="9">
        <v>119645504</v>
      </c>
      <c r="T76" s="1"/>
      <c r="U76" s="1"/>
      <c r="V76" s="1"/>
      <c r="W76" s="1"/>
      <c r="X76" s="1"/>
      <c r="Y76" s="1"/>
      <c r="Z76" s="1"/>
    </row>
    <row r="77" spans="1:26" ht="13.5" customHeight="1">
      <c r="A77" s="1"/>
      <c r="B77" s="5">
        <v>2018</v>
      </c>
      <c r="C77" s="6">
        <v>31</v>
      </c>
      <c r="D77" s="7" t="s">
        <v>45</v>
      </c>
      <c r="E77" s="8">
        <v>102433801</v>
      </c>
      <c r="F77" s="8">
        <v>102433801</v>
      </c>
      <c r="G77" s="8">
        <v>102680557</v>
      </c>
      <c r="H77" s="8">
        <v>0</v>
      </c>
      <c r="I77" s="8">
        <v>1539829</v>
      </c>
      <c r="J77" s="8">
        <v>9980097</v>
      </c>
      <c r="K77" s="8">
        <v>15990396</v>
      </c>
      <c r="L77" s="8">
        <v>26512540</v>
      </c>
      <c r="M77" s="8">
        <v>32634743</v>
      </c>
      <c r="N77" s="8">
        <v>38873532</v>
      </c>
      <c r="O77" s="8">
        <v>44503197</v>
      </c>
      <c r="P77" s="8">
        <v>51124646</v>
      </c>
      <c r="Q77" s="8">
        <v>58962002</v>
      </c>
      <c r="R77" s="8">
        <v>71960162</v>
      </c>
      <c r="S77" s="9">
        <v>101837360</v>
      </c>
      <c r="T77" s="1"/>
      <c r="U77" s="1"/>
      <c r="V77" s="1"/>
      <c r="W77" s="1"/>
      <c r="X77" s="1"/>
      <c r="Y77" s="1"/>
      <c r="Z77" s="1"/>
    </row>
    <row r="78" spans="1:26" ht="13.5" customHeight="1">
      <c r="A78" s="1"/>
      <c r="B78" s="5">
        <v>2018</v>
      </c>
      <c r="C78" s="6">
        <v>31</v>
      </c>
      <c r="D78" s="7" t="s">
        <v>46</v>
      </c>
      <c r="E78" s="8">
        <v>69097793</v>
      </c>
      <c r="F78" s="8">
        <v>68963100</v>
      </c>
      <c r="G78" s="8">
        <v>60805995</v>
      </c>
      <c r="H78" s="8">
        <v>3794605</v>
      </c>
      <c r="I78" s="8">
        <v>8887650</v>
      </c>
      <c r="J78" s="8">
        <v>13076526</v>
      </c>
      <c r="K78" s="8">
        <v>16300776</v>
      </c>
      <c r="L78" s="8">
        <v>19258274</v>
      </c>
      <c r="M78" s="8">
        <v>22907994</v>
      </c>
      <c r="N78" s="8">
        <v>26103926</v>
      </c>
      <c r="O78" s="8">
        <v>29804745</v>
      </c>
      <c r="P78" s="8">
        <v>33918911</v>
      </c>
      <c r="Q78" s="8">
        <v>41523749</v>
      </c>
      <c r="R78" s="8">
        <v>48730813</v>
      </c>
      <c r="S78" s="9">
        <v>60699920</v>
      </c>
      <c r="T78" s="1"/>
      <c r="U78" s="1"/>
      <c r="V78" s="1"/>
      <c r="W78" s="1"/>
      <c r="X78" s="1"/>
      <c r="Y78" s="1"/>
      <c r="Z78" s="1"/>
    </row>
    <row r="79" spans="1:26" ht="13.5" customHeight="1">
      <c r="A79" s="1"/>
      <c r="B79" s="5">
        <v>2018</v>
      </c>
      <c r="C79" s="6">
        <v>31</v>
      </c>
      <c r="D79" s="7" t="s">
        <v>47</v>
      </c>
      <c r="E79" s="8">
        <v>35602336</v>
      </c>
      <c r="F79" s="8">
        <v>43302336</v>
      </c>
      <c r="G79" s="8">
        <v>34299269</v>
      </c>
      <c r="H79" s="8">
        <v>2321145</v>
      </c>
      <c r="I79" s="8">
        <v>7642086</v>
      </c>
      <c r="J79" s="8">
        <v>9990190</v>
      </c>
      <c r="K79" s="8">
        <v>11333440</v>
      </c>
      <c r="L79" s="8">
        <v>13219960</v>
      </c>
      <c r="M79" s="8">
        <v>14644250</v>
      </c>
      <c r="N79" s="8">
        <v>17565409</v>
      </c>
      <c r="O79" s="8">
        <v>19503920</v>
      </c>
      <c r="P79" s="8">
        <v>21067209</v>
      </c>
      <c r="Q79" s="8">
        <v>23658290</v>
      </c>
      <c r="R79" s="8">
        <v>27309272</v>
      </c>
      <c r="S79" s="9">
        <v>34089377</v>
      </c>
      <c r="T79" s="1"/>
      <c r="U79" s="1"/>
      <c r="V79" s="1"/>
      <c r="W79" s="1"/>
      <c r="X79" s="1"/>
      <c r="Y79" s="1"/>
      <c r="Z79" s="1"/>
    </row>
    <row r="80" spans="1:26" ht="13.5" customHeight="1">
      <c r="A80" s="1"/>
      <c r="B80" s="5">
        <v>2018</v>
      </c>
      <c r="C80" s="6">
        <v>31</v>
      </c>
      <c r="D80" s="7" t="s">
        <v>48</v>
      </c>
      <c r="E80" s="8">
        <v>30504194</v>
      </c>
      <c r="F80" s="8">
        <v>30385624</v>
      </c>
      <c r="G80" s="8">
        <v>20961721</v>
      </c>
      <c r="H80" s="8">
        <v>0</v>
      </c>
      <c r="I80" s="8">
        <v>5886400</v>
      </c>
      <c r="J80" s="8">
        <v>7481295</v>
      </c>
      <c r="K80" s="8">
        <v>8719920</v>
      </c>
      <c r="L80" s="8">
        <v>11153942</v>
      </c>
      <c r="M80" s="8">
        <v>12155230</v>
      </c>
      <c r="N80" s="8">
        <v>13134856</v>
      </c>
      <c r="O80" s="8">
        <v>14455606</v>
      </c>
      <c r="P80" s="8">
        <v>16064457</v>
      </c>
      <c r="Q80" s="8">
        <v>17132589</v>
      </c>
      <c r="R80" s="8">
        <v>17904381</v>
      </c>
      <c r="S80" s="9">
        <v>20784765</v>
      </c>
      <c r="T80" s="1"/>
      <c r="U80" s="1"/>
      <c r="V80" s="1"/>
      <c r="W80" s="1"/>
      <c r="X80" s="1"/>
      <c r="Y80" s="1"/>
      <c r="Z80" s="1"/>
    </row>
    <row r="81" spans="1:26" ht="13.5" customHeight="1">
      <c r="A81" s="1"/>
      <c r="B81" s="5">
        <v>2018</v>
      </c>
      <c r="C81" s="6">
        <v>29</v>
      </c>
      <c r="D81" s="7" t="s">
        <v>43</v>
      </c>
      <c r="E81" s="8">
        <v>1606877</v>
      </c>
      <c r="F81" s="8">
        <v>7603828</v>
      </c>
      <c r="G81" s="8">
        <v>8261850</v>
      </c>
      <c r="H81" s="8">
        <v>0</v>
      </c>
      <c r="I81" s="8">
        <v>0</v>
      </c>
      <c r="J81" s="8">
        <v>724</v>
      </c>
      <c r="K81" s="8">
        <v>1893231</v>
      </c>
      <c r="L81" s="8">
        <v>2311385</v>
      </c>
      <c r="M81" s="8">
        <v>4280160</v>
      </c>
      <c r="N81" s="8">
        <v>4296433</v>
      </c>
      <c r="O81" s="8">
        <v>4363606</v>
      </c>
      <c r="P81" s="8">
        <v>4486603</v>
      </c>
      <c r="Q81" s="8">
        <v>5980395</v>
      </c>
      <c r="R81" s="8">
        <v>6124209</v>
      </c>
      <c r="S81" s="9">
        <v>8256058</v>
      </c>
      <c r="T81" s="1"/>
      <c r="U81" s="1"/>
      <c r="V81" s="1"/>
      <c r="W81" s="1"/>
      <c r="X81" s="1"/>
      <c r="Y81" s="1"/>
      <c r="Z81" s="1"/>
    </row>
    <row r="82" spans="1:26" ht="13.5" customHeight="1">
      <c r="A82" s="1"/>
      <c r="B82" s="5">
        <v>2018</v>
      </c>
      <c r="C82" s="6">
        <v>29</v>
      </c>
      <c r="D82" s="7" t="s">
        <v>44</v>
      </c>
      <c r="E82" s="8">
        <v>139517</v>
      </c>
      <c r="F82" s="8">
        <v>131028</v>
      </c>
      <c r="G82" s="8">
        <v>3231423</v>
      </c>
      <c r="H82" s="8">
        <v>0</v>
      </c>
      <c r="I82" s="8">
        <v>0</v>
      </c>
      <c r="J82" s="8">
        <v>68075</v>
      </c>
      <c r="K82" s="8">
        <v>70711</v>
      </c>
      <c r="L82" s="8">
        <v>70737</v>
      </c>
      <c r="M82" s="8">
        <v>71042</v>
      </c>
      <c r="N82" s="8">
        <v>72990</v>
      </c>
      <c r="O82" s="8">
        <v>75523</v>
      </c>
      <c r="P82" s="8">
        <v>76055</v>
      </c>
      <c r="Q82" s="8">
        <v>76160</v>
      </c>
      <c r="R82" s="8">
        <v>82646</v>
      </c>
      <c r="S82" s="9">
        <v>3222076</v>
      </c>
      <c r="T82" s="1"/>
      <c r="U82" s="1"/>
      <c r="V82" s="1"/>
      <c r="W82" s="1"/>
      <c r="X82" s="1"/>
      <c r="Y82" s="1"/>
      <c r="Z82" s="1"/>
    </row>
    <row r="83" spans="1:26" ht="13.5" customHeight="1">
      <c r="A83" s="1"/>
      <c r="B83" s="5">
        <v>2018</v>
      </c>
      <c r="C83" s="6">
        <v>29</v>
      </c>
      <c r="D83" s="7" t="s">
        <v>45</v>
      </c>
      <c r="E83" s="8">
        <v>610722</v>
      </c>
      <c r="F83" s="8">
        <v>566060</v>
      </c>
      <c r="G83" s="8">
        <v>566060</v>
      </c>
      <c r="H83" s="8">
        <v>0</v>
      </c>
      <c r="I83" s="8">
        <v>0</v>
      </c>
      <c r="J83" s="8">
        <v>192566</v>
      </c>
      <c r="K83" s="8">
        <v>338581</v>
      </c>
      <c r="L83" s="8">
        <v>338766</v>
      </c>
      <c r="M83" s="8">
        <v>338897</v>
      </c>
      <c r="N83" s="8">
        <v>339144</v>
      </c>
      <c r="O83" s="8">
        <v>340166</v>
      </c>
      <c r="P83" s="8">
        <v>352012</v>
      </c>
      <c r="Q83" s="8">
        <v>354410</v>
      </c>
      <c r="R83" s="8">
        <v>359566</v>
      </c>
      <c r="S83" s="9">
        <v>371308</v>
      </c>
      <c r="T83" s="1"/>
      <c r="U83" s="1"/>
      <c r="V83" s="1"/>
      <c r="W83" s="1"/>
      <c r="X83" s="1"/>
      <c r="Y83" s="1"/>
      <c r="Z83" s="1"/>
    </row>
    <row r="84" spans="1:26" ht="13.5" customHeight="1">
      <c r="A84" s="1"/>
      <c r="B84" s="5">
        <v>2018</v>
      </c>
      <c r="C84" s="6">
        <v>29</v>
      </c>
      <c r="D84" s="7" t="s">
        <v>46</v>
      </c>
      <c r="E84" s="8">
        <v>1987092</v>
      </c>
      <c r="F84" s="8">
        <v>1594960</v>
      </c>
      <c r="G84" s="8">
        <v>353432</v>
      </c>
      <c r="H84" s="8">
        <v>0</v>
      </c>
      <c r="I84" s="8">
        <v>1961</v>
      </c>
      <c r="J84" s="8">
        <v>3246</v>
      </c>
      <c r="K84" s="8">
        <v>3246</v>
      </c>
      <c r="L84" s="8">
        <v>5694</v>
      </c>
      <c r="M84" s="8">
        <v>28528</v>
      </c>
      <c r="N84" s="8">
        <v>41565</v>
      </c>
      <c r="O84" s="8">
        <v>41622</v>
      </c>
      <c r="P84" s="8">
        <v>41622</v>
      </c>
      <c r="Q84" s="8">
        <v>42767</v>
      </c>
      <c r="R84" s="8">
        <v>83821</v>
      </c>
      <c r="S84" s="9">
        <v>330448</v>
      </c>
      <c r="T84" s="1"/>
      <c r="U84" s="1"/>
      <c r="V84" s="1"/>
      <c r="W84" s="1"/>
      <c r="X84" s="1"/>
      <c r="Y84" s="1"/>
      <c r="Z84" s="1"/>
    </row>
    <row r="85" spans="1:26" ht="13.5" customHeight="1">
      <c r="A85" s="1"/>
      <c r="B85" s="5">
        <v>2018</v>
      </c>
      <c r="C85" s="6">
        <v>29</v>
      </c>
      <c r="D85" s="7" t="s">
        <v>47</v>
      </c>
      <c r="E85" s="8">
        <v>95500</v>
      </c>
      <c r="F85" s="8">
        <v>85076</v>
      </c>
      <c r="G85" s="8">
        <v>1689211</v>
      </c>
      <c r="H85" s="8">
        <v>198</v>
      </c>
      <c r="I85" s="8">
        <v>1102</v>
      </c>
      <c r="J85" s="8">
        <v>5726</v>
      </c>
      <c r="K85" s="8">
        <v>28536</v>
      </c>
      <c r="L85" s="8">
        <v>48499</v>
      </c>
      <c r="M85" s="8">
        <v>53855</v>
      </c>
      <c r="N85" s="8">
        <v>60520</v>
      </c>
      <c r="O85" s="8">
        <v>69445</v>
      </c>
      <c r="P85" s="8">
        <v>70064</v>
      </c>
      <c r="Q85" s="8">
        <v>73093</v>
      </c>
      <c r="R85" s="8">
        <v>73356</v>
      </c>
      <c r="S85" s="9">
        <v>1605443</v>
      </c>
      <c r="T85" s="1"/>
      <c r="U85" s="1"/>
      <c r="V85" s="1"/>
      <c r="W85" s="1"/>
      <c r="X85" s="1"/>
      <c r="Y85" s="1"/>
      <c r="Z85" s="1"/>
    </row>
    <row r="86" spans="1:26" ht="13.5" customHeight="1">
      <c r="A86" s="1"/>
      <c r="B86" s="5">
        <v>2018</v>
      </c>
      <c r="C86" s="6">
        <v>29</v>
      </c>
      <c r="D86" s="7" t="s">
        <v>48</v>
      </c>
      <c r="E86" s="8">
        <v>101075</v>
      </c>
      <c r="F86" s="8">
        <v>145935</v>
      </c>
      <c r="G86" s="8">
        <v>304643</v>
      </c>
      <c r="H86" s="8">
        <v>0</v>
      </c>
      <c r="I86" s="8">
        <v>3271</v>
      </c>
      <c r="J86" s="8">
        <v>3271</v>
      </c>
      <c r="K86" s="8">
        <v>3389</v>
      </c>
      <c r="L86" s="8">
        <v>4357</v>
      </c>
      <c r="M86" s="8">
        <v>10454</v>
      </c>
      <c r="N86" s="8">
        <v>14421</v>
      </c>
      <c r="O86" s="8">
        <v>18234</v>
      </c>
      <c r="P86" s="8">
        <v>59217</v>
      </c>
      <c r="Q86" s="8">
        <v>60033</v>
      </c>
      <c r="R86" s="8">
        <v>68642</v>
      </c>
      <c r="S86" s="9">
        <v>297380</v>
      </c>
      <c r="T86" s="1"/>
      <c r="U86" s="1"/>
      <c r="V86" s="1"/>
      <c r="W86" s="1"/>
      <c r="X86" s="1"/>
      <c r="Y86" s="1"/>
      <c r="Z86" s="1"/>
    </row>
    <row r="87" spans="1:26" ht="13.5" customHeight="1">
      <c r="A87" s="1"/>
      <c r="B87" s="5">
        <v>2018</v>
      </c>
      <c r="C87" s="6">
        <v>33</v>
      </c>
      <c r="D87" s="7" t="s">
        <v>43</v>
      </c>
      <c r="E87" s="8">
        <v>0</v>
      </c>
      <c r="F87" s="8">
        <v>0</v>
      </c>
      <c r="G87" s="8">
        <v>0</v>
      </c>
      <c r="H87" s="8">
        <v>0</v>
      </c>
      <c r="I87" s="8">
        <v>0</v>
      </c>
      <c r="J87" s="8">
        <v>0</v>
      </c>
      <c r="K87" s="8">
        <v>0</v>
      </c>
      <c r="L87" s="8">
        <v>0</v>
      </c>
      <c r="M87" s="8">
        <v>0</v>
      </c>
      <c r="N87" s="8">
        <v>0</v>
      </c>
      <c r="O87" s="8">
        <v>0</v>
      </c>
      <c r="P87" s="8">
        <v>0</v>
      </c>
      <c r="Q87" s="8">
        <v>0</v>
      </c>
      <c r="R87" s="8">
        <v>0</v>
      </c>
      <c r="S87" s="9">
        <v>0</v>
      </c>
      <c r="T87" s="1"/>
      <c r="U87" s="1"/>
      <c r="V87" s="1"/>
      <c r="W87" s="1"/>
      <c r="X87" s="1"/>
      <c r="Y87" s="1"/>
      <c r="Z87" s="1"/>
    </row>
    <row r="88" spans="1:26" ht="13.5" customHeight="1">
      <c r="A88" s="1"/>
      <c r="B88" s="5">
        <v>2018</v>
      </c>
      <c r="C88" s="6">
        <v>33</v>
      </c>
      <c r="D88" s="7" t="s">
        <v>44</v>
      </c>
      <c r="E88" s="8">
        <v>0</v>
      </c>
      <c r="F88" s="8">
        <v>0</v>
      </c>
      <c r="G88" s="8">
        <v>0</v>
      </c>
      <c r="H88" s="8">
        <v>0</v>
      </c>
      <c r="I88" s="8">
        <v>0</v>
      </c>
      <c r="J88" s="8">
        <v>0</v>
      </c>
      <c r="K88" s="8">
        <v>0</v>
      </c>
      <c r="L88" s="8">
        <v>0</v>
      </c>
      <c r="M88" s="8">
        <v>0</v>
      </c>
      <c r="N88" s="8">
        <v>0</v>
      </c>
      <c r="O88" s="8">
        <v>0</v>
      </c>
      <c r="P88" s="8">
        <v>0</v>
      </c>
      <c r="Q88" s="8">
        <v>0</v>
      </c>
      <c r="R88" s="8">
        <v>0</v>
      </c>
      <c r="S88" s="9">
        <v>0</v>
      </c>
      <c r="T88" s="1"/>
      <c r="U88" s="1"/>
      <c r="V88" s="1"/>
      <c r="W88" s="1"/>
      <c r="X88" s="1"/>
      <c r="Y88" s="1"/>
      <c r="Z88" s="1"/>
    </row>
    <row r="89" spans="1:26" ht="13.5" customHeight="1">
      <c r="A89" s="1"/>
      <c r="B89" s="5">
        <v>2018</v>
      </c>
      <c r="C89" s="6">
        <v>33</v>
      </c>
      <c r="D89" s="7" t="s">
        <v>45</v>
      </c>
      <c r="E89" s="8">
        <v>0</v>
      </c>
      <c r="F89" s="8">
        <v>0</v>
      </c>
      <c r="G89" s="8">
        <v>0</v>
      </c>
      <c r="H89" s="8">
        <v>0</v>
      </c>
      <c r="I89" s="8">
        <v>0</v>
      </c>
      <c r="J89" s="8">
        <v>0</v>
      </c>
      <c r="K89" s="8">
        <v>0</v>
      </c>
      <c r="L89" s="8">
        <v>0</v>
      </c>
      <c r="M89" s="8">
        <v>0</v>
      </c>
      <c r="N89" s="8">
        <v>0</v>
      </c>
      <c r="O89" s="8">
        <v>0</v>
      </c>
      <c r="P89" s="8">
        <v>0</v>
      </c>
      <c r="Q89" s="8">
        <v>0</v>
      </c>
      <c r="R89" s="8">
        <v>0</v>
      </c>
      <c r="S89" s="9">
        <v>0</v>
      </c>
      <c r="T89" s="1"/>
      <c r="U89" s="1"/>
      <c r="V89" s="1"/>
      <c r="W89" s="1"/>
      <c r="X89" s="1"/>
      <c r="Y89" s="1"/>
      <c r="Z89" s="1"/>
    </row>
    <row r="90" spans="1:26" ht="13.5" customHeight="1">
      <c r="A90" s="1"/>
      <c r="B90" s="5">
        <v>2018</v>
      </c>
      <c r="C90" s="6">
        <v>33</v>
      </c>
      <c r="D90" s="7" t="s">
        <v>46</v>
      </c>
      <c r="E90" s="8">
        <v>0</v>
      </c>
      <c r="F90" s="8">
        <v>0</v>
      </c>
      <c r="G90" s="8">
        <v>0</v>
      </c>
      <c r="H90" s="8">
        <v>0</v>
      </c>
      <c r="I90" s="8">
        <v>0</v>
      </c>
      <c r="J90" s="8">
        <v>0</v>
      </c>
      <c r="K90" s="8">
        <v>0</v>
      </c>
      <c r="L90" s="8">
        <v>0</v>
      </c>
      <c r="M90" s="8">
        <v>0</v>
      </c>
      <c r="N90" s="8">
        <v>0</v>
      </c>
      <c r="O90" s="8">
        <v>0</v>
      </c>
      <c r="P90" s="8">
        <v>0</v>
      </c>
      <c r="Q90" s="8">
        <v>0</v>
      </c>
      <c r="R90" s="8">
        <v>0</v>
      </c>
      <c r="S90" s="9">
        <v>0</v>
      </c>
      <c r="T90" s="1"/>
      <c r="U90" s="1"/>
      <c r="V90" s="1"/>
      <c r="W90" s="1"/>
      <c r="X90" s="1"/>
      <c r="Y90" s="1"/>
      <c r="Z90" s="1"/>
    </row>
    <row r="91" spans="1:26" ht="13.5" customHeight="1">
      <c r="A91" s="1"/>
      <c r="B91" s="5">
        <v>2018</v>
      </c>
      <c r="C91" s="6">
        <v>33</v>
      </c>
      <c r="D91" s="7" t="s">
        <v>47</v>
      </c>
      <c r="E91" s="8">
        <v>0</v>
      </c>
      <c r="F91" s="8">
        <v>0</v>
      </c>
      <c r="G91" s="8">
        <v>0</v>
      </c>
      <c r="H91" s="8">
        <v>0</v>
      </c>
      <c r="I91" s="8">
        <v>0</v>
      </c>
      <c r="J91" s="8">
        <v>0</v>
      </c>
      <c r="K91" s="8">
        <v>0</v>
      </c>
      <c r="L91" s="8">
        <v>0</v>
      </c>
      <c r="M91" s="8">
        <v>0</v>
      </c>
      <c r="N91" s="8">
        <v>0</v>
      </c>
      <c r="O91" s="8">
        <v>0</v>
      </c>
      <c r="P91" s="8">
        <v>0</v>
      </c>
      <c r="Q91" s="8">
        <v>0</v>
      </c>
      <c r="R91" s="8">
        <v>0</v>
      </c>
      <c r="S91" s="9">
        <v>0</v>
      </c>
      <c r="T91" s="1"/>
      <c r="U91" s="1"/>
      <c r="V91" s="1"/>
      <c r="W91" s="1"/>
      <c r="X91" s="1"/>
      <c r="Y91" s="1"/>
      <c r="Z91" s="1"/>
    </row>
    <row r="92" spans="1:26" ht="13.5" customHeight="1">
      <c r="A92" s="1"/>
      <c r="B92" s="5">
        <v>2018</v>
      </c>
      <c r="C92" s="6">
        <v>33</v>
      </c>
      <c r="D92" s="7" t="s">
        <v>48</v>
      </c>
      <c r="E92" s="8">
        <v>0</v>
      </c>
      <c r="F92" s="8">
        <v>0</v>
      </c>
      <c r="G92" s="8">
        <v>0</v>
      </c>
      <c r="H92" s="8">
        <v>0</v>
      </c>
      <c r="I92" s="8">
        <v>0</v>
      </c>
      <c r="J92" s="8">
        <v>0</v>
      </c>
      <c r="K92" s="8">
        <v>0</v>
      </c>
      <c r="L92" s="8">
        <v>0</v>
      </c>
      <c r="M92" s="8">
        <v>0</v>
      </c>
      <c r="N92" s="8">
        <v>0</v>
      </c>
      <c r="O92" s="8">
        <v>0</v>
      </c>
      <c r="P92" s="8">
        <v>0</v>
      </c>
      <c r="Q92" s="8">
        <v>0</v>
      </c>
      <c r="R92" s="8">
        <v>0</v>
      </c>
      <c r="S92" s="9">
        <v>0</v>
      </c>
      <c r="T92" s="1"/>
      <c r="U92" s="1"/>
      <c r="V92" s="1"/>
      <c r="W92" s="1"/>
      <c r="X92" s="1"/>
      <c r="Y92" s="1"/>
      <c r="Z92" s="1"/>
    </row>
    <row r="93" spans="1:26" ht="13.5" customHeight="1">
      <c r="A93" s="1"/>
      <c r="B93" s="5">
        <v>2019</v>
      </c>
      <c r="C93" s="6">
        <v>31</v>
      </c>
      <c r="D93" s="7" t="s">
        <v>43</v>
      </c>
      <c r="E93" s="8">
        <v>1056398949</v>
      </c>
      <c r="F93" s="8">
        <v>1061502269</v>
      </c>
      <c r="G93" s="8">
        <v>1085267877</v>
      </c>
      <c r="H93" s="8">
        <v>0</v>
      </c>
      <c r="I93" s="8">
        <v>102696407</v>
      </c>
      <c r="J93" s="8">
        <v>193837202</v>
      </c>
      <c r="K93" s="8">
        <v>287563262</v>
      </c>
      <c r="L93" s="8">
        <v>363596898</v>
      </c>
      <c r="M93" s="8">
        <v>432817167</v>
      </c>
      <c r="N93" s="8">
        <v>525171083</v>
      </c>
      <c r="O93" s="8">
        <v>613755849</v>
      </c>
      <c r="P93" s="8">
        <v>681368937</v>
      </c>
      <c r="Q93" s="8">
        <v>768886920</v>
      </c>
      <c r="R93" s="8">
        <v>859787144</v>
      </c>
      <c r="S93" s="9">
        <v>1081677766</v>
      </c>
      <c r="T93" s="1"/>
      <c r="U93" s="1"/>
      <c r="V93" s="1"/>
      <c r="W93" s="1"/>
      <c r="X93" s="1"/>
      <c r="Y93" s="1"/>
      <c r="Z93" s="1"/>
    </row>
    <row r="94" spans="1:26" ht="13.5" customHeight="1">
      <c r="A94" s="1"/>
      <c r="B94" s="5">
        <v>2019</v>
      </c>
      <c r="C94" s="6">
        <v>31</v>
      </c>
      <c r="D94" s="7" t="s">
        <v>44</v>
      </c>
      <c r="E94" s="8">
        <v>129182602</v>
      </c>
      <c r="F94" s="8">
        <v>129182602</v>
      </c>
      <c r="G94" s="8">
        <v>138342165</v>
      </c>
      <c r="H94" s="8">
        <v>0</v>
      </c>
      <c r="I94" s="8">
        <v>0</v>
      </c>
      <c r="J94" s="8">
        <v>0</v>
      </c>
      <c r="K94" s="8">
        <v>14799182</v>
      </c>
      <c r="L94" s="8">
        <v>20928761</v>
      </c>
      <c r="M94" s="8">
        <v>27050471</v>
      </c>
      <c r="N94" s="8">
        <v>36175836</v>
      </c>
      <c r="O94" s="8">
        <v>44639401</v>
      </c>
      <c r="P94" s="8">
        <v>52882663</v>
      </c>
      <c r="Q94" s="8">
        <v>68082147</v>
      </c>
      <c r="R94" s="8">
        <v>91945190</v>
      </c>
      <c r="S94" s="9">
        <v>132633546</v>
      </c>
      <c r="T94" s="1"/>
      <c r="U94" s="1"/>
      <c r="V94" s="1"/>
      <c r="W94" s="1"/>
      <c r="X94" s="1"/>
      <c r="Y94" s="1"/>
      <c r="Z94" s="1"/>
    </row>
    <row r="95" spans="1:26" ht="13.5" customHeight="1">
      <c r="A95" s="1"/>
      <c r="B95" s="5">
        <v>2019</v>
      </c>
      <c r="C95" s="6">
        <v>31</v>
      </c>
      <c r="D95" s="7" t="s">
        <v>45</v>
      </c>
      <c r="E95" s="8">
        <v>114691671</v>
      </c>
      <c r="F95" s="8">
        <v>114691671</v>
      </c>
      <c r="G95" s="8">
        <v>112674850</v>
      </c>
      <c r="H95" s="8">
        <v>0</v>
      </c>
      <c r="I95" s="8">
        <v>8543845</v>
      </c>
      <c r="J95" s="8">
        <v>16492779</v>
      </c>
      <c r="K95" s="8">
        <v>25420378</v>
      </c>
      <c r="L95" s="8">
        <v>33246158</v>
      </c>
      <c r="M95" s="8">
        <v>39464017</v>
      </c>
      <c r="N95" s="8">
        <v>45418356</v>
      </c>
      <c r="O95" s="8">
        <v>54819773</v>
      </c>
      <c r="P95" s="8">
        <v>62481533</v>
      </c>
      <c r="Q95" s="8">
        <v>71071550</v>
      </c>
      <c r="R95" s="8">
        <v>80774307</v>
      </c>
      <c r="S95" s="9">
        <v>109754082</v>
      </c>
      <c r="T95" s="1"/>
      <c r="U95" s="1"/>
      <c r="V95" s="1"/>
      <c r="W95" s="1"/>
      <c r="X95" s="1"/>
      <c r="Y95" s="1"/>
      <c r="Z95" s="1"/>
    </row>
    <row r="96" spans="1:26" ht="13.5" customHeight="1">
      <c r="A96" s="1"/>
      <c r="B96" s="5">
        <v>2019</v>
      </c>
      <c r="C96" s="6">
        <v>31</v>
      </c>
      <c r="D96" s="7" t="s">
        <v>46</v>
      </c>
      <c r="E96" s="8">
        <v>69888575</v>
      </c>
      <c r="F96" s="8">
        <v>69888575</v>
      </c>
      <c r="G96" s="8">
        <v>62099040</v>
      </c>
      <c r="H96" s="8">
        <v>0</v>
      </c>
      <c r="I96" s="8">
        <v>4959518</v>
      </c>
      <c r="J96" s="8">
        <v>8623561</v>
      </c>
      <c r="K96" s="8">
        <v>12610274</v>
      </c>
      <c r="L96" s="8">
        <v>15677706</v>
      </c>
      <c r="M96" s="8">
        <v>18815030</v>
      </c>
      <c r="N96" s="8">
        <v>21774664</v>
      </c>
      <c r="O96" s="8">
        <v>25278290</v>
      </c>
      <c r="P96" s="8">
        <v>30144344</v>
      </c>
      <c r="Q96" s="8">
        <v>37764237</v>
      </c>
      <c r="R96" s="8">
        <v>48335683</v>
      </c>
      <c r="S96" s="9">
        <v>61662087</v>
      </c>
      <c r="T96" s="1"/>
      <c r="U96" s="1"/>
      <c r="V96" s="1"/>
      <c r="W96" s="1"/>
      <c r="X96" s="1"/>
      <c r="Y96" s="1"/>
      <c r="Z96" s="1"/>
    </row>
    <row r="97" spans="1:26" ht="13.5" customHeight="1">
      <c r="A97" s="1"/>
      <c r="B97" s="5">
        <v>2019</v>
      </c>
      <c r="C97" s="6">
        <v>31</v>
      </c>
      <c r="D97" s="7" t="s">
        <v>47</v>
      </c>
      <c r="E97" s="8">
        <v>53068499</v>
      </c>
      <c r="F97" s="8">
        <v>53068499</v>
      </c>
      <c r="G97" s="8">
        <v>54338642</v>
      </c>
      <c r="H97" s="8">
        <v>0</v>
      </c>
      <c r="I97" s="8">
        <v>2918777</v>
      </c>
      <c r="J97" s="8">
        <v>8655533</v>
      </c>
      <c r="K97" s="8">
        <v>12471449</v>
      </c>
      <c r="L97" s="8">
        <v>15294277</v>
      </c>
      <c r="M97" s="8">
        <v>17720411</v>
      </c>
      <c r="N97" s="8">
        <v>19806946</v>
      </c>
      <c r="O97" s="8">
        <v>21796811</v>
      </c>
      <c r="P97" s="8">
        <v>24959259</v>
      </c>
      <c r="Q97" s="8">
        <v>30963792</v>
      </c>
      <c r="R97" s="8">
        <v>38358537</v>
      </c>
      <c r="S97" s="9">
        <v>53939967</v>
      </c>
      <c r="T97" s="1"/>
      <c r="U97" s="1"/>
      <c r="V97" s="1"/>
      <c r="W97" s="1"/>
      <c r="X97" s="1"/>
      <c r="Y97" s="1"/>
      <c r="Z97" s="1"/>
    </row>
    <row r="98" spans="1:26" ht="13.5" customHeight="1">
      <c r="A98" s="1"/>
      <c r="B98" s="5">
        <v>2019</v>
      </c>
      <c r="C98" s="6">
        <v>31</v>
      </c>
      <c r="D98" s="7" t="s">
        <v>48</v>
      </c>
      <c r="E98" s="8">
        <v>25853361</v>
      </c>
      <c r="F98" s="8">
        <v>25853361</v>
      </c>
      <c r="G98" s="8">
        <v>15189077</v>
      </c>
      <c r="H98" s="8">
        <v>0</v>
      </c>
      <c r="I98" s="8">
        <v>1041613</v>
      </c>
      <c r="J98" s="8">
        <v>1825993</v>
      </c>
      <c r="K98" s="8">
        <v>2954492</v>
      </c>
      <c r="L98" s="8">
        <v>3961108</v>
      </c>
      <c r="M98" s="8">
        <v>4263265</v>
      </c>
      <c r="N98" s="8">
        <v>5067001</v>
      </c>
      <c r="O98" s="8">
        <v>5568722</v>
      </c>
      <c r="P98" s="8">
        <v>6156946</v>
      </c>
      <c r="Q98" s="8">
        <v>7114240</v>
      </c>
      <c r="R98" s="8">
        <v>12100538</v>
      </c>
      <c r="S98" s="9">
        <v>14179880</v>
      </c>
      <c r="T98" s="1"/>
      <c r="U98" s="1"/>
      <c r="V98" s="1"/>
      <c r="W98" s="1"/>
      <c r="X98" s="1"/>
      <c r="Y98" s="1"/>
      <c r="Z98" s="1"/>
    </row>
    <row r="99" spans="1:26" ht="13.5" customHeight="1">
      <c r="A99" s="1"/>
      <c r="B99" s="5">
        <v>2019</v>
      </c>
      <c r="C99" s="6">
        <v>29</v>
      </c>
      <c r="D99" s="7" t="s">
        <v>43</v>
      </c>
      <c r="E99" s="8">
        <v>1639746</v>
      </c>
      <c r="F99" s="8">
        <v>6574796</v>
      </c>
      <c r="G99" s="8">
        <v>6641796</v>
      </c>
      <c r="H99" s="8">
        <v>48</v>
      </c>
      <c r="I99" s="8">
        <v>1255</v>
      </c>
      <c r="J99" s="8">
        <v>3121</v>
      </c>
      <c r="K99" s="8">
        <v>11999</v>
      </c>
      <c r="L99" s="8">
        <v>16209</v>
      </c>
      <c r="M99" s="8">
        <v>43534</v>
      </c>
      <c r="N99" s="8">
        <v>168962</v>
      </c>
      <c r="O99" s="8">
        <v>238287</v>
      </c>
      <c r="P99" s="8">
        <v>426172</v>
      </c>
      <c r="Q99" s="8">
        <v>469766</v>
      </c>
      <c r="R99" s="8">
        <v>1120608</v>
      </c>
      <c r="S99" s="9">
        <v>6641118</v>
      </c>
      <c r="T99" s="1"/>
      <c r="U99" s="1"/>
      <c r="V99" s="1"/>
      <c r="W99" s="1"/>
      <c r="X99" s="1"/>
      <c r="Y99" s="1"/>
      <c r="Z99" s="1"/>
    </row>
    <row r="100" spans="1:26" ht="13.5" customHeight="1">
      <c r="A100" s="1"/>
      <c r="B100" s="5">
        <v>2019</v>
      </c>
      <c r="C100" s="6">
        <v>29</v>
      </c>
      <c r="D100" s="7" t="s">
        <v>44</v>
      </c>
      <c r="E100" s="8">
        <v>115465</v>
      </c>
      <c r="F100" s="8">
        <v>115465</v>
      </c>
      <c r="G100" s="8">
        <v>754307</v>
      </c>
      <c r="H100" s="8">
        <v>0</v>
      </c>
      <c r="I100" s="8">
        <v>8598</v>
      </c>
      <c r="J100" s="8">
        <v>8707</v>
      </c>
      <c r="K100" s="8">
        <v>9293</v>
      </c>
      <c r="L100" s="8">
        <v>18342</v>
      </c>
      <c r="M100" s="8">
        <v>19070</v>
      </c>
      <c r="N100" s="8">
        <v>23140</v>
      </c>
      <c r="O100" s="8">
        <v>58242</v>
      </c>
      <c r="P100" s="8">
        <v>74817</v>
      </c>
      <c r="Q100" s="8">
        <v>83298</v>
      </c>
      <c r="R100" s="8">
        <v>90462</v>
      </c>
      <c r="S100" s="9">
        <v>735491</v>
      </c>
      <c r="T100" s="1"/>
      <c r="U100" s="1"/>
      <c r="V100" s="1"/>
      <c r="W100" s="1"/>
      <c r="X100" s="1"/>
      <c r="Y100" s="1"/>
      <c r="Z100" s="1"/>
    </row>
    <row r="101" spans="1:26" ht="13.5" customHeight="1">
      <c r="A101" s="1"/>
      <c r="B101" s="5">
        <v>2019</v>
      </c>
      <c r="C101" s="6">
        <v>29</v>
      </c>
      <c r="D101" s="7" t="s">
        <v>45</v>
      </c>
      <c r="E101" s="8">
        <v>166534</v>
      </c>
      <c r="F101" s="8">
        <v>177586</v>
      </c>
      <c r="G101" s="8">
        <v>177586</v>
      </c>
      <c r="H101" s="8">
        <v>0</v>
      </c>
      <c r="I101" s="8">
        <v>0</v>
      </c>
      <c r="J101" s="8">
        <v>6370</v>
      </c>
      <c r="K101" s="8">
        <v>28886</v>
      </c>
      <c r="L101" s="8">
        <v>28886</v>
      </c>
      <c r="M101" s="8">
        <v>32938</v>
      </c>
      <c r="N101" s="8">
        <v>33031</v>
      </c>
      <c r="O101" s="8">
        <v>113263</v>
      </c>
      <c r="P101" s="8">
        <v>129421</v>
      </c>
      <c r="Q101" s="8">
        <v>134520</v>
      </c>
      <c r="R101" s="8">
        <v>152937</v>
      </c>
      <c r="S101" s="9">
        <v>176605</v>
      </c>
      <c r="T101" s="1"/>
      <c r="U101" s="1"/>
      <c r="V101" s="1"/>
      <c r="W101" s="1"/>
      <c r="X101" s="1"/>
      <c r="Y101" s="1"/>
      <c r="Z101" s="1"/>
    </row>
    <row r="102" spans="1:26" ht="13.5" customHeight="1">
      <c r="A102" s="1"/>
      <c r="B102" s="5">
        <v>2019</v>
      </c>
      <c r="C102" s="6">
        <v>29</v>
      </c>
      <c r="D102" s="7" t="s">
        <v>46</v>
      </c>
      <c r="E102" s="8">
        <v>2440271</v>
      </c>
      <c r="F102" s="8">
        <v>2379219</v>
      </c>
      <c r="G102" s="8">
        <v>869395</v>
      </c>
      <c r="H102" s="8">
        <v>29</v>
      </c>
      <c r="I102" s="8">
        <v>29</v>
      </c>
      <c r="J102" s="8">
        <v>29</v>
      </c>
      <c r="K102" s="8">
        <v>116</v>
      </c>
      <c r="L102" s="8">
        <v>208</v>
      </c>
      <c r="M102" s="8">
        <v>399</v>
      </c>
      <c r="N102" s="8">
        <v>399</v>
      </c>
      <c r="O102" s="8">
        <v>399</v>
      </c>
      <c r="P102" s="8">
        <v>1919</v>
      </c>
      <c r="Q102" s="8">
        <v>3160</v>
      </c>
      <c r="R102" s="8">
        <v>299768</v>
      </c>
      <c r="S102" s="9">
        <v>863900</v>
      </c>
      <c r="T102" s="1"/>
      <c r="U102" s="1"/>
      <c r="V102" s="1"/>
      <c r="W102" s="1"/>
      <c r="X102" s="1"/>
      <c r="Y102" s="1"/>
      <c r="Z102" s="1"/>
    </row>
    <row r="103" spans="1:26" ht="13.5" customHeight="1">
      <c r="A103" s="1"/>
      <c r="B103" s="5">
        <v>2019</v>
      </c>
      <c r="C103" s="6">
        <v>29</v>
      </c>
      <c r="D103" s="7" t="s">
        <v>47</v>
      </c>
      <c r="E103" s="8">
        <v>97653</v>
      </c>
      <c r="F103" s="8">
        <v>97653</v>
      </c>
      <c r="G103" s="8">
        <v>97653</v>
      </c>
      <c r="H103" s="8">
        <v>147</v>
      </c>
      <c r="I103" s="8">
        <v>229</v>
      </c>
      <c r="J103" s="8">
        <v>344</v>
      </c>
      <c r="K103" s="8">
        <v>3873</v>
      </c>
      <c r="L103" s="8">
        <v>25548</v>
      </c>
      <c r="M103" s="8">
        <v>41488</v>
      </c>
      <c r="N103" s="8">
        <v>43633</v>
      </c>
      <c r="O103" s="8">
        <v>48371</v>
      </c>
      <c r="P103" s="8">
        <v>69965</v>
      </c>
      <c r="Q103" s="8">
        <v>76233</v>
      </c>
      <c r="R103" s="8">
        <v>80516</v>
      </c>
      <c r="S103" s="9">
        <v>97338</v>
      </c>
      <c r="T103" s="1"/>
      <c r="U103" s="1"/>
      <c r="V103" s="1"/>
      <c r="W103" s="1"/>
      <c r="X103" s="1"/>
      <c r="Y103" s="1"/>
      <c r="Z103" s="1"/>
    </row>
    <row r="104" spans="1:26" ht="13.5" customHeight="1">
      <c r="A104" s="1"/>
      <c r="B104" s="5">
        <v>2019</v>
      </c>
      <c r="C104" s="6">
        <v>29</v>
      </c>
      <c r="D104" s="7" t="s">
        <v>48</v>
      </c>
      <c r="E104" s="8">
        <v>111887</v>
      </c>
      <c r="F104" s="8">
        <v>111887</v>
      </c>
      <c r="G104" s="8">
        <v>111887</v>
      </c>
      <c r="H104" s="8">
        <v>693</v>
      </c>
      <c r="I104" s="8">
        <v>15530</v>
      </c>
      <c r="J104" s="8">
        <v>15631</v>
      </c>
      <c r="K104" s="8">
        <v>20846</v>
      </c>
      <c r="L104" s="8">
        <v>65721</v>
      </c>
      <c r="M104" s="8">
        <v>89898</v>
      </c>
      <c r="N104" s="8">
        <v>92591</v>
      </c>
      <c r="O104" s="8">
        <v>100668</v>
      </c>
      <c r="P104" s="8">
        <v>100991</v>
      </c>
      <c r="Q104" s="8">
        <v>103952</v>
      </c>
      <c r="R104" s="8">
        <v>109621</v>
      </c>
      <c r="S104" s="9">
        <v>111876</v>
      </c>
      <c r="T104" s="1"/>
      <c r="U104" s="1"/>
      <c r="V104" s="1"/>
      <c r="W104" s="1"/>
      <c r="X104" s="1"/>
      <c r="Y104" s="1"/>
      <c r="Z104" s="1"/>
    </row>
    <row r="105" spans="1:26" ht="13.5" customHeight="1">
      <c r="A105" s="1"/>
      <c r="B105" s="5">
        <v>2019</v>
      </c>
      <c r="C105" s="6">
        <v>33</v>
      </c>
      <c r="D105" s="7" t="s">
        <v>43</v>
      </c>
      <c r="E105" s="8">
        <v>0</v>
      </c>
      <c r="F105" s="8">
        <v>0</v>
      </c>
      <c r="G105" s="8">
        <v>0</v>
      </c>
      <c r="H105" s="8">
        <v>0</v>
      </c>
      <c r="I105" s="8">
        <v>0</v>
      </c>
      <c r="J105" s="8">
        <v>0</v>
      </c>
      <c r="K105" s="8">
        <v>0</v>
      </c>
      <c r="L105" s="8">
        <v>0</v>
      </c>
      <c r="M105" s="8">
        <v>0</v>
      </c>
      <c r="N105" s="8">
        <v>0</v>
      </c>
      <c r="O105" s="8">
        <v>0</v>
      </c>
      <c r="P105" s="8">
        <v>0</v>
      </c>
      <c r="Q105" s="8">
        <v>0</v>
      </c>
      <c r="R105" s="8">
        <v>0</v>
      </c>
      <c r="S105" s="9">
        <v>0</v>
      </c>
      <c r="T105" s="1"/>
      <c r="U105" s="1"/>
      <c r="V105" s="1"/>
      <c r="W105" s="1"/>
      <c r="X105" s="1"/>
      <c r="Y105" s="1"/>
      <c r="Z105" s="1"/>
    </row>
    <row r="106" spans="1:26" ht="13.5" customHeight="1">
      <c r="A106" s="1"/>
      <c r="B106" s="5">
        <v>2019</v>
      </c>
      <c r="C106" s="6">
        <v>33</v>
      </c>
      <c r="D106" s="7" t="s">
        <v>44</v>
      </c>
      <c r="E106" s="8">
        <v>0</v>
      </c>
      <c r="F106" s="8">
        <v>0</v>
      </c>
      <c r="G106" s="8">
        <v>0</v>
      </c>
      <c r="H106" s="8">
        <v>0</v>
      </c>
      <c r="I106" s="8">
        <v>0</v>
      </c>
      <c r="J106" s="8">
        <v>0</v>
      </c>
      <c r="K106" s="8">
        <v>0</v>
      </c>
      <c r="L106" s="8">
        <v>0</v>
      </c>
      <c r="M106" s="8">
        <v>0</v>
      </c>
      <c r="N106" s="8">
        <v>0</v>
      </c>
      <c r="O106" s="8">
        <v>0</v>
      </c>
      <c r="P106" s="8">
        <v>0</v>
      </c>
      <c r="Q106" s="8">
        <v>0</v>
      </c>
      <c r="R106" s="8">
        <v>0</v>
      </c>
      <c r="S106" s="9">
        <v>0</v>
      </c>
      <c r="T106" s="1"/>
      <c r="U106" s="1"/>
      <c r="V106" s="1"/>
      <c r="W106" s="1"/>
      <c r="X106" s="1"/>
      <c r="Y106" s="1"/>
      <c r="Z106" s="1"/>
    </row>
    <row r="107" spans="1:26" ht="13.5" customHeight="1">
      <c r="A107" s="1"/>
      <c r="B107" s="5">
        <v>2019</v>
      </c>
      <c r="C107" s="6">
        <v>33</v>
      </c>
      <c r="D107" s="7" t="s">
        <v>45</v>
      </c>
      <c r="E107" s="8">
        <v>0</v>
      </c>
      <c r="F107" s="8">
        <v>0</v>
      </c>
      <c r="G107" s="8">
        <v>0</v>
      </c>
      <c r="H107" s="8">
        <v>0</v>
      </c>
      <c r="I107" s="8">
        <v>0</v>
      </c>
      <c r="J107" s="8">
        <v>0</v>
      </c>
      <c r="K107" s="8">
        <v>0</v>
      </c>
      <c r="L107" s="8">
        <v>0</v>
      </c>
      <c r="M107" s="8">
        <v>0</v>
      </c>
      <c r="N107" s="8">
        <v>0</v>
      </c>
      <c r="O107" s="8">
        <v>0</v>
      </c>
      <c r="P107" s="8">
        <v>0</v>
      </c>
      <c r="Q107" s="8">
        <v>0</v>
      </c>
      <c r="R107" s="8">
        <v>0</v>
      </c>
      <c r="S107" s="9">
        <v>0</v>
      </c>
      <c r="T107" s="1"/>
      <c r="U107" s="1"/>
      <c r="V107" s="1"/>
      <c r="W107" s="1"/>
      <c r="X107" s="1"/>
      <c r="Y107" s="1"/>
      <c r="Z107" s="1"/>
    </row>
    <row r="108" spans="1:26" ht="13.5" customHeight="1">
      <c r="A108" s="1"/>
      <c r="B108" s="5">
        <v>2019</v>
      </c>
      <c r="C108" s="6">
        <v>33</v>
      </c>
      <c r="D108" s="7" t="s">
        <v>46</v>
      </c>
      <c r="E108" s="8">
        <v>0</v>
      </c>
      <c r="F108" s="8">
        <v>0</v>
      </c>
      <c r="G108" s="8">
        <v>0</v>
      </c>
      <c r="H108" s="8">
        <v>0</v>
      </c>
      <c r="I108" s="8">
        <v>0</v>
      </c>
      <c r="J108" s="8">
        <v>0</v>
      </c>
      <c r="K108" s="8">
        <v>0</v>
      </c>
      <c r="L108" s="8">
        <v>0</v>
      </c>
      <c r="M108" s="8">
        <v>0</v>
      </c>
      <c r="N108" s="8">
        <v>0</v>
      </c>
      <c r="O108" s="8">
        <v>0</v>
      </c>
      <c r="P108" s="8">
        <v>0</v>
      </c>
      <c r="Q108" s="8">
        <v>0</v>
      </c>
      <c r="R108" s="8">
        <v>0</v>
      </c>
      <c r="S108" s="9">
        <v>0</v>
      </c>
      <c r="T108" s="1"/>
      <c r="U108" s="1"/>
      <c r="V108" s="1"/>
      <c r="W108" s="1"/>
      <c r="X108" s="1"/>
      <c r="Y108" s="1"/>
      <c r="Z108" s="1"/>
    </row>
    <row r="109" spans="1:26" ht="13.5" customHeight="1">
      <c r="A109" s="1"/>
      <c r="B109" s="5">
        <v>2019</v>
      </c>
      <c r="C109" s="6">
        <v>33</v>
      </c>
      <c r="D109" s="7" t="s">
        <v>47</v>
      </c>
      <c r="E109" s="8">
        <v>0</v>
      </c>
      <c r="F109" s="8">
        <v>0</v>
      </c>
      <c r="G109" s="8">
        <v>0</v>
      </c>
      <c r="H109" s="8">
        <v>0</v>
      </c>
      <c r="I109" s="8">
        <v>0</v>
      </c>
      <c r="J109" s="8">
        <v>0</v>
      </c>
      <c r="K109" s="8">
        <v>0</v>
      </c>
      <c r="L109" s="8">
        <v>0</v>
      </c>
      <c r="M109" s="8">
        <v>0</v>
      </c>
      <c r="N109" s="8">
        <v>0</v>
      </c>
      <c r="O109" s="8">
        <v>0</v>
      </c>
      <c r="P109" s="8">
        <v>0</v>
      </c>
      <c r="Q109" s="8">
        <v>0</v>
      </c>
      <c r="R109" s="8">
        <v>0</v>
      </c>
      <c r="S109" s="9">
        <v>0</v>
      </c>
      <c r="T109" s="1"/>
      <c r="U109" s="1"/>
      <c r="V109" s="1"/>
      <c r="W109" s="1"/>
      <c r="X109" s="1"/>
      <c r="Y109" s="1"/>
      <c r="Z109" s="1"/>
    </row>
    <row r="110" spans="1:26" ht="13.5" customHeight="1">
      <c r="A110" s="1"/>
      <c r="B110" s="5">
        <v>2019</v>
      </c>
      <c r="C110" s="6">
        <v>33</v>
      </c>
      <c r="D110" s="7" t="s">
        <v>48</v>
      </c>
      <c r="E110" s="8">
        <v>0</v>
      </c>
      <c r="F110" s="8">
        <v>0</v>
      </c>
      <c r="G110" s="8">
        <v>0</v>
      </c>
      <c r="H110" s="8">
        <v>0</v>
      </c>
      <c r="I110" s="8">
        <v>0</v>
      </c>
      <c r="J110" s="8">
        <v>0</v>
      </c>
      <c r="K110" s="8">
        <v>0</v>
      </c>
      <c r="L110" s="8">
        <v>0</v>
      </c>
      <c r="M110" s="8">
        <v>0</v>
      </c>
      <c r="N110" s="8">
        <v>0</v>
      </c>
      <c r="O110" s="8">
        <v>0</v>
      </c>
      <c r="P110" s="8">
        <v>0</v>
      </c>
      <c r="Q110" s="8">
        <v>0</v>
      </c>
      <c r="R110" s="8">
        <v>0</v>
      </c>
      <c r="S110" s="9">
        <v>0</v>
      </c>
      <c r="T110" s="1"/>
      <c r="U110" s="1"/>
      <c r="V110" s="1"/>
      <c r="W110" s="1"/>
      <c r="X110" s="1"/>
      <c r="Y110" s="1"/>
      <c r="Z110" s="1"/>
    </row>
    <row r="111" spans="1:26" ht="13.5" customHeight="1">
      <c r="A111" s="1"/>
      <c r="B111" s="5">
        <v>2020</v>
      </c>
      <c r="C111" s="6">
        <v>31</v>
      </c>
      <c r="D111" s="7" t="s">
        <v>43</v>
      </c>
      <c r="E111" s="8">
        <v>1148358839</v>
      </c>
      <c r="F111" s="8">
        <v>1216383979</v>
      </c>
      <c r="G111" s="8">
        <v>961564167</v>
      </c>
      <c r="H111" s="8">
        <v>0</v>
      </c>
      <c r="I111" s="8">
        <v>96871169</v>
      </c>
      <c r="J111" s="8">
        <v>193870511</v>
      </c>
      <c r="K111" s="8">
        <v>272631717</v>
      </c>
      <c r="L111" s="8">
        <v>327561887</v>
      </c>
      <c r="M111" s="8">
        <v>418295604</v>
      </c>
      <c r="N111" s="8">
        <v>502258190</v>
      </c>
      <c r="O111" s="8">
        <v>574520045</v>
      </c>
      <c r="P111" s="8">
        <v>633600171</v>
      </c>
      <c r="Q111" s="8">
        <v>713927353</v>
      </c>
      <c r="R111" s="8">
        <v>800349975</v>
      </c>
      <c r="S111" s="9">
        <v>945847843</v>
      </c>
      <c r="T111" s="1"/>
      <c r="U111" s="1"/>
      <c r="V111" s="1"/>
      <c r="W111" s="1"/>
      <c r="X111" s="1"/>
      <c r="Y111" s="1"/>
      <c r="Z111" s="1"/>
    </row>
    <row r="112" spans="1:26" ht="13.5" customHeight="1">
      <c r="A112" s="1"/>
      <c r="B112" s="5">
        <v>2020</v>
      </c>
      <c r="C112" s="6">
        <v>31</v>
      </c>
      <c r="D112" s="7" t="s">
        <v>44</v>
      </c>
      <c r="E112" s="8">
        <v>137671350</v>
      </c>
      <c r="F112" s="8">
        <v>143861214</v>
      </c>
      <c r="G112" s="8">
        <v>141821958</v>
      </c>
      <c r="H112" s="8">
        <v>0</v>
      </c>
      <c r="I112" s="8">
        <v>0</v>
      </c>
      <c r="J112" s="8">
        <v>15933925</v>
      </c>
      <c r="K112" s="8">
        <v>27347698</v>
      </c>
      <c r="L112" s="8">
        <v>34970453</v>
      </c>
      <c r="M112" s="8">
        <v>42227599</v>
      </c>
      <c r="N112" s="8">
        <v>50004801</v>
      </c>
      <c r="O112" s="8">
        <v>60357141</v>
      </c>
      <c r="P112" s="8">
        <v>71496670</v>
      </c>
      <c r="Q112" s="8">
        <v>87043293</v>
      </c>
      <c r="R112" s="8">
        <v>108285783</v>
      </c>
      <c r="S112" s="9">
        <v>139288956</v>
      </c>
      <c r="T112" s="1"/>
      <c r="U112" s="1"/>
      <c r="V112" s="1"/>
      <c r="W112" s="1"/>
      <c r="X112" s="1"/>
      <c r="Y112" s="1"/>
      <c r="Z112" s="1"/>
    </row>
    <row r="113" spans="1:26" ht="13.5" customHeight="1">
      <c r="A113" s="1"/>
      <c r="B113" s="5">
        <v>2020</v>
      </c>
      <c r="C113" s="6">
        <v>31</v>
      </c>
      <c r="D113" s="7" t="s">
        <v>45</v>
      </c>
      <c r="E113" s="8">
        <v>135338654</v>
      </c>
      <c r="F113" s="8">
        <v>155319586</v>
      </c>
      <c r="G113" s="8">
        <v>148506367</v>
      </c>
      <c r="H113" s="8">
        <v>0</v>
      </c>
      <c r="I113" s="8">
        <v>0</v>
      </c>
      <c r="J113" s="8">
        <v>14046798</v>
      </c>
      <c r="K113" s="8">
        <v>23975486</v>
      </c>
      <c r="L113" s="8">
        <v>32933206</v>
      </c>
      <c r="M113" s="8">
        <v>44476459</v>
      </c>
      <c r="N113" s="8">
        <v>54767019</v>
      </c>
      <c r="O113" s="8">
        <v>64603134</v>
      </c>
      <c r="P113" s="8">
        <v>75187064</v>
      </c>
      <c r="Q113" s="8">
        <v>91643647</v>
      </c>
      <c r="R113" s="8">
        <v>112911790</v>
      </c>
      <c r="S113" s="9">
        <v>145498589</v>
      </c>
      <c r="T113" s="1"/>
      <c r="U113" s="1"/>
      <c r="V113" s="1"/>
      <c r="W113" s="1"/>
      <c r="X113" s="1"/>
      <c r="Y113" s="1"/>
      <c r="Z113" s="1"/>
    </row>
    <row r="114" spans="1:26" ht="13.5" customHeight="1">
      <c r="A114" s="1"/>
      <c r="B114" s="5">
        <v>2020</v>
      </c>
      <c r="C114" s="6">
        <v>31</v>
      </c>
      <c r="D114" s="7" t="s">
        <v>46</v>
      </c>
      <c r="E114" s="8">
        <v>71705676</v>
      </c>
      <c r="F114" s="8">
        <v>74160268</v>
      </c>
      <c r="G114" s="8">
        <v>71705970</v>
      </c>
      <c r="H114" s="8">
        <v>2667250</v>
      </c>
      <c r="I114" s="8">
        <v>10044327</v>
      </c>
      <c r="J114" s="8">
        <v>16258240</v>
      </c>
      <c r="K114" s="8">
        <v>20216983</v>
      </c>
      <c r="L114" s="8">
        <v>23232514</v>
      </c>
      <c r="M114" s="8">
        <v>27197118</v>
      </c>
      <c r="N114" s="8">
        <v>32144233</v>
      </c>
      <c r="O114" s="8">
        <v>38307654</v>
      </c>
      <c r="P114" s="8">
        <v>44833503</v>
      </c>
      <c r="Q114" s="8">
        <v>52317209</v>
      </c>
      <c r="R114" s="8">
        <v>59444391</v>
      </c>
      <c r="S114" s="9">
        <v>71411475</v>
      </c>
      <c r="T114" s="1"/>
      <c r="U114" s="1"/>
      <c r="V114" s="1"/>
      <c r="W114" s="1"/>
      <c r="X114" s="1"/>
      <c r="Y114" s="1"/>
      <c r="Z114" s="1"/>
    </row>
    <row r="115" spans="1:26" ht="13.5" customHeight="1">
      <c r="A115" s="1"/>
      <c r="B115" s="5">
        <v>2020</v>
      </c>
      <c r="C115" s="6">
        <v>31</v>
      </c>
      <c r="D115" s="7" t="s">
        <v>47</v>
      </c>
      <c r="E115" s="8">
        <v>58584599</v>
      </c>
      <c r="F115" s="8">
        <v>66147946</v>
      </c>
      <c r="G115" s="8">
        <v>58584599</v>
      </c>
      <c r="H115" s="8">
        <v>303665</v>
      </c>
      <c r="I115" s="8">
        <v>4282732</v>
      </c>
      <c r="J115" s="8">
        <v>8015041</v>
      </c>
      <c r="K115" s="8">
        <v>10962085</v>
      </c>
      <c r="L115" s="8">
        <v>13797288</v>
      </c>
      <c r="M115" s="8">
        <v>16103675</v>
      </c>
      <c r="N115" s="8">
        <v>17499070</v>
      </c>
      <c r="O115" s="8">
        <v>18841178</v>
      </c>
      <c r="P115" s="8">
        <v>20956225</v>
      </c>
      <c r="Q115" s="8">
        <v>26897713</v>
      </c>
      <c r="R115" s="8">
        <v>39607854</v>
      </c>
      <c r="S115" s="9">
        <v>58248413</v>
      </c>
      <c r="T115" s="1"/>
      <c r="U115" s="1"/>
      <c r="V115" s="1"/>
      <c r="W115" s="1"/>
      <c r="X115" s="1"/>
      <c r="Y115" s="1"/>
      <c r="Z115" s="1"/>
    </row>
    <row r="116" spans="1:26" ht="13.5" customHeight="1">
      <c r="A116" s="1"/>
      <c r="B116" s="5">
        <v>2020</v>
      </c>
      <c r="C116" s="6">
        <v>31</v>
      </c>
      <c r="D116" s="7" t="s">
        <v>48</v>
      </c>
      <c r="E116" s="8">
        <v>22096777</v>
      </c>
      <c r="F116" s="8">
        <v>8619318</v>
      </c>
      <c r="G116" s="8">
        <v>5194154</v>
      </c>
      <c r="H116" s="8">
        <v>0</v>
      </c>
      <c r="I116" s="8">
        <v>30830</v>
      </c>
      <c r="J116" s="8">
        <v>126373</v>
      </c>
      <c r="K116" s="8">
        <v>260932</v>
      </c>
      <c r="L116" s="8">
        <v>271532</v>
      </c>
      <c r="M116" s="8">
        <v>391694</v>
      </c>
      <c r="N116" s="8">
        <v>448090</v>
      </c>
      <c r="O116" s="8">
        <v>1130221</v>
      </c>
      <c r="P116" s="8">
        <v>1726167</v>
      </c>
      <c r="Q116" s="8">
        <v>2486239</v>
      </c>
      <c r="R116" s="8">
        <v>3563594</v>
      </c>
      <c r="S116" s="9">
        <v>4911613</v>
      </c>
      <c r="T116" s="1"/>
      <c r="U116" s="1"/>
      <c r="V116" s="1"/>
      <c r="W116" s="1"/>
      <c r="X116" s="1"/>
      <c r="Y116" s="1"/>
      <c r="Z116" s="1"/>
    </row>
    <row r="117" spans="1:26" ht="13.5" customHeight="1">
      <c r="A117" s="1"/>
      <c r="B117" s="5">
        <v>2020</v>
      </c>
      <c r="C117" s="6">
        <v>29</v>
      </c>
      <c r="D117" s="7" t="s">
        <v>43</v>
      </c>
      <c r="E117" s="8">
        <v>1704539</v>
      </c>
      <c r="F117" s="8">
        <v>1337695</v>
      </c>
      <c r="G117" s="8">
        <v>7435088</v>
      </c>
      <c r="H117" s="8">
        <v>0</v>
      </c>
      <c r="I117" s="8">
        <v>585</v>
      </c>
      <c r="J117" s="8">
        <v>52513</v>
      </c>
      <c r="K117" s="8">
        <v>57523</v>
      </c>
      <c r="L117" s="8">
        <v>76947</v>
      </c>
      <c r="M117" s="8">
        <v>149037</v>
      </c>
      <c r="N117" s="8">
        <v>167768</v>
      </c>
      <c r="O117" s="8">
        <v>176713</v>
      </c>
      <c r="P117" s="8">
        <v>779715</v>
      </c>
      <c r="Q117" s="8">
        <v>783383</v>
      </c>
      <c r="R117" s="8">
        <v>1097528</v>
      </c>
      <c r="S117" s="9">
        <v>5843319</v>
      </c>
      <c r="T117" s="1"/>
      <c r="U117" s="1"/>
      <c r="V117" s="1"/>
      <c r="W117" s="1"/>
      <c r="X117" s="1"/>
      <c r="Y117" s="1"/>
      <c r="Z117" s="1"/>
    </row>
    <row r="118" spans="1:26" ht="13.5" customHeight="1">
      <c r="A118" s="1"/>
      <c r="B118" s="5">
        <v>2020</v>
      </c>
      <c r="C118" s="6">
        <v>29</v>
      </c>
      <c r="D118" s="7" t="s">
        <v>44</v>
      </c>
      <c r="E118" s="8">
        <v>188388</v>
      </c>
      <c r="F118" s="8">
        <v>94575</v>
      </c>
      <c r="G118" s="8">
        <v>112017</v>
      </c>
      <c r="H118" s="8">
        <v>94</v>
      </c>
      <c r="I118" s="8">
        <v>586</v>
      </c>
      <c r="J118" s="8">
        <v>2824</v>
      </c>
      <c r="K118" s="8">
        <v>2824</v>
      </c>
      <c r="L118" s="8">
        <v>2903</v>
      </c>
      <c r="M118" s="8">
        <v>4098</v>
      </c>
      <c r="N118" s="8">
        <v>4690</v>
      </c>
      <c r="O118" s="8">
        <v>16234</v>
      </c>
      <c r="P118" s="8">
        <v>16234</v>
      </c>
      <c r="Q118" s="8">
        <v>21529</v>
      </c>
      <c r="R118" s="8">
        <v>21819</v>
      </c>
      <c r="S118" s="9">
        <v>106457</v>
      </c>
      <c r="T118" s="1"/>
      <c r="U118" s="1"/>
      <c r="V118" s="1"/>
      <c r="W118" s="1"/>
      <c r="X118" s="1"/>
      <c r="Y118" s="1"/>
      <c r="Z118" s="1"/>
    </row>
    <row r="119" spans="1:26" ht="13.5" customHeight="1">
      <c r="A119" s="1"/>
      <c r="B119" s="5">
        <v>2020</v>
      </c>
      <c r="C119" s="6">
        <v>29</v>
      </c>
      <c r="D119" s="7" t="s">
        <v>45</v>
      </c>
      <c r="E119" s="8">
        <v>206665</v>
      </c>
      <c r="F119" s="8">
        <v>182934</v>
      </c>
      <c r="G119" s="8">
        <v>183383</v>
      </c>
      <c r="H119" s="8">
        <v>0</v>
      </c>
      <c r="I119" s="8">
        <v>96</v>
      </c>
      <c r="J119" s="8">
        <v>5191</v>
      </c>
      <c r="K119" s="8">
        <v>5191</v>
      </c>
      <c r="L119" s="8">
        <v>5191</v>
      </c>
      <c r="M119" s="8">
        <v>6386</v>
      </c>
      <c r="N119" s="8">
        <v>6923</v>
      </c>
      <c r="O119" s="8">
        <v>22582</v>
      </c>
      <c r="P119" s="8">
        <v>33560</v>
      </c>
      <c r="Q119" s="8">
        <v>46486</v>
      </c>
      <c r="R119" s="8">
        <v>49066</v>
      </c>
      <c r="S119" s="9">
        <v>172891</v>
      </c>
      <c r="T119" s="1"/>
      <c r="U119" s="1"/>
      <c r="V119" s="1"/>
      <c r="W119" s="1"/>
      <c r="X119" s="1"/>
      <c r="Y119" s="1"/>
      <c r="Z119" s="1"/>
    </row>
    <row r="120" spans="1:26" ht="13.5" customHeight="1">
      <c r="A120" s="1"/>
      <c r="B120" s="5">
        <v>2020</v>
      </c>
      <c r="C120" s="6">
        <v>29</v>
      </c>
      <c r="D120" s="7" t="s">
        <v>46</v>
      </c>
      <c r="E120" s="8">
        <v>2488259</v>
      </c>
      <c r="F120" s="8">
        <v>1541383</v>
      </c>
      <c r="G120" s="8">
        <v>1949794</v>
      </c>
      <c r="H120" s="8">
        <v>0</v>
      </c>
      <c r="I120" s="8">
        <v>176042</v>
      </c>
      <c r="J120" s="8">
        <v>176719</v>
      </c>
      <c r="K120" s="8">
        <v>176794</v>
      </c>
      <c r="L120" s="8">
        <v>441735</v>
      </c>
      <c r="M120" s="8">
        <v>442125</v>
      </c>
      <c r="N120" s="8">
        <v>443658</v>
      </c>
      <c r="O120" s="8">
        <v>735258</v>
      </c>
      <c r="P120" s="8">
        <v>735258</v>
      </c>
      <c r="Q120" s="8">
        <v>1044245</v>
      </c>
      <c r="R120" s="8">
        <v>1483899</v>
      </c>
      <c r="S120" s="9">
        <v>1947994</v>
      </c>
      <c r="T120" s="1"/>
      <c r="U120" s="1"/>
      <c r="V120" s="1"/>
      <c r="W120" s="1"/>
      <c r="X120" s="1"/>
      <c r="Y120" s="1"/>
      <c r="Z120" s="1"/>
    </row>
    <row r="121" spans="1:26" ht="13.5" customHeight="1">
      <c r="A121" s="1"/>
      <c r="B121" s="5">
        <v>2020</v>
      </c>
      <c r="C121" s="6">
        <v>29</v>
      </c>
      <c r="D121" s="7" t="s">
        <v>47</v>
      </c>
      <c r="E121" s="8">
        <v>72183</v>
      </c>
      <c r="F121" s="8">
        <v>41722</v>
      </c>
      <c r="G121" s="8">
        <v>383162</v>
      </c>
      <c r="H121" s="8">
        <v>607</v>
      </c>
      <c r="I121" s="8">
        <v>1736</v>
      </c>
      <c r="J121" s="8">
        <v>2472</v>
      </c>
      <c r="K121" s="8">
        <v>2472</v>
      </c>
      <c r="L121" s="8">
        <v>18311</v>
      </c>
      <c r="M121" s="8">
        <v>18311</v>
      </c>
      <c r="N121" s="8">
        <v>18985</v>
      </c>
      <c r="O121" s="8">
        <v>18985</v>
      </c>
      <c r="P121" s="8">
        <v>21184</v>
      </c>
      <c r="Q121" s="8">
        <v>31168</v>
      </c>
      <c r="R121" s="8">
        <v>33157</v>
      </c>
      <c r="S121" s="9">
        <v>382693</v>
      </c>
      <c r="T121" s="1"/>
      <c r="U121" s="1"/>
      <c r="V121" s="1"/>
      <c r="W121" s="1"/>
      <c r="X121" s="1"/>
      <c r="Y121" s="1"/>
      <c r="Z121" s="1"/>
    </row>
    <row r="122" spans="1:26" ht="13.5" customHeight="1">
      <c r="A122" s="1"/>
      <c r="B122" s="5">
        <v>2020</v>
      </c>
      <c r="C122" s="6">
        <v>29</v>
      </c>
      <c r="D122" s="7" t="s">
        <v>48</v>
      </c>
      <c r="E122" s="8">
        <v>185782</v>
      </c>
      <c r="F122" s="8">
        <v>107382</v>
      </c>
      <c r="G122" s="8">
        <v>107382</v>
      </c>
      <c r="H122" s="8">
        <v>0</v>
      </c>
      <c r="I122" s="8">
        <v>1098</v>
      </c>
      <c r="J122" s="8">
        <v>3137</v>
      </c>
      <c r="K122" s="8">
        <v>17987</v>
      </c>
      <c r="L122" s="8">
        <v>22135</v>
      </c>
      <c r="M122" s="8">
        <v>22135</v>
      </c>
      <c r="N122" s="8">
        <v>29972</v>
      </c>
      <c r="O122" s="8">
        <v>79295</v>
      </c>
      <c r="P122" s="8">
        <v>84364</v>
      </c>
      <c r="Q122" s="8">
        <v>87854</v>
      </c>
      <c r="R122" s="8">
        <v>95431</v>
      </c>
      <c r="S122" s="9">
        <v>107174</v>
      </c>
      <c r="T122" s="1"/>
      <c r="U122" s="1"/>
      <c r="V122" s="1"/>
      <c r="W122" s="1"/>
      <c r="X122" s="1"/>
      <c r="Y122" s="1"/>
      <c r="Z122" s="1"/>
    </row>
    <row r="123" spans="1:26" ht="13.5" customHeight="1">
      <c r="A123" s="1"/>
      <c r="B123" s="5">
        <v>2020</v>
      </c>
      <c r="C123" s="6">
        <v>33</v>
      </c>
      <c r="D123" s="7" t="s">
        <v>43</v>
      </c>
      <c r="E123" s="8">
        <v>0</v>
      </c>
      <c r="F123" s="8">
        <v>0</v>
      </c>
      <c r="G123" s="8">
        <v>0</v>
      </c>
      <c r="H123" s="8">
        <v>0</v>
      </c>
      <c r="I123" s="8">
        <v>0</v>
      </c>
      <c r="J123" s="8">
        <v>0</v>
      </c>
      <c r="K123" s="8">
        <v>0</v>
      </c>
      <c r="L123" s="8">
        <v>0</v>
      </c>
      <c r="M123" s="8">
        <v>0</v>
      </c>
      <c r="N123" s="8">
        <v>0</v>
      </c>
      <c r="O123" s="8">
        <v>0</v>
      </c>
      <c r="P123" s="8">
        <v>0</v>
      </c>
      <c r="Q123" s="8">
        <v>0</v>
      </c>
      <c r="R123" s="8">
        <v>0</v>
      </c>
      <c r="S123" s="9">
        <v>0</v>
      </c>
      <c r="T123" s="1"/>
      <c r="U123" s="1"/>
      <c r="V123" s="1"/>
      <c r="W123" s="1"/>
      <c r="X123" s="1"/>
      <c r="Y123" s="1"/>
      <c r="Z123" s="1"/>
    </row>
    <row r="124" spans="1:26" ht="13.5" customHeight="1">
      <c r="A124" s="1"/>
      <c r="B124" s="5">
        <v>2020</v>
      </c>
      <c r="C124" s="6">
        <v>33</v>
      </c>
      <c r="D124" s="7" t="s">
        <v>44</v>
      </c>
      <c r="E124" s="8">
        <v>0</v>
      </c>
      <c r="F124" s="8">
        <v>0</v>
      </c>
      <c r="G124" s="8">
        <v>0</v>
      </c>
      <c r="H124" s="8">
        <v>0</v>
      </c>
      <c r="I124" s="8">
        <v>0</v>
      </c>
      <c r="J124" s="8">
        <v>0</v>
      </c>
      <c r="K124" s="8">
        <v>0</v>
      </c>
      <c r="L124" s="8">
        <v>0</v>
      </c>
      <c r="M124" s="8">
        <v>0</v>
      </c>
      <c r="N124" s="8">
        <v>0</v>
      </c>
      <c r="O124" s="8">
        <v>0</v>
      </c>
      <c r="P124" s="8">
        <v>0</v>
      </c>
      <c r="Q124" s="8">
        <v>0</v>
      </c>
      <c r="R124" s="8">
        <v>0</v>
      </c>
      <c r="S124" s="9">
        <v>0</v>
      </c>
      <c r="T124" s="1"/>
      <c r="U124" s="1"/>
      <c r="V124" s="1"/>
      <c r="W124" s="1"/>
      <c r="X124" s="1"/>
      <c r="Y124" s="1"/>
      <c r="Z124" s="1"/>
    </row>
    <row r="125" spans="1:26" ht="13.5" customHeight="1">
      <c r="A125" s="1"/>
      <c r="B125" s="5">
        <v>2020</v>
      </c>
      <c r="C125" s="6">
        <v>33</v>
      </c>
      <c r="D125" s="7" t="s">
        <v>45</v>
      </c>
      <c r="E125" s="8">
        <v>0</v>
      </c>
      <c r="F125" s="8">
        <v>0</v>
      </c>
      <c r="G125" s="8">
        <v>0</v>
      </c>
      <c r="H125" s="8">
        <v>0</v>
      </c>
      <c r="I125" s="8">
        <v>0</v>
      </c>
      <c r="J125" s="8">
        <v>0</v>
      </c>
      <c r="K125" s="8">
        <v>0</v>
      </c>
      <c r="L125" s="8">
        <v>0</v>
      </c>
      <c r="M125" s="8">
        <v>0</v>
      </c>
      <c r="N125" s="8">
        <v>0</v>
      </c>
      <c r="O125" s="8">
        <v>0</v>
      </c>
      <c r="P125" s="8">
        <v>0</v>
      </c>
      <c r="Q125" s="8">
        <v>0</v>
      </c>
      <c r="R125" s="8">
        <v>0</v>
      </c>
      <c r="S125" s="9">
        <v>0</v>
      </c>
      <c r="T125" s="1"/>
      <c r="U125" s="1"/>
      <c r="V125" s="1"/>
      <c r="W125" s="1"/>
      <c r="X125" s="1"/>
      <c r="Y125" s="1"/>
      <c r="Z125" s="1"/>
    </row>
    <row r="126" spans="1:26" ht="13.5" customHeight="1">
      <c r="A126" s="1"/>
      <c r="B126" s="5">
        <v>2020</v>
      </c>
      <c r="C126" s="6">
        <v>33</v>
      </c>
      <c r="D126" s="7" t="s">
        <v>46</v>
      </c>
      <c r="E126" s="8">
        <v>0</v>
      </c>
      <c r="F126" s="8">
        <v>0</v>
      </c>
      <c r="G126" s="8">
        <v>0</v>
      </c>
      <c r="H126" s="8">
        <v>0</v>
      </c>
      <c r="I126" s="8">
        <v>0</v>
      </c>
      <c r="J126" s="8">
        <v>0</v>
      </c>
      <c r="K126" s="8">
        <v>0</v>
      </c>
      <c r="L126" s="8">
        <v>0</v>
      </c>
      <c r="M126" s="8">
        <v>0</v>
      </c>
      <c r="N126" s="8">
        <v>0</v>
      </c>
      <c r="O126" s="8">
        <v>0</v>
      </c>
      <c r="P126" s="8">
        <v>0</v>
      </c>
      <c r="Q126" s="8">
        <v>0</v>
      </c>
      <c r="R126" s="8">
        <v>0</v>
      </c>
      <c r="S126" s="9">
        <v>0</v>
      </c>
      <c r="T126" s="1"/>
      <c r="U126" s="1"/>
      <c r="V126" s="1"/>
      <c r="W126" s="1"/>
      <c r="X126" s="1"/>
      <c r="Y126" s="1"/>
      <c r="Z126" s="1"/>
    </row>
    <row r="127" spans="1:26" ht="13.5" customHeight="1">
      <c r="A127" s="1"/>
      <c r="B127" s="5">
        <v>2020</v>
      </c>
      <c r="C127" s="6">
        <v>33</v>
      </c>
      <c r="D127" s="7" t="s">
        <v>47</v>
      </c>
      <c r="E127" s="8">
        <v>0</v>
      </c>
      <c r="F127" s="8">
        <v>0</v>
      </c>
      <c r="G127" s="8">
        <v>0</v>
      </c>
      <c r="H127" s="8">
        <v>0</v>
      </c>
      <c r="I127" s="8">
        <v>0</v>
      </c>
      <c r="J127" s="8">
        <v>0</v>
      </c>
      <c r="K127" s="8">
        <v>0</v>
      </c>
      <c r="L127" s="8">
        <v>0</v>
      </c>
      <c r="M127" s="8">
        <v>0</v>
      </c>
      <c r="N127" s="8">
        <v>0</v>
      </c>
      <c r="O127" s="8">
        <v>0</v>
      </c>
      <c r="P127" s="8">
        <v>0</v>
      </c>
      <c r="Q127" s="8">
        <v>0</v>
      </c>
      <c r="R127" s="8">
        <v>0</v>
      </c>
      <c r="S127" s="9">
        <v>0</v>
      </c>
      <c r="T127" s="1"/>
      <c r="U127" s="1"/>
      <c r="V127" s="1"/>
      <c r="W127" s="1"/>
      <c r="X127" s="1"/>
      <c r="Y127" s="1"/>
      <c r="Z127" s="1"/>
    </row>
    <row r="128" spans="1:26" ht="13.5" customHeight="1">
      <c r="A128" s="1"/>
      <c r="B128" s="5">
        <v>2020</v>
      </c>
      <c r="C128" s="6">
        <v>33</v>
      </c>
      <c r="D128" s="7" t="s">
        <v>48</v>
      </c>
      <c r="E128" s="8">
        <v>0</v>
      </c>
      <c r="F128" s="8">
        <v>0</v>
      </c>
      <c r="G128" s="8">
        <v>0</v>
      </c>
      <c r="H128" s="8">
        <v>0</v>
      </c>
      <c r="I128" s="8">
        <v>0</v>
      </c>
      <c r="J128" s="8">
        <v>0</v>
      </c>
      <c r="K128" s="8">
        <v>0</v>
      </c>
      <c r="L128" s="8">
        <v>0</v>
      </c>
      <c r="M128" s="8">
        <v>0</v>
      </c>
      <c r="N128" s="8">
        <v>0</v>
      </c>
      <c r="O128" s="8">
        <v>0</v>
      </c>
      <c r="P128" s="8">
        <v>0</v>
      </c>
      <c r="Q128" s="8">
        <v>0</v>
      </c>
      <c r="R128" s="8">
        <v>0</v>
      </c>
      <c r="S128" s="9">
        <v>0</v>
      </c>
      <c r="T128" s="1"/>
      <c r="U128" s="1"/>
      <c r="V128" s="1"/>
      <c r="W128" s="1"/>
      <c r="X128" s="1"/>
      <c r="Y128" s="1"/>
      <c r="Z128" s="1"/>
    </row>
    <row r="129" spans="1:26" ht="13.5" customHeight="1">
      <c r="A129" s="1"/>
      <c r="B129" s="5">
        <v>2021</v>
      </c>
      <c r="C129" s="6">
        <v>31</v>
      </c>
      <c r="D129" s="7" t="s">
        <v>43</v>
      </c>
      <c r="E129" s="8">
        <v>1605227339</v>
      </c>
      <c r="F129" s="8">
        <v>1048217333</v>
      </c>
      <c r="G129" s="8">
        <v>1122730279</v>
      </c>
      <c r="H129" s="8">
        <v>0</v>
      </c>
      <c r="I129" s="8">
        <v>101383549</v>
      </c>
      <c r="J129" s="8">
        <v>198441247</v>
      </c>
      <c r="K129" s="8">
        <v>284324137</v>
      </c>
      <c r="L129" s="8">
        <v>358590676</v>
      </c>
      <c r="M129" s="8">
        <v>433048907</v>
      </c>
      <c r="N129" s="8">
        <v>503354400</v>
      </c>
      <c r="O129" s="8">
        <v>586218042</v>
      </c>
      <c r="P129" s="8">
        <v>653892258</v>
      </c>
      <c r="Q129" s="8">
        <v>714435373</v>
      </c>
      <c r="R129" s="8">
        <v>802149786</v>
      </c>
      <c r="S129" s="9">
        <v>979979167</v>
      </c>
      <c r="T129" s="1"/>
      <c r="U129" s="1"/>
      <c r="V129" s="1"/>
      <c r="W129" s="1"/>
      <c r="X129" s="1"/>
      <c r="Y129" s="1"/>
      <c r="Z129" s="1"/>
    </row>
    <row r="130" spans="1:26" ht="13.5" customHeight="1">
      <c r="A130" s="1"/>
      <c r="B130" s="5">
        <v>2021</v>
      </c>
      <c r="C130" s="6">
        <v>31</v>
      </c>
      <c r="D130" s="7" t="s">
        <v>44</v>
      </c>
      <c r="E130" s="8">
        <v>241502543</v>
      </c>
      <c r="F130" s="8">
        <v>133918279</v>
      </c>
      <c r="G130" s="8">
        <v>140024885</v>
      </c>
      <c r="H130" s="8">
        <v>0</v>
      </c>
      <c r="I130" s="8">
        <v>9524739</v>
      </c>
      <c r="J130" s="8">
        <v>18778382</v>
      </c>
      <c r="K130" s="8">
        <v>27058037</v>
      </c>
      <c r="L130" s="8">
        <v>38359267</v>
      </c>
      <c r="M130" s="8">
        <v>46029534</v>
      </c>
      <c r="N130" s="8">
        <v>54019806</v>
      </c>
      <c r="O130" s="8">
        <v>63431000</v>
      </c>
      <c r="P130" s="8">
        <v>74898419</v>
      </c>
      <c r="Q130" s="8">
        <v>87833845</v>
      </c>
      <c r="R130" s="8">
        <v>101123468</v>
      </c>
      <c r="S130" s="9">
        <v>129806818</v>
      </c>
      <c r="T130" s="1"/>
      <c r="U130" s="1"/>
      <c r="V130" s="1"/>
      <c r="W130" s="1"/>
      <c r="X130" s="1"/>
      <c r="Y130" s="1"/>
      <c r="Z130" s="1"/>
    </row>
    <row r="131" spans="1:26" ht="13.5" customHeight="1">
      <c r="A131" s="1"/>
      <c r="B131" s="5">
        <v>2021</v>
      </c>
      <c r="C131" s="6">
        <v>31</v>
      </c>
      <c r="D131" s="7" t="s">
        <v>45</v>
      </c>
      <c r="E131" s="8">
        <v>246591967</v>
      </c>
      <c r="F131" s="8">
        <v>160995572</v>
      </c>
      <c r="G131" s="8">
        <v>163342219</v>
      </c>
      <c r="H131" s="8">
        <v>0</v>
      </c>
      <c r="I131" s="8">
        <v>6666332</v>
      </c>
      <c r="J131" s="8">
        <v>21867716</v>
      </c>
      <c r="K131" s="8">
        <v>35651365</v>
      </c>
      <c r="L131" s="8">
        <v>47287710</v>
      </c>
      <c r="M131" s="8">
        <v>58269490</v>
      </c>
      <c r="N131" s="8">
        <v>67196224</v>
      </c>
      <c r="O131" s="8">
        <v>76194121</v>
      </c>
      <c r="P131" s="8">
        <v>86850665</v>
      </c>
      <c r="Q131" s="8">
        <v>100525220</v>
      </c>
      <c r="R131" s="8">
        <v>114625930</v>
      </c>
      <c r="S131" s="9">
        <v>138846156</v>
      </c>
      <c r="T131" s="1"/>
      <c r="U131" s="1"/>
      <c r="V131" s="1"/>
      <c r="W131" s="1"/>
      <c r="X131" s="1"/>
      <c r="Y131" s="1"/>
      <c r="Z131" s="1"/>
    </row>
    <row r="132" spans="1:26" ht="13.5" customHeight="1">
      <c r="A132" s="1"/>
      <c r="B132" s="5">
        <v>2021</v>
      </c>
      <c r="C132" s="6">
        <v>31</v>
      </c>
      <c r="D132" s="7" t="s">
        <v>46</v>
      </c>
      <c r="E132" s="8">
        <v>84178256</v>
      </c>
      <c r="F132" s="8">
        <v>73670723</v>
      </c>
      <c r="G132" s="8">
        <v>73178242</v>
      </c>
      <c r="H132" s="8">
        <v>3825181</v>
      </c>
      <c r="I132" s="8">
        <v>8964985</v>
      </c>
      <c r="J132" s="8">
        <v>15055911</v>
      </c>
      <c r="K132" s="8">
        <v>20048280</v>
      </c>
      <c r="L132" s="8">
        <v>26317106</v>
      </c>
      <c r="M132" s="8">
        <v>31688072</v>
      </c>
      <c r="N132" s="8">
        <v>36444446</v>
      </c>
      <c r="O132" s="8">
        <v>42554997</v>
      </c>
      <c r="P132" s="8">
        <v>48413592</v>
      </c>
      <c r="Q132" s="8">
        <v>53825635</v>
      </c>
      <c r="R132" s="8">
        <v>60943515</v>
      </c>
      <c r="S132" s="9">
        <v>72860066</v>
      </c>
      <c r="T132" s="1"/>
      <c r="U132" s="1"/>
      <c r="V132" s="1"/>
      <c r="W132" s="1"/>
      <c r="X132" s="1"/>
      <c r="Y132" s="1"/>
      <c r="Z132" s="1"/>
    </row>
    <row r="133" spans="1:26" ht="13.5" customHeight="1">
      <c r="A133" s="1"/>
      <c r="B133" s="5">
        <v>2021</v>
      </c>
      <c r="C133" s="6">
        <v>31</v>
      </c>
      <c r="D133" s="7" t="s">
        <v>47</v>
      </c>
      <c r="E133" s="8">
        <v>106974494</v>
      </c>
      <c r="F133" s="8">
        <v>60144148</v>
      </c>
      <c r="G133" s="8">
        <v>57161148</v>
      </c>
      <c r="H133" s="8">
        <v>5238741</v>
      </c>
      <c r="I133" s="8">
        <v>10943486</v>
      </c>
      <c r="J133" s="8">
        <v>18457428</v>
      </c>
      <c r="K133" s="8">
        <v>27356255</v>
      </c>
      <c r="L133" s="8">
        <v>33912011</v>
      </c>
      <c r="M133" s="8">
        <v>39164650</v>
      </c>
      <c r="N133" s="8">
        <v>41928107</v>
      </c>
      <c r="O133" s="8">
        <v>45570244</v>
      </c>
      <c r="P133" s="8">
        <v>48624248</v>
      </c>
      <c r="Q133" s="8">
        <v>50023582</v>
      </c>
      <c r="R133" s="8">
        <v>51847218</v>
      </c>
      <c r="S133" s="9">
        <v>56686190</v>
      </c>
      <c r="T133" s="1"/>
      <c r="U133" s="1"/>
      <c r="V133" s="1"/>
      <c r="W133" s="1"/>
      <c r="X133" s="1"/>
      <c r="Y133" s="1"/>
      <c r="Z133" s="1"/>
    </row>
    <row r="134" spans="1:26" ht="13.5" customHeight="1">
      <c r="A134" s="1"/>
      <c r="B134" s="5">
        <v>2021</v>
      </c>
      <c r="C134" s="6">
        <v>31</v>
      </c>
      <c r="D134" s="7" t="s">
        <v>48</v>
      </c>
      <c r="E134" s="8">
        <v>36965808</v>
      </c>
      <c r="F134" s="8">
        <v>15949460</v>
      </c>
      <c r="G134" s="8">
        <v>14707161</v>
      </c>
      <c r="H134" s="8">
        <v>0</v>
      </c>
      <c r="I134" s="8">
        <v>185308</v>
      </c>
      <c r="J134" s="8">
        <v>472311</v>
      </c>
      <c r="K134" s="8">
        <v>867432</v>
      </c>
      <c r="L134" s="8">
        <v>1160606</v>
      </c>
      <c r="M134" s="8">
        <v>1516702</v>
      </c>
      <c r="N134" s="8">
        <v>2083480</v>
      </c>
      <c r="O134" s="8">
        <v>2750574</v>
      </c>
      <c r="P134" s="8">
        <v>3861743</v>
      </c>
      <c r="Q134" s="8">
        <v>4604946</v>
      </c>
      <c r="R134" s="8">
        <v>5590277</v>
      </c>
      <c r="S134" s="9">
        <v>7136830</v>
      </c>
      <c r="T134" s="1"/>
      <c r="U134" s="1"/>
      <c r="V134" s="1"/>
      <c r="W134" s="1"/>
      <c r="X134" s="1"/>
      <c r="Y134" s="1"/>
      <c r="Z134" s="1"/>
    </row>
    <row r="135" spans="1:26" ht="13.5" customHeight="1">
      <c r="A135" s="1"/>
      <c r="B135" s="5">
        <v>2021</v>
      </c>
      <c r="C135" s="6">
        <v>29</v>
      </c>
      <c r="D135" s="7" t="s">
        <v>43</v>
      </c>
      <c r="E135" s="8">
        <v>1930914</v>
      </c>
      <c r="F135" s="8">
        <v>4731492</v>
      </c>
      <c r="G135" s="8">
        <v>4819159</v>
      </c>
      <c r="H135" s="8">
        <v>0</v>
      </c>
      <c r="I135" s="8">
        <v>425938</v>
      </c>
      <c r="J135" s="8">
        <v>1462761</v>
      </c>
      <c r="K135" s="8">
        <v>1465974</v>
      </c>
      <c r="L135" s="8">
        <v>1481099</v>
      </c>
      <c r="M135" s="8">
        <v>1512434</v>
      </c>
      <c r="N135" s="8">
        <v>2183844</v>
      </c>
      <c r="O135" s="8">
        <v>2347779</v>
      </c>
      <c r="P135" s="8">
        <v>2386510</v>
      </c>
      <c r="Q135" s="8">
        <v>2529946</v>
      </c>
      <c r="R135" s="8">
        <v>3094655</v>
      </c>
      <c r="S135" s="9">
        <v>4799532</v>
      </c>
      <c r="T135" s="1"/>
      <c r="U135" s="1"/>
      <c r="V135" s="1"/>
      <c r="W135" s="1"/>
      <c r="X135" s="1"/>
      <c r="Y135" s="1"/>
      <c r="Z135" s="1"/>
    </row>
    <row r="136" spans="1:26" ht="13.5" customHeight="1">
      <c r="A136" s="1"/>
      <c r="B136" s="5">
        <v>2021</v>
      </c>
      <c r="C136" s="6">
        <v>29</v>
      </c>
      <c r="D136" s="7" t="s">
        <v>44</v>
      </c>
      <c r="E136" s="8">
        <v>128859</v>
      </c>
      <c r="F136" s="8">
        <v>128859</v>
      </c>
      <c r="G136" s="8">
        <v>708689</v>
      </c>
      <c r="H136" s="8">
        <v>0</v>
      </c>
      <c r="I136" s="8">
        <v>0</v>
      </c>
      <c r="J136" s="8">
        <v>0</v>
      </c>
      <c r="K136" s="8">
        <v>690</v>
      </c>
      <c r="L136" s="8">
        <v>690</v>
      </c>
      <c r="M136" s="8">
        <v>890</v>
      </c>
      <c r="N136" s="8">
        <v>890</v>
      </c>
      <c r="O136" s="8">
        <v>890</v>
      </c>
      <c r="P136" s="8">
        <v>26583</v>
      </c>
      <c r="Q136" s="8">
        <v>37934</v>
      </c>
      <c r="R136" s="8">
        <v>117361</v>
      </c>
      <c r="S136" s="9">
        <v>703694</v>
      </c>
      <c r="T136" s="1"/>
      <c r="U136" s="1"/>
      <c r="V136" s="1"/>
      <c r="W136" s="1"/>
      <c r="X136" s="1"/>
      <c r="Y136" s="1"/>
      <c r="Z136" s="1"/>
    </row>
    <row r="137" spans="1:26" ht="13.5" customHeight="1">
      <c r="A137" s="1"/>
      <c r="B137" s="5">
        <v>2021</v>
      </c>
      <c r="C137" s="6">
        <v>29</v>
      </c>
      <c r="D137" s="7" t="s">
        <v>45</v>
      </c>
      <c r="E137" s="8">
        <v>160447</v>
      </c>
      <c r="F137" s="8">
        <v>160447</v>
      </c>
      <c r="G137" s="8">
        <v>160447</v>
      </c>
      <c r="H137" s="8">
        <v>0</v>
      </c>
      <c r="I137" s="8">
        <v>0</v>
      </c>
      <c r="J137" s="8">
        <v>8167</v>
      </c>
      <c r="K137" s="8">
        <v>8833</v>
      </c>
      <c r="L137" s="8">
        <v>8833</v>
      </c>
      <c r="M137" s="8">
        <v>8833</v>
      </c>
      <c r="N137" s="8">
        <v>8833</v>
      </c>
      <c r="O137" s="8">
        <v>12555</v>
      </c>
      <c r="P137" s="8">
        <v>61123</v>
      </c>
      <c r="Q137" s="8">
        <v>70203</v>
      </c>
      <c r="R137" s="8">
        <v>155639</v>
      </c>
      <c r="S137" s="9">
        <v>160231</v>
      </c>
      <c r="T137" s="1"/>
      <c r="U137" s="1"/>
      <c r="V137" s="1"/>
      <c r="W137" s="1"/>
      <c r="X137" s="1"/>
      <c r="Y137" s="1"/>
      <c r="Z137" s="1"/>
    </row>
    <row r="138" spans="1:26" ht="13.5" customHeight="1">
      <c r="A138" s="1"/>
      <c r="B138" s="5">
        <v>2021</v>
      </c>
      <c r="C138" s="6">
        <v>29</v>
      </c>
      <c r="D138" s="7" t="s">
        <v>46</v>
      </c>
      <c r="E138" s="8">
        <v>2902086</v>
      </c>
      <c r="F138" s="8">
        <v>2902086</v>
      </c>
      <c r="G138" s="8">
        <v>486360</v>
      </c>
      <c r="H138" s="8">
        <v>0</v>
      </c>
      <c r="I138" s="8">
        <v>20</v>
      </c>
      <c r="J138" s="8">
        <v>20</v>
      </c>
      <c r="K138" s="8">
        <v>40</v>
      </c>
      <c r="L138" s="8">
        <v>40</v>
      </c>
      <c r="M138" s="8">
        <v>263823</v>
      </c>
      <c r="N138" s="8">
        <v>439678</v>
      </c>
      <c r="O138" s="8">
        <v>439678</v>
      </c>
      <c r="P138" s="8">
        <v>444855</v>
      </c>
      <c r="Q138" s="8">
        <v>444855</v>
      </c>
      <c r="R138" s="8">
        <v>458920</v>
      </c>
      <c r="S138" s="9">
        <v>485917</v>
      </c>
      <c r="T138" s="1"/>
      <c r="U138" s="1"/>
      <c r="V138" s="1"/>
      <c r="W138" s="1"/>
      <c r="X138" s="1"/>
      <c r="Y138" s="1"/>
      <c r="Z138" s="1"/>
    </row>
    <row r="139" spans="1:26" ht="13.5" customHeight="1">
      <c r="A139" s="1"/>
      <c r="B139" s="5">
        <v>2021</v>
      </c>
      <c r="C139" s="6">
        <v>29</v>
      </c>
      <c r="D139" s="7" t="s">
        <v>47</v>
      </c>
      <c r="E139" s="8">
        <v>103404</v>
      </c>
      <c r="F139" s="8">
        <v>103404</v>
      </c>
      <c r="G139" s="8">
        <v>103404</v>
      </c>
      <c r="H139" s="8">
        <v>0</v>
      </c>
      <c r="I139" s="8">
        <v>0</v>
      </c>
      <c r="J139" s="8">
        <v>0</v>
      </c>
      <c r="K139" s="8">
        <v>0</v>
      </c>
      <c r="L139" s="8">
        <v>375</v>
      </c>
      <c r="M139" s="8">
        <v>375</v>
      </c>
      <c r="N139" s="8">
        <v>375</v>
      </c>
      <c r="O139" s="8">
        <v>375</v>
      </c>
      <c r="P139" s="8">
        <v>16453</v>
      </c>
      <c r="Q139" s="8">
        <v>16738</v>
      </c>
      <c r="R139" s="8">
        <v>59581</v>
      </c>
      <c r="S139" s="9">
        <v>101089</v>
      </c>
      <c r="T139" s="1"/>
      <c r="U139" s="1"/>
      <c r="V139" s="1"/>
      <c r="W139" s="1"/>
      <c r="X139" s="1"/>
      <c r="Y139" s="1"/>
      <c r="Z139" s="1"/>
    </row>
    <row r="140" spans="1:26" ht="13.5" customHeight="1">
      <c r="A140" s="1"/>
      <c r="B140" s="5">
        <v>2021</v>
      </c>
      <c r="C140" s="6">
        <v>29</v>
      </c>
      <c r="D140" s="7" t="s">
        <v>48</v>
      </c>
      <c r="E140" s="8">
        <v>107372</v>
      </c>
      <c r="F140" s="8">
        <v>107372</v>
      </c>
      <c r="G140" s="8">
        <v>107372</v>
      </c>
      <c r="H140" s="8">
        <v>0</v>
      </c>
      <c r="I140" s="8">
        <v>0</v>
      </c>
      <c r="J140" s="8">
        <v>0</v>
      </c>
      <c r="K140" s="8">
        <v>0</v>
      </c>
      <c r="L140" s="8">
        <v>0</v>
      </c>
      <c r="M140" s="8">
        <v>0</v>
      </c>
      <c r="N140" s="8">
        <v>0</v>
      </c>
      <c r="O140" s="8">
        <v>0</v>
      </c>
      <c r="P140" s="8">
        <v>0</v>
      </c>
      <c r="Q140" s="8">
        <v>0</v>
      </c>
      <c r="R140" s="8">
        <v>38499</v>
      </c>
      <c r="S140" s="9">
        <v>107372</v>
      </c>
      <c r="T140" s="1"/>
      <c r="U140" s="1"/>
      <c r="V140" s="1"/>
      <c r="W140" s="1"/>
      <c r="X140" s="1"/>
      <c r="Y140" s="1"/>
      <c r="Z140" s="1"/>
    </row>
    <row r="141" spans="1:26" ht="13.5" customHeight="1">
      <c r="A141" s="1"/>
      <c r="B141" s="5">
        <v>2021</v>
      </c>
      <c r="C141" s="6">
        <v>33</v>
      </c>
      <c r="D141" s="7" t="s">
        <v>43</v>
      </c>
      <c r="E141" s="8">
        <v>0</v>
      </c>
      <c r="F141" s="8">
        <v>0</v>
      </c>
      <c r="G141" s="8">
        <v>0</v>
      </c>
      <c r="H141" s="8">
        <v>0</v>
      </c>
      <c r="I141" s="8">
        <v>0</v>
      </c>
      <c r="J141" s="8">
        <v>0</v>
      </c>
      <c r="K141" s="8">
        <v>0</v>
      </c>
      <c r="L141" s="8">
        <v>0</v>
      </c>
      <c r="M141" s="8">
        <v>0</v>
      </c>
      <c r="N141" s="8">
        <v>0</v>
      </c>
      <c r="O141" s="8">
        <v>0</v>
      </c>
      <c r="P141" s="8">
        <v>0</v>
      </c>
      <c r="Q141" s="8">
        <v>0</v>
      </c>
      <c r="R141" s="8">
        <v>0</v>
      </c>
      <c r="S141" s="9">
        <v>0</v>
      </c>
      <c r="T141" s="1"/>
      <c r="U141" s="1"/>
      <c r="V141" s="1"/>
      <c r="W141" s="1"/>
      <c r="X141" s="1"/>
      <c r="Y141" s="1"/>
      <c r="Z141" s="1"/>
    </row>
    <row r="142" spans="1:26" ht="13.5" customHeight="1">
      <c r="A142" s="1"/>
      <c r="B142" s="5">
        <v>2021</v>
      </c>
      <c r="C142" s="6">
        <v>33</v>
      </c>
      <c r="D142" s="7" t="s">
        <v>44</v>
      </c>
      <c r="E142" s="8">
        <v>0</v>
      </c>
      <c r="F142" s="8">
        <v>0</v>
      </c>
      <c r="G142" s="8">
        <v>0</v>
      </c>
      <c r="H142" s="8">
        <v>0</v>
      </c>
      <c r="I142" s="8">
        <v>0</v>
      </c>
      <c r="J142" s="8">
        <v>0</v>
      </c>
      <c r="K142" s="8">
        <v>0</v>
      </c>
      <c r="L142" s="8">
        <v>0</v>
      </c>
      <c r="M142" s="8">
        <v>0</v>
      </c>
      <c r="N142" s="8">
        <v>0</v>
      </c>
      <c r="O142" s="8">
        <v>0</v>
      </c>
      <c r="P142" s="8">
        <v>0</v>
      </c>
      <c r="Q142" s="8">
        <v>0</v>
      </c>
      <c r="R142" s="8">
        <v>0</v>
      </c>
      <c r="S142" s="9">
        <v>0</v>
      </c>
      <c r="T142" s="1"/>
      <c r="U142" s="1"/>
      <c r="V142" s="1"/>
      <c r="W142" s="1"/>
      <c r="X142" s="1"/>
      <c r="Y142" s="1"/>
      <c r="Z142" s="1"/>
    </row>
    <row r="143" spans="1:26" ht="13.5" customHeight="1">
      <c r="A143" s="1"/>
      <c r="B143" s="5">
        <v>2021</v>
      </c>
      <c r="C143" s="6">
        <v>33</v>
      </c>
      <c r="D143" s="7" t="s">
        <v>45</v>
      </c>
      <c r="E143" s="8">
        <v>0</v>
      </c>
      <c r="F143" s="8">
        <v>0</v>
      </c>
      <c r="G143" s="8">
        <v>0</v>
      </c>
      <c r="H143" s="8">
        <v>0</v>
      </c>
      <c r="I143" s="8">
        <v>0</v>
      </c>
      <c r="J143" s="8">
        <v>0</v>
      </c>
      <c r="K143" s="8">
        <v>0</v>
      </c>
      <c r="L143" s="8">
        <v>0</v>
      </c>
      <c r="M143" s="8">
        <v>0</v>
      </c>
      <c r="N143" s="8">
        <v>0</v>
      </c>
      <c r="O143" s="8">
        <v>0</v>
      </c>
      <c r="P143" s="8">
        <v>0</v>
      </c>
      <c r="Q143" s="8">
        <v>0</v>
      </c>
      <c r="R143" s="8">
        <v>0</v>
      </c>
      <c r="S143" s="9">
        <v>0</v>
      </c>
      <c r="T143" s="1"/>
      <c r="U143" s="1"/>
      <c r="V143" s="1"/>
      <c r="W143" s="1"/>
      <c r="X143" s="1"/>
      <c r="Y143" s="1"/>
      <c r="Z143" s="1"/>
    </row>
    <row r="144" spans="1:26" ht="13.5" customHeight="1">
      <c r="A144" s="1"/>
      <c r="B144" s="5">
        <v>2021</v>
      </c>
      <c r="C144" s="6">
        <v>33</v>
      </c>
      <c r="D144" s="7" t="s">
        <v>46</v>
      </c>
      <c r="E144" s="8">
        <v>0</v>
      </c>
      <c r="F144" s="8">
        <v>0</v>
      </c>
      <c r="G144" s="8">
        <v>0</v>
      </c>
      <c r="H144" s="8">
        <v>0</v>
      </c>
      <c r="I144" s="8">
        <v>0</v>
      </c>
      <c r="J144" s="8">
        <v>0</v>
      </c>
      <c r="K144" s="8">
        <v>0</v>
      </c>
      <c r="L144" s="8">
        <v>0</v>
      </c>
      <c r="M144" s="8">
        <v>0</v>
      </c>
      <c r="N144" s="8">
        <v>0</v>
      </c>
      <c r="O144" s="8">
        <v>0</v>
      </c>
      <c r="P144" s="8">
        <v>0</v>
      </c>
      <c r="Q144" s="8">
        <v>0</v>
      </c>
      <c r="R144" s="8">
        <v>0</v>
      </c>
      <c r="S144" s="9">
        <v>0</v>
      </c>
      <c r="T144" s="1"/>
      <c r="U144" s="1"/>
      <c r="V144" s="1"/>
      <c r="W144" s="1"/>
      <c r="X144" s="1"/>
      <c r="Y144" s="1"/>
      <c r="Z144" s="1"/>
    </row>
    <row r="145" spans="1:26" ht="13.5" customHeight="1">
      <c r="A145" s="1"/>
      <c r="B145" s="5">
        <v>2021</v>
      </c>
      <c r="C145" s="6">
        <v>33</v>
      </c>
      <c r="D145" s="7" t="s">
        <v>47</v>
      </c>
      <c r="E145" s="8">
        <v>0</v>
      </c>
      <c r="F145" s="8">
        <v>0</v>
      </c>
      <c r="G145" s="8">
        <v>0</v>
      </c>
      <c r="H145" s="8">
        <v>0</v>
      </c>
      <c r="I145" s="8">
        <v>0</v>
      </c>
      <c r="J145" s="8">
        <v>0</v>
      </c>
      <c r="K145" s="8">
        <v>0</v>
      </c>
      <c r="L145" s="8">
        <v>0</v>
      </c>
      <c r="M145" s="8">
        <v>0</v>
      </c>
      <c r="N145" s="8">
        <v>0</v>
      </c>
      <c r="O145" s="8">
        <v>0</v>
      </c>
      <c r="P145" s="8">
        <v>0</v>
      </c>
      <c r="Q145" s="8">
        <v>0</v>
      </c>
      <c r="R145" s="8">
        <v>0</v>
      </c>
      <c r="S145" s="9">
        <v>0</v>
      </c>
      <c r="T145" s="1"/>
      <c r="U145" s="1"/>
      <c r="V145" s="1"/>
      <c r="W145" s="1"/>
      <c r="X145" s="1"/>
      <c r="Y145" s="1"/>
      <c r="Z145" s="1"/>
    </row>
    <row r="146" spans="1:26" ht="13.5" customHeight="1">
      <c r="A146" s="1"/>
      <c r="B146" s="5">
        <v>2021</v>
      </c>
      <c r="C146" s="6">
        <v>33</v>
      </c>
      <c r="D146" s="7" t="s">
        <v>48</v>
      </c>
      <c r="E146" s="8">
        <v>0</v>
      </c>
      <c r="F146" s="8">
        <v>0</v>
      </c>
      <c r="G146" s="8">
        <v>0</v>
      </c>
      <c r="H146" s="8">
        <v>0</v>
      </c>
      <c r="I146" s="8">
        <v>0</v>
      </c>
      <c r="J146" s="8">
        <v>0</v>
      </c>
      <c r="K146" s="8">
        <v>0</v>
      </c>
      <c r="L146" s="8">
        <v>0</v>
      </c>
      <c r="M146" s="8">
        <v>0</v>
      </c>
      <c r="N146" s="8">
        <v>0</v>
      </c>
      <c r="O146" s="8">
        <v>0</v>
      </c>
      <c r="P146" s="8">
        <v>0</v>
      </c>
      <c r="Q146" s="8">
        <v>0</v>
      </c>
      <c r="R146" s="8">
        <v>0</v>
      </c>
      <c r="S146" s="9">
        <v>0</v>
      </c>
      <c r="T146" s="1"/>
      <c r="U146" s="1"/>
      <c r="V146" s="1"/>
      <c r="W146" s="1"/>
      <c r="X146" s="1"/>
      <c r="Y146" s="1"/>
      <c r="Z146" s="1"/>
    </row>
    <row r="147" spans="1:26" ht="13.5" customHeight="1">
      <c r="A147" s="1"/>
      <c r="B147" s="5">
        <v>2022</v>
      </c>
      <c r="C147" s="6">
        <v>31</v>
      </c>
      <c r="D147" s="7" t="s">
        <v>43</v>
      </c>
      <c r="E147" s="8">
        <v>1802464771</v>
      </c>
      <c r="F147" s="8">
        <v>1092879968</v>
      </c>
      <c r="G147" s="8">
        <v>967670999</v>
      </c>
      <c r="H147" s="8">
        <v>0</v>
      </c>
      <c r="I147" s="8">
        <v>58153045</v>
      </c>
      <c r="J147" s="8">
        <v>139608998</v>
      </c>
      <c r="K147" s="8">
        <v>206666427</v>
      </c>
      <c r="L147" s="8">
        <v>283374746</v>
      </c>
      <c r="M147" s="8">
        <v>345265825</v>
      </c>
      <c r="N147" s="8">
        <v>405594742</v>
      </c>
      <c r="O147" s="8">
        <v>472550892</v>
      </c>
      <c r="P147" s="8">
        <v>616595780</v>
      </c>
      <c r="Q147" s="8">
        <v>680714110</v>
      </c>
      <c r="R147" s="8">
        <v>760339461</v>
      </c>
      <c r="S147" s="9">
        <v>955760345</v>
      </c>
      <c r="T147" s="1"/>
      <c r="U147" s="1"/>
      <c r="V147" s="1"/>
      <c r="W147" s="1"/>
      <c r="X147" s="1"/>
      <c r="Y147" s="1"/>
      <c r="Z147" s="1"/>
    </row>
    <row r="148" spans="1:26" ht="13.5" customHeight="1">
      <c r="A148" s="1"/>
      <c r="B148" s="5">
        <v>2022</v>
      </c>
      <c r="C148" s="6">
        <v>31</v>
      </c>
      <c r="D148" s="7" t="s">
        <v>44</v>
      </c>
      <c r="E148" s="8">
        <v>277835405</v>
      </c>
      <c r="F148" s="8">
        <v>147022684</v>
      </c>
      <c r="G148" s="8">
        <v>129672445</v>
      </c>
      <c r="H148" s="8">
        <v>0</v>
      </c>
      <c r="I148" s="8">
        <v>2161172</v>
      </c>
      <c r="J148" s="8">
        <v>9902695</v>
      </c>
      <c r="K148" s="8">
        <v>17446259</v>
      </c>
      <c r="L148" s="8">
        <v>23088738</v>
      </c>
      <c r="M148" s="8">
        <v>30830389</v>
      </c>
      <c r="N148" s="8">
        <v>40520841</v>
      </c>
      <c r="O148" s="8">
        <v>46926966</v>
      </c>
      <c r="P148" s="8">
        <v>55522281</v>
      </c>
      <c r="Q148" s="8">
        <v>68952930</v>
      </c>
      <c r="R148" s="8">
        <v>83462172</v>
      </c>
      <c r="S148" s="9">
        <v>128495787</v>
      </c>
      <c r="T148" s="1"/>
      <c r="U148" s="1"/>
      <c r="V148" s="1"/>
      <c r="W148" s="1"/>
      <c r="X148" s="1"/>
      <c r="Y148" s="1"/>
      <c r="Z148" s="1"/>
    </row>
    <row r="149" spans="1:26" ht="13.5" customHeight="1">
      <c r="A149" s="1"/>
      <c r="B149" s="5">
        <v>2022</v>
      </c>
      <c r="C149" s="6">
        <v>31</v>
      </c>
      <c r="D149" s="7" t="s">
        <v>45</v>
      </c>
      <c r="E149" s="8">
        <v>278347953</v>
      </c>
      <c r="F149" s="8">
        <v>148440561</v>
      </c>
      <c r="G149" s="8">
        <v>110932143</v>
      </c>
      <c r="H149" s="8">
        <v>0</v>
      </c>
      <c r="I149" s="8">
        <v>0</v>
      </c>
      <c r="J149" s="8">
        <v>7252609</v>
      </c>
      <c r="K149" s="8">
        <v>18124947</v>
      </c>
      <c r="L149" s="8">
        <v>26400403</v>
      </c>
      <c r="M149" s="8">
        <v>33265233</v>
      </c>
      <c r="N149" s="8">
        <v>41025465</v>
      </c>
      <c r="O149" s="8">
        <v>48098388</v>
      </c>
      <c r="P149" s="8">
        <v>56515227</v>
      </c>
      <c r="Q149" s="8">
        <v>64874125</v>
      </c>
      <c r="R149" s="8">
        <v>77789880</v>
      </c>
      <c r="S149" s="9">
        <v>108974292</v>
      </c>
      <c r="T149" s="1"/>
      <c r="U149" s="1"/>
      <c r="V149" s="1"/>
      <c r="W149" s="1"/>
      <c r="X149" s="1"/>
      <c r="Y149" s="1"/>
      <c r="Z149" s="1"/>
    </row>
    <row r="150" spans="1:26" ht="13.5" customHeight="1">
      <c r="A150" s="1"/>
      <c r="B150" s="5">
        <v>2022</v>
      </c>
      <c r="C150" s="6">
        <v>31</v>
      </c>
      <c r="D150" s="7" t="s">
        <v>46</v>
      </c>
      <c r="E150" s="8">
        <v>100054904</v>
      </c>
      <c r="F150" s="8">
        <v>76882481</v>
      </c>
      <c r="G150" s="8">
        <v>64614673</v>
      </c>
      <c r="H150" s="8">
        <v>0</v>
      </c>
      <c r="I150" s="8">
        <v>6831369</v>
      </c>
      <c r="J150" s="8">
        <v>12735359</v>
      </c>
      <c r="K150" s="8">
        <v>17744111</v>
      </c>
      <c r="L150" s="8">
        <v>21871504</v>
      </c>
      <c r="M150" s="8">
        <v>26590987</v>
      </c>
      <c r="N150" s="8">
        <v>29792299</v>
      </c>
      <c r="O150" s="8">
        <v>33545628</v>
      </c>
      <c r="P150" s="8">
        <v>38180759</v>
      </c>
      <c r="Q150" s="8">
        <v>44900676</v>
      </c>
      <c r="R150" s="8">
        <v>49875536</v>
      </c>
      <c r="S150" s="9">
        <v>63389831</v>
      </c>
      <c r="T150" s="1"/>
      <c r="U150" s="1"/>
      <c r="V150" s="1"/>
      <c r="W150" s="1"/>
      <c r="X150" s="1"/>
      <c r="Y150" s="1"/>
      <c r="Z150" s="1"/>
    </row>
    <row r="151" spans="1:26" ht="13.5" customHeight="1">
      <c r="A151" s="1"/>
      <c r="B151" s="5">
        <v>2022</v>
      </c>
      <c r="C151" s="6">
        <v>31</v>
      </c>
      <c r="D151" s="7" t="s">
        <v>47</v>
      </c>
      <c r="E151" s="8">
        <v>117831351</v>
      </c>
      <c r="F151" s="8">
        <v>62487413</v>
      </c>
      <c r="G151" s="8">
        <v>66143610</v>
      </c>
      <c r="H151" s="8">
        <v>839540</v>
      </c>
      <c r="I151" s="8">
        <v>1930275</v>
      </c>
      <c r="J151" s="8">
        <v>5065401</v>
      </c>
      <c r="K151" s="8">
        <v>7642514</v>
      </c>
      <c r="L151" s="8">
        <v>8217159</v>
      </c>
      <c r="M151" s="8">
        <v>9505928</v>
      </c>
      <c r="N151" s="8">
        <v>12107075</v>
      </c>
      <c r="O151" s="8">
        <v>14547935</v>
      </c>
      <c r="P151" s="8">
        <v>17494128</v>
      </c>
      <c r="Q151" s="8">
        <v>27673768</v>
      </c>
      <c r="R151" s="8">
        <v>40027308</v>
      </c>
      <c r="S151" s="9">
        <v>65439532</v>
      </c>
      <c r="T151" s="1"/>
      <c r="U151" s="1"/>
      <c r="V151" s="1"/>
      <c r="W151" s="1"/>
      <c r="X151" s="1"/>
      <c r="Y151" s="1"/>
      <c r="Z151" s="1"/>
    </row>
    <row r="152" spans="1:26" ht="13.5" customHeight="1">
      <c r="A152" s="1"/>
      <c r="B152" s="5">
        <v>2022</v>
      </c>
      <c r="C152" s="6">
        <v>31</v>
      </c>
      <c r="D152" s="7" t="s">
        <v>48</v>
      </c>
      <c r="E152" s="8">
        <v>41038849</v>
      </c>
      <c r="F152" s="8">
        <v>8974172</v>
      </c>
      <c r="G152" s="8">
        <v>7392258</v>
      </c>
      <c r="H152" s="8">
        <v>0</v>
      </c>
      <c r="I152" s="8">
        <v>0</v>
      </c>
      <c r="J152" s="8">
        <v>112783</v>
      </c>
      <c r="K152" s="8">
        <v>865235</v>
      </c>
      <c r="L152" s="8">
        <v>1090968</v>
      </c>
      <c r="M152" s="8">
        <v>1329914</v>
      </c>
      <c r="N152" s="8">
        <v>1964401</v>
      </c>
      <c r="O152" s="8">
        <v>2518748</v>
      </c>
      <c r="P152" s="8">
        <v>3753691</v>
      </c>
      <c r="Q152" s="8">
        <v>4505699</v>
      </c>
      <c r="R152" s="8">
        <v>5158128</v>
      </c>
      <c r="S152" s="9">
        <v>6961523</v>
      </c>
      <c r="T152" s="1"/>
      <c r="U152" s="1"/>
      <c r="V152" s="1"/>
      <c r="W152" s="1"/>
      <c r="X152" s="1"/>
      <c r="Y152" s="1"/>
      <c r="Z152" s="1"/>
    </row>
    <row r="153" spans="1:26" ht="13.5" customHeight="1">
      <c r="A153" s="1"/>
      <c r="B153" s="5">
        <v>2022</v>
      </c>
      <c r="C153" s="6">
        <v>29</v>
      </c>
      <c r="D153" s="7" t="s">
        <v>43</v>
      </c>
      <c r="E153" s="8">
        <v>298233</v>
      </c>
      <c r="F153" s="8">
        <v>1895233</v>
      </c>
      <c r="G153" s="8">
        <v>8468149</v>
      </c>
      <c r="H153" s="8">
        <v>0</v>
      </c>
      <c r="I153" s="8">
        <v>0</v>
      </c>
      <c r="J153" s="8">
        <v>0</v>
      </c>
      <c r="K153" s="8">
        <v>0</v>
      </c>
      <c r="L153" s="8">
        <v>109962</v>
      </c>
      <c r="M153" s="8">
        <v>110961</v>
      </c>
      <c r="N153" s="8">
        <v>111701</v>
      </c>
      <c r="O153" s="8">
        <v>117198</v>
      </c>
      <c r="P153" s="8">
        <v>205350</v>
      </c>
      <c r="Q153" s="8">
        <v>218231</v>
      </c>
      <c r="R153" s="8">
        <v>306659</v>
      </c>
      <c r="S153" s="9">
        <v>8421395</v>
      </c>
      <c r="T153" s="1"/>
      <c r="U153" s="1"/>
      <c r="V153" s="1"/>
      <c r="W153" s="1"/>
      <c r="X153" s="1"/>
      <c r="Y153" s="1"/>
      <c r="Z153" s="1"/>
    </row>
    <row r="154" spans="1:26" ht="13.5" customHeight="1">
      <c r="A154" s="1"/>
      <c r="B154" s="5">
        <v>2022</v>
      </c>
      <c r="C154" s="6">
        <v>29</v>
      </c>
      <c r="D154" s="7" t="s">
        <v>44</v>
      </c>
      <c r="E154" s="8">
        <v>130362</v>
      </c>
      <c r="F154" s="8">
        <v>130362</v>
      </c>
      <c r="G154" s="8">
        <v>1193375</v>
      </c>
      <c r="H154" s="8">
        <v>0</v>
      </c>
      <c r="I154" s="8">
        <v>0</v>
      </c>
      <c r="J154" s="8">
        <v>397</v>
      </c>
      <c r="K154" s="8">
        <v>397</v>
      </c>
      <c r="L154" s="8">
        <v>892</v>
      </c>
      <c r="M154" s="8">
        <v>20063</v>
      </c>
      <c r="N154" s="8">
        <v>21996</v>
      </c>
      <c r="O154" s="8">
        <v>21996</v>
      </c>
      <c r="P154" s="8">
        <v>75465</v>
      </c>
      <c r="Q154" s="8">
        <v>107933</v>
      </c>
      <c r="R154" s="8">
        <v>907010</v>
      </c>
      <c r="S154" s="9">
        <v>1149989</v>
      </c>
      <c r="T154" s="1"/>
      <c r="U154" s="1"/>
      <c r="V154" s="1"/>
      <c r="W154" s="1"/>
      <c r="X154" s="1"/>
      <c r="Y154" s="1"/>
      <c r="Z154" s="1"/>
    </row>
    <row r="155" spans="1:26" ht="13.5" customHeight="1">
      <c r="A155" s="1"/>
      <c r="B155" s="5">
        <v>2022</v>
      </c>
      <c r="C155" s="6">
        <v>29</v>
      </c>
      <c r="D155" s="7" t="s">
        <v>45</v>
      </c>
      <c r="E155" s="8">
        <v>455326</v>
      </c>
      <c r="F155" s="8">
        <v>455326</v>
      </c>
      <c r="G155" s="8">
        <v>979017</v>
      </c>
      <c r="H155" s="8">
        <v>0</v>
      </c>
      <c r="I155" s="8">
        <v>0</v>
      </c>
      <c r="J155" s="8">
        <v>0</v>
      </c>
      <c r="K155" s="8">
        <v>0</v>
      </c>
      <c r="L155" s="8">
        <v>0</v>
      </c>
      <c r="M155" s="8">
        <v>10407</v>
      </c>
      <c r="N155" s="8">
        <v>16277</v>
      </c>
      <c r="O155" s="8">
        <v>16277</v>
      </c>
      <c r="P155" s="8">
        <v>101440</v>
      </c>
      <c r="Q155" s="8">
        <v>232681</v>
      </c>
      <c r="R155" s="8">
        <v>571170</v>
      </c>
      <c r="S155" s="9">
        <v>709579</v>
      </c>
      <c r="T155" s="1"/>
      <c r="U155" s="1"/>
      <c r="V155" s="1"/>
      <c r="W155" s="1"/>
      <c r="X155" s="1"/>
      <c r="Y155" s="1"/>
      <c r="Z155" s="1"/>
    </row>
    <row r="156" spans="1:26" ht="13.5" customHeight="1">
      <c r="A156" s="1"/>
      <c r="B156" s="5">
        <v>2022</v>
      </c>
      <c r="C156" s="6">
        <v>29</v>
      </c>
      <c r="D156" s="7" t="s">
        <v>46</v>
      </c>
      <c r="E156" s="8">
        <v>1322297</v>
      </c>
      <c r="F156" s="8">
        <v>1322297</v>
      </c>
      <c r="G156" s="8">
        <v>958297</v>
      </c>
      <c r="H156" s="8">
        <v>0</v>
      </c>
      <c r="I156" s="8">
        <v>0</v>
      </c>
      <c r="J156" s="8">
        <v>0</v>
      </c>
      <c r="K156" s="8">
        <v>22</v>
      </c>
      <c r="L156" s="8">
        <v>22</v>
      </c>
      <c r="M156" s="8">
        <v>22</v>
      </c>
      <c r="N156" s="8">
        <v>22</v>
      </c>
      <c r="O156" s="8">
        <v>22</v>
      </c>
      <c r="P156" s="8">
        <v>21191</v>
      </c>
      <c r="Q156" s="8">
        <v>82685</v>
      </c>
      <c r="R156" s="8">
        <v>447234</v>
      </c>
      <c r="S156" s="9">
        <v>865046</v>
      </c>
      <c r="T156" s="1"/>
      <c r="U156" s="1"/>
      <c r="V156" s="1"/>
      <c r="W156" s="1"/>
      <c r="X156" s="1"/>
      <c r="Y156" s="1"/>
      <c r="Z156" s="1"/>
    </row>
    <row r="157" spans="1:26" ht="13.5" customHeight="1">
      <c r="A157" s="1"/>
      <c r="B157" s="5">
        <v>2022</v>
      </c>
      <c r="C157" s="6">
        <v>29</v>
      </c>
      <c r="D157" s="7" t="s">
        <v>47</v>
      </c>
      <c r="E157" s="8">
        <v>76973</v>
      </c>
      <c r="F157" s="8">
        <v>162012</v>
      </c>
      <c r="G157" s="8">
        <v>162012</v>
      </c>
      <c r="H157" s="8">
        <v>0</v>
      </c>
      <c r="I157" s="8">
        <v>0</v>
      </c>
      <c r="J157" s="8">
        <v>0</v>
      </c>
      <c r="K157" s="8">
        <v>43</v>
      </c>
      <c r="L157" s="8">
        <v>43</v>
      </c>
      <c r="M157" s="8">
        <v>638</v>
      </c>
      <c r="N157" s="8">
        <v>3960</v>
      </c>
      <c r="O157" s="8">
        <v>60216</v>
      </c>
      <c r="P157" s="8">
        <v>61185</v>
      </c>
      <c r="Q157" s="8">
        <v>67106</v>
      </c>
      <c r="R157" s="8">
        <v>95932</v>
      </c>
      <c r="S157" s="9">
        <v>160797</v>
      </c>
      <c r="T157" s="1"/>
      <c r="U157" s="1"/>
      <c r="V157" s="1"/>
      <c r="W157" s="1"/>
      <c r="X157" s="1"/>
      <c r="Y157" s="1"/>
      <c r="Z157" s="1"/>
    </row>
    <row r="158" spans="1:26" ht="13.5" customHeight="1">
      <c r="A158" s="1"/>
      <c r="B158" s="5">
        <v>2022</v>
      </c>
      <c r="C158" s="6">
        <v>29</v>
      </c>
      <c r="D158" s="7" t="s">
        <v>48</v>
      </c>
      <c r="E158" s="8">
        <v>169485</v>
      </c>
      <c r="F158" s="8">
        <v>169485</v>
      </c>
      <c r="G158" s="8">
        <v>395850</v>
      </c>
      <c r="H158" s="8">
        <v>0</v>
      </c>
      <c r="I158" s="8">
        <v>0</v>
      </c>
      <c r="J158" s="8">
        <v>0</v>
      </c>
      <c r="K158" s="8">
        <v>0</v>
      </c>
      <c r="L158" s="8">
        <v>0</v>
      </c>
      <c r="M158" s="8">
        <v>0</v>
      </c>
      <c r="N158" s="8">
        <v>1222</v>
      </c>
      <c r="O158" s="8">
        <v>9602</v>
      </c>
      <c r="P158" s="8">
        <v>92334</v>
      </c>
      <c r="Q158" s="8">
        <v>96189</v>
      </c>
      <c r="R158" s="8">
        <v>319595</v>
      </c>
      <c r="S158" s="9">
        <v>395574</v>
      </c>
      <c r="T158" s="1"/>
      <c r="U158" s="1"/>
      <c r="V158" s="1"/>
      <c r="W158" s="1"/>
      <c r="X158" s="1"/>
      <c r="Y158" s="1"/>
      <c r="Z158" s="1"/>
    </row>
    <row r="159" spans="1:26" ht="13.5" customHeight="1">
      <c r="A159" s="1"/>
      <c r="B159" s="5">
        <v>2022</v>
      </c>
      <c r="C159" s="6">
        <v>33</v>
      </c>
      <c r="D159" s="7" t="s">
        <v>43</v>
      </c>
      <c r="E159" s="8">
        <v>0</v>
      </c>
      <c r="F159" s="8">
        <v>0</v>
      </c>
      <c r="G159" s="8">
        <v>0</v>
      </c>
      <c r="H159" s="8">
        <v>0</v>
      </c>
      <c r="I159" s="8">
        <v>0</v>
      </c>
      <c r="J159" s="8">
        <v>0</v>
      </c>
      <c r="K159" s="8">
        <v>0</v>
      </c>
      <c r="L159" s="8">
        <v>0</v>
      </c>
      <c r="M159" s="8">
        <v>0</v>
      </c>
      <c r="N159" s="8">
        <v>0</v>
      </c>
      <c r="O159" s="8">
        <v>0</v>
      </c>
      <c r="P159" s="8">
        <v>0</v>
      </c>
      <c r="Q159" s="8">
        <v>0</v>
      </c>
      <c r="R159" s="8">
        <v>0</v>
      </c>
      <c r="S159" s="9">
        <v>0</v>
      </c>
      <c r="T159" s="1"/>
      <c r="U159" s="1"/>
      <c r="V159" s="1"/>
      <c r="W159" s="1"/>
      <c r="X159" s="1"/>
      <c r="Y159" s="1"/>
      <c r="Z159" s="1"/>
    </row>
    <row r="160" spans="1:26" ht="13.5" customHeight="1">
      <c r="A160" s="1"/>
      <c r="B160" s="5">
        <v>2022</v>
      </c>
      <c r="C160" s="6">
        <v>33</v>
      </c>
      <c r="D160" s="7" t="s">
        <v>44</v>
      </c>
      <c r="E160" s="8">
        <v>0</v>
      </c>
      <c r="F160" s="8">
        <v>0</v>
      </c>
      <c r="G160" s="8">
        <v>0</v>
      </c>
      <c r="H160" s="8">
        <v>0</v>
      </c>
      <c r="I160" s="8">
        <v>0</v>
      </c>
      <c r="J160" s="8">
        <v>0</v>
      </c>
      <c r="K160" s="8">
        <v>0</v>
      </c>
      <c r="L160" s="8">
        <v>0</v>
      </c>
      <c r="M160" s="8">
        <v>0</v>
      </c>
      <c r="N160" s="8">
        <v>0</v>
      </c>
      <c r="O160" s="8">
        <v>0</v>
      </c>
      <c r="P160" s="8">
        <v>0</v>
      </c>
      <c r="Q160" s="8">
        <v>0</v>
      </c>
      <c r="R160" s="8">
        <v>0</v>
      </c>
      <c r="S160" s="9">
        <v>0</v>
      </c>
      <c r="T160" s="1"/>
      <c r="U160" s="1"/>
      <c r="V160" s="1"/>
      <c r="W160" s="1"/>
      <c r="X160" s="1"/>
      <c r="Y160" s="1"/>
      <c r="Z160" s="1"/>
    </row>
    <row r="161" spans="1:26" ht="13.5" customHeight="1">
      <c r="A161" s="1"/>
      <c r="B161" s="5">
        <v>2022</v>
      </c>
      <c r="C161" s="6">
        <v>33</v>
      </c>
      <c r="D161" s="7" t="s">
        <v>45</v>
      </c>
      <c r="E161" s="8">
        <v>0</v>
      </c>
      <c r="F161" s="8">
        <v>0</v>
      </c>
      <c r="G161" s="8">
        <v>0</v>
      </c>
      <c r="H161" s="8">
        <v>0</v>
      </c>
      <c r="I161" s="8">
        <v>0</v>
      </c>
      <c r="J161" s="8">
        <v>0</v>
      </c>
      <c r="K161" s="8">
        <v>0</v>
      </c>
      <c r="L161" s="8">
        <v>0</v>
      </c>
      <c r="M161" s="8">
        <v>0</v>
      </c>
      <c r="N161" s="8">
        <v>0</v>
      </c>
      <c r="O161" s="8">
        <v>0</v>
      </c>
      <c r="P161" s="8">
        <v>0</v>
      </c>
      <c r="Q161" s="8">
        <v>0</v>
      </c>
      <c r="R161" s="8">
        <v>0</v>
      </c>
      <c r="S161" s="9">
        <v>0</v>
      </c>
      <c r="T161" s="1"/>
      <c r="U161" s="1"/>
      <c r="V161" s="1"/>
      <c r="W161" s="1"/>
      <c r="X161" s="1"/>
      <c r="Y161" s="1"/>
      <c r="Z161" s="1"/>
    </row>
    <row r="162" spans="1:26" ht="13.5" customHeight="1">
      <c r="A162" s="1"/>
      <c r="B162" s="5">
        <v>2022</v>
      </c>
      <c r="C162" s="6">
        <v>33</v>
      </c>
      <c r="D162" s="7" t="s">
        <v>46</v>
      </c>
      <c r="E162" s="8">
        <v>0</v>
      </c>
      <c r="F162" s="8">
        <v>0</v>
      </c>
      <c r="G162" s="8">
        <v>0</v>
      </c>
      <c r="H162" s="8">
        <v>0</v>
      </c>
      <c r="I162" s="8">
        <v>0</v>
      </c>
      <c r="J162" s="8">
        <v>0</v>
      </c>
      <c r="K162" s="8">
        <v>0</v>
      </c>
      <c r="L162" s="8">
        <v>0</v>
      </c>
      <c r="M162" s="8">
        <v>0</v>
      </c>
      <c r="N162" s="8">
        <v>0</v>
      </c>
      <c r="O162" s="8">
        <v>0</v>
      </c>
      <c r="P162" s="8">
        <v>0</v>
      </c>
      <c r="Q162" s="8">
        <v>0</v>
      </c>
      <c r="R162" s="8">
        <v>0</v>
      </c>
      <c r="S162" s="9">
        <v>0</v>
      </c>
      <c r="T162" s="1"/>
      <c r="U162" s="1"/>
      <c r="V162" s="1"/>
      <c r="W162" s="1"/>
      <c r="X162" s="1"/>
      <c r="Y162" s="1"/>
      <c r="Z162" s="1"/>
    </row>
    <row r="163" spans="1:26" ht="13.5" customHeight="1">
      <c r="A163" s="1"/>
      <c r="B163" s="5">
        <v>2022</v>
      </c>
      <c r="C163" s="6">
        <v>33</v>
      </c>
      <c r="D163" s="7" t="s">
        <v>47</v>
      </c>
      <c r="E163" s="8">
        <v>0</v>
      </c>
      <c r="F163" s="8">
        <v>0</v>
      </c>
      <c r="G163" s="8">
        <v>0</v>
      </c>
      <c r="H163" s="8">
        <v>0</v>
      </c>
      <c r="I163" s="8">
        <v>0</v>
      </c>
      <c r="J163" s="8">
        <v>0</v>
      </c>
      <c r="K163" s="8">
        <v>0</v>
      </c>
      <c r="L163" s="8">
        <v>0</v>
      </c>
      <c r="M163" s="8">
        <v>0</v>
      </c>
      <c r="N163" s="8">
        <v>0</v>
      </c>
      <c r="O163" s="8">
        <v>0</v>
      </c>
      <c r="P163" s="8">
        <v>0</v>
      </c>
      <c r="Q163" s="8">
        <v>0</v>
      </c>
      <c r="R163" s="8">
        <v>0</v>
      </c>
      <c r="S163" s="9">
        <v>0</v>
      </c>
      <c r="T163" s="1"/>
      <c r="U163" s="1"/>
      <c r="V163" s="1"/>
      <c r="W163" s="1"/>
      <c r="X163" s="1"/>
      <c r="Y163" s="1"/>
      <c r="Z163" s="1"/>
    </row>
    <row r="164" spans="1:26" ht="13.5" customHeight="1">
      <c r="A164" s="1"/>
      <c r="B164" s="5">
        <v>2022</v>
      </c>
      <c r="C164" s="6">
        <v>33</v>
      </c>
      <c r="D164" s="7" t="s">
        <v>48</v>
      </c>
      <c r="E164" s="8">
        <v>0</v>
      </c>
      <c r="F164" s="8">
        <v>0</v>
      </c>
      <c r="G164" s="8">
        <v>0</v>
      </c>
      <c r="H164" s="8">
        <v>0</v>
      </c>
      <c r="I164" s="8">
        <v>0</v>
      </c>
      <c r="J164" s="8">
        <v>0</v>
      </c>
      <c r="K164" s="8">
        <v>0</v>
      </c>
      <c r="L164" s="8">
        <v>0</v>
      </c>
      <c r="M164" s="8">
        <v>0</v>
      </c>
      <c r="N164" s="8">
        <v>0</v>
      </c>
      <c r="O164" s="8">
        <v>0</v>
      </c>
      <c r="P164" s="8">
        <v>0</v>
      </c>
      <c r="Q164" s="8">
        <v>0</v>
      </c>
      <c r="R164" s="8">
        <v>0</v>
      </c>
      <c r="S164" s="9">
        <v>0</v>
      </c>
      <c r="T164" s="1"/>
      <c r="U164" s="1"/>
      <c r="V164" s="1"/>
      <c r="W164" s="1"/>
      <c r="X164" s="1"/>
      <c r="Y164" s="1"/>
      <c r="Z164" s="1"/>
    </row>
    <row r="165" spans="1:26" ht="13.5" customHeight="1">
      <c r="A165" s="1"/>
      <c r="B165" s="5">
        <v>2023</v>
      </c>
      <c r="C165" s="6">
        <v>31</v>
      </c>
      <c r="D165" s="7" t="s">
        <v>43</v>
      </c>
      <c r="E165" s="8">
        <v>1913855137</v>
      </c>
      <c r="F165" s="8">
        <v>1774161211</v>
      </c>
      <c r="G165" s="8">
        <v>1427470479</v>
      </c>
      <c r="H165" s="8">
        <v>0</v>
      </c>
      <c r="I165" s="8">
        <v>18205266</v>
      </c>
      <c r="J165" s="8">
        <v>138456688</v>
      </c>
      <c r="K165" s="8">
        <v>309745351</v>
      </c>
      <c r="L165" s="8">
        <v>436281161</v>
      </c>
      <c r="M165" s="8">
        <v>544941612</v>
      </c>
      <c r="N165" s="8">
        <v>643572937</v>
      </c>
      <c r="O165" s="8">
        <v>731872328</v>
      </c>
      <c r="P165" s="8">
        <v>824719400</v>
      </c>
      <c r="Q165" s="8">
        <v>940512329</v>
      </c>
      <c r="R165" s="8">
        <v>1088998456</v>
      </c>
      <c r="S165" s="9">
        <v>1417380025</v>
      </c>
      <c r="T165" s="1"/>
      <c r="U165" s="1"/>
      <c r="V165" s="1"/>
      <c r="W165" s="1"/>
      <c r="X165" s="1"/>
      <c r="Y165" s="1"/>
      <c r="Z165" s="1"/>
    </row>
    <row r="166" spans="1:26" ht="13.5" customHeight="1">
      <c r="A166" s="1"/>
      <c r="B166" s="5">
        <v>2023</v>
      </c>
      <c r="C166" s="6">
        <v>31</v>
      </c>
      <c r="D166" s="7" t="s">
        <v>44</v>
      </c>
      <c r="E166" s="8">
        <v>293591805</v>
      </c>
      <c r="F166" s="8">
        <v>219099761</v>
      </c>
      <c r="G166" s="8">
        <v>198709088</v>
      </c>
      <c r="H166" s="8">
        <v>0</v>
      </c>
      <c r="I166" s="8">
        <v>6431623</v>
      </c>
      <c r="J166" s="8">
        <v>21339974</v>
      </c>
      <c r="K166" s="8">
        <v>32945027</v>
      </c>
      <c r="L166" s="8">
        <v>47577177</v>
      </c>
      <c r="M166" s="8">
        <v>63593303</v>
      </c>
      <c r="N166" s="8">
        <v>79376685</v>
      </c>
      <c r="O166" s="8">
        <v>92813663</v>
      </c>
      <c r="P166" s="8">
        <v>104125697</v>
      </c>
      <c r="Q166" s="8">
        <v>112739918</v>
      </c>
      <c r="R166" s="8">
        <v>129397461</v>
      </c>
      <c r="S166" s="9">
        <v>195957467</v>
      </c>
      <c r="T166" s="1"/>
      <c r="U166" s="1"/>
      <c r="V166" s="1"/>
      <c r="W166" s="1"/>
      <c r="X166" s="1"/>
      <c r="Y166" s="1"/>
      <c r="Z166" s="1"/>
    </row>
    <row r="167" spans="1:26" ht="13.5" customHeight="1">
      <c r="A167" s="1"/>
      <c r="B167" s="5">
        <v>2023</v>
      </c>
      <c r="C167" s="6">
        <v>31</v>
      </c>
      <c r="D167" s="7" t="s">
        <v>45</v>
      </c>
      <c r="E167" s="8">
        <v>295780655</v>
      </c>
      <c r="F167" s="8">
        <v>309887671</v>
      </c>
      <c r="G167" s="8">
        <v>249472319</v>
      </c>
      <c r="H167" s="8">
        <v>0</v>
      </c>
      <c r="I167" s="8">
        <v>2303161</v>
      </c>
      <c r="J167" s="8">
        <v>29583551</v>
      </c>
      <c r="K167" s="8">
        <v>49465414</v>
      </c>
      <c r="L167" s="8">
        <v>68683761</v>
      </c>
      <c r="M167" s="8">
        <v>84807286</v>
      </c>
      <c r="N167" s="8">
        <v>102765834</v>
      </c>
      <c r="O167" s="8">
        <v>120298096</v>
      </c>
      <c r="P167" s="8">
        <v>135987986</v>
      </c>
      <c r="Q167" s="8">
        <v>156018552</v>
      </c>
      <c r="R167" s="8">
        <v>183226741</v>
      </c>
      <c r="S167" s="9">
        <v>244037387</v>
      </c>
      <c r="T167" s="1"/>
      <c r="U167" s="1"/>
      <c r="V167" s="1"/>
      <c r="W167" s="1"/>
      <c r="X167" s="1"/>
      <c r="Y167" s="1"/>
      <c r="Z167" s="1"/>
    </row>
    <row r="168" spans="1:26" ht="13.5" customHeight="1">
      <c r="A168" s="1"/>
      <c r="B168" s="5">
        <v>2023</v>
      </c>
      <c r="C168" s="6">
        <v>31</v>
      </c>
      <c r="D168" s="7" t="s">
        <v>46</v>
      </c>
      <c r="E168" s="8">
        <v>115171552</v>
      </c>
      <c r="F168" s="8">
        <v>115171552</v>
      </c>
      <c r="G168" s="8">
        <v>104861138</v>
      </c>
      <c r="H168" s="8">
        <v>0</v>
      </c>
      <c r="I168" s="8">
        <v>9852119</v>
      </c>
      <c r="J168" s="8">
        <v>18996634</v>
      </c>
      <c r="K168" s="8">
        <v>27251266</v>
      </c>
      <c r="L168" s="8">
        <v>35013028</v>
      </c>
      <c r="M168" s="8">
        <v>43003795</v>
      </c>
      <c r="N168" s="8">
        <v>50751095</v>
      </c>
      <c r="O168" s="8">
        <v>58156520</v>
      </c>
      <c r="P168" s="8">
        <v>66259094</v>
      </c>
      <c r="Q168" s="8">
        <v>74165411</v>
      </c>
      <c r="R168" s="8">
        <v>86349973</v>
      </c>
      <c r="S168" s="9">
        <v>104365673</v>
      </c>
      <c r="T168" s="1"/>
      <c r="U168" s="1"/>
      <c r="V168" s="1"/>
      <c r="W168" s="1"/>
      <c r="X168" s="1"/>
      <c r="Y168" s="1"/>
      <c r="Z168" s="1"/>
    </row>
    <row r="169" spans="1:26" ht="13.5" customHeight="1">
      <c r="A169" s="1"/>
      <c r="B169" s="5">
        <v>2023</v>
      </c>
      <c r="C169" s="6">
        <v>31</v>
      </c>
      <c r="D169" s="7" t="s">
        <v>47</v>
      </c>
      <c r="E169" s="8">
        <v>135318267</v>
      </c>
      <c r="F169" s="8">
        <v>135318267</v>
      </c>
      <c r="G169" s="8">
        <v>123846968</v>
      </c>
      <c r="H169" s="8">
        <v>0</v>
      </c>
      <c r="I169" s="8">
        <v>13210998</v>
      </c>
      <c r="J169" s="8">
        <v>26801255</v>
      </c>
      <c r="K169" s="8">
        <v>34566510</v>
      </c>
      <c r="L169" s="8">
        <v>40280060</v>
      </c>
      <c r="M169" s="8">
        <v>46287111</v>
      </c>
      <c r="N169" s="8">
        <v>50590434</v>
      </c>
      <c r="O169" s="8">
        <v>60655017</v>
      </c>
      <c r="P169" s="8">
        <v>67496353</v>
      </c>
      <c r="Q169" s="8">
        <v>74862435</v>
      </c>
      <c r="R169" s="8">
        <v>89687930</v>
      </c>
      <c r="S169" s="9">
        <v>122803224</v>
      </c>
      <c r="T169" s="1"/>
      <c r="U169" s="1"/>
      <c r="V169" s="1"/>
      <c r="W169" s="1"/>
      <c r="X169" s="1"/>
      <c r="Y169" s="1"/>
      <c r="Z169" s="1"/>
    </row>
    <row r="170" spans="1:26" ht="13.5" customHeight="1">
      <c r="A170" s="1"/>
      <c r="B170" s="5">
        <v>2023</v>
      </c>
      <c r="C170" s="6">
        <v>31</v>
      </c>
      <c r="D170" s="7" t="s">
        <v>48</v>
      </c>
      <c r="E170" s="8">
        <v>37590026</v>
      </c>
      <c r="F170" s="8">
        <v>32790026</v>
      </c>
      <c r="G170" s="8">
        <v>8559879</v>
      </c>
      <c r="H170" s="8">
        <v>0</v>
      </c>
      <c r="I170" s="8">
        <v>14295</v>
      </c>
      <c r="J170" s="8">
        <v>519418</v>
      </c>
      <c r="K170" s="8">
        <v>818017</v>
      </c>
      <c r="L170" s="8">
        <v>1410647</v>
      </c>
      <c r="M170" s="8">
        <v>2049207</v>
      </c>
      <c r="N170" s="8">
        <v>2506834</v>
      </c>
      <c r="O170" s="8">
        <v>3618243</v>
      </c>
      <c r="P170" s="8">
        <v>4988476</v>
      </c>
      <c r="Q170" s="8">
        <v>5883654</v>
      </c>
      <c r="R170" s="8">
        <v>7168509</v>
      </c>
      <c r="S170" s="9">
        <v>8421473</v>
      </c>
      <c r="T170" s="1"/>
      <c r="U170" s="1"/>
      <c r="V170" s="1"/>
      <c r="W170" s="1"/>
      <c r="X170" s="1"/>
      <c r="Y170" s="1"/>
      <c r="Z170" s="1"/>
    </row>
    <row r="171" spans="1:26" ht="13.5" customHeight="1">
      <c r="A171" s="1"/>
      <c r="B171" s="5">
        <v>2023</v>
      </c>
      <c r="C171" s="6">
        <v>29</v>
      </c>
      <c r="D171" s="7" t="s">
        <v>43</v>
      </c>
      <c r="E171" s="8">
        <v>22089448</v>
      </c>
      <c r="F171" s="8">
        <v>42281504</v>
      </c>
      <c r="G171" s="8">
        <v>7233990</v>
      </c>
      <c r="H171" s="8">
        <v>0</v>
      </c>
      <c r="I171" s="8">
        <v>0</v>
      </c>
      <c r="J171" s="8">
        <v>2948</v>
      </c>
      <c r="K171" s="8">
        <v>4062</v>
      </c>
      <c r="L171" s="8">
        <v>190131</v>
      </c>
      <c r="M171" s="8">
        <v>222054</v>
      </c>
      <c r="N171" s="8">
        <v>245430</v>
      </c>
      <c r="O171" s="8">
        <v>275973</v>
      </c>
      <c r="P171" s="8">
        <v>456665</v>
      </c>
      <c r="Q171" s="8">
        <v>720929</v>
      </c>
      <c r="R171" s="8">
        <v>963668</v>
      </c>
      <c r="S171" s="9">
        <v>7135336</v>
      </c>
      <c r="T171" s="1"/>
      <c r="U171" s="1"/>
      <c r="V171" s="1"/>
      <c r="W171" s="1"/>
      <c r="X171" s="1"/>
      <c r="Y171" s="1"/>
      <c r="Z171" s="1"/>
    </row>
    <row r="172" spans="1:26" ht="13.5" customHeight="1">
      <c r="A172" s="1"/>
      <c r="B172" s="5">
        <v>2023</v>
      </c>
      <c r="C172" s="6">
        <v>29</v>
      </c>
      <c r="D172" s="7" t="s">
        <v>44</v>
      </c>
      <c r="E172" s="8">
        <v>647086</v>
      </c>
      <c r="F172" s="8">
        <v>647086</v>
      </c>
      <c r="G172" s="8">
        <v>647086</v>
      </c>
      <c r="H172" s="8">
        <v>0</v>
      </c>
      <c r="I172" s="8">
        <v>0</v>
      </c>
      <c r="J172" s="8">
        <v>30519</v>
      </c>
      <c r="K172" s="8">
        <v>34103</v>
      </c>
      <c r="L172" s="8">
        <v>58501</v>
      </c>
      <c r="M172" s="8">
        <v>58501</v>
      </c>
      <c r="N172" s="8">
        <v>103636</v>
      </c>
      <c r="O172" s="8">
        <v>103700</v>
      </c>
      <c r="P172" s="8">
        <v>192664</v>
      </c>
      <c r="Q172" s="8">
        <v>195641</v>
      </c>
      <c r="R172" s="8">
        <v>499753</v>
      </c>
      <c r="S172" s="9">
        <v>628857</v>
      </c>
      <c r="T172" s="1"/>
      <c r="U172" s="1"/>
      <c r="V172" s="1"/>
      <c r="W172" s="1"/>
      <c r="X172" s="1"/>
      <c r="Y172" s="1"/>
      <c r="Z172" s="1"/>
    </row>
    <row r="173" spans="1:26" ht="13.5" customHeight="1">
      <c r="A173" s="1"/>
      <c r="B173" s="5">
        <v>2023</v>
      </c>
      <c r="C173" s="6">
        <v>29</v>
      </c>
      <c r="D173" s="7" t="s">
        <v>45</v>
      </c>
      <c r="E173" s="8">
        <v>622609</v>
      </c>
      <c r="F173" s="8">
        <v>622609</v>
      </c>
      <c r="G173" s="8">
        <v>428444</v>
      </c>
      <c r="H173" s="8">
        <v>20554</v>
      </c>
      <c r="I173" s="8">
        <v>20554</v>
      </c>
      <c r="J173" s="8">
        <v>20857</v>
      </c>
      <c r="K173" s="8">
        <v>41459</v>
      </c>
      <c r="L173" s="8">
        <v>41551</v>
      </c>
      <c r="M173" s="8">
        <v>41551</v>
      </c>
      <c r="N173" s="8">
        <v>163019</v>
      </c>
      <c r="O173" s="8">
        <v>163019</v>
      </c>
      <c r="P173" s="8">
        <v>209557</v>
      </c>
      <c r="Q173" s="8">
        <v>209557</v>
      </c>
      <c r="R173" s="8">
        <v>236874</v>
      </c>
      <c r="S173" s="9">
        <v>366748</v>
      </c>
      <c r="T173" s="1"/>
      <c r="U173" s="1"/>
      <c r="V173" s="1"/>
      <c r="W173" s="1"/>
      <c r="X173" s="1"/>
      <c r="Y173" s="1"/>
      <c r="Z173" s="1"/>
    </row>
    <row r="174" spans="1:26" ht="13.5" customHeight="1">
      <c r="A174" s="1"/>
      <c r="B174" s="5">
        <v>2023</v>
      </c>
      <c r="C174" s="6">
        <v>29</v>
      </c>
      <c r="D174" s="7" t="s">
        <v>46</v>
      </c>
      <c r="E174" s="8">
        <v>1814843</v>
      </c>
      <c r="F174" s="8">
        <v>1814843</v>
      </c>
      <c r="G174" s="8">
        <v>687226</v>
      </c>
      <c r="H174" s="8">
        <v>0</v>
      </c>
      <c r="I174" s="8">
        <v>6359</v>
      </c>
      <c r="J174" s="8">
        <v>7689</v>
      </c>
      <c r="K174" s="8">
        <v>49168</v>
      </c>
      <c r="L174" s="8">
        <v>90437</v>
      </c>
      <c r="M174" s="8">
        <v>151090</v>
      </c>
      <c r="N174" s="8">
        <v>151090</v>
      </c>
      <c r="O174" s="8">
        <v>152637</v>
      </c>
      <c r="P174" s="8">
        <v>367133</v>
      </c>
      <c r="Q174" s="8">
        <v>367430</v>
      </c>
      <c r="R174" s="8">
        <v>409162</v>
      </c>
      <c r="S174" s="9">
        <v>620613</v>
      </c>
      <c r="T174" s="1"/>
      <c r="U174" s="1"/>
      <c r="V174" s="1"/>
      <c r="W174" s="1"/>
      <c r="X174" s="1"/>
      <c r="Y174" s="1"/>
      <c r="Z174" s="1"/>
    </row>
    <row r="175" spans="1:26" ht="13.5" customHeight="1">
      <c r="A175" s="1"/>
      <c r="B175" s="5">
        <v>2023</v>
      </c>
      <c r="C175" s="6">
        <v>29</v>
      </c>
      <c r="D175" s="7" t="s">
        <v>47</v>
      </c>
      <c r="E175" s="8">
        <v>240323</v>
      </c>
      <c r="F175" s="8">
        <v>240323</v>
      </c>
      <c r="G175" s="8">
        <v>240323</v>
      </c>
      <c r="H175" s="8">
        <v>0</v>
      </c>
      <c r="I175" s="8">
        <v>0</v>
      </c>
      <c r="J175" s="8">
        <v>0</v>
      </c>
      <c r="K175" s="8">
        <v>0</v>
      </c>
      <c r="L175" s="8">
        <v>3085</v>
      </c>
      <c r="M175" s="8">
        <v>82381</v>
      </c>
      <c r="N175" s="8">
        <v>125991</v>
      </c>
      <c r="O175" s="8">
        <v>140950</v>
      </c>
      <c r="P175" s="8">
        <v>158342</v>
      </c>
      <c r="Q175" s="8">
        <v>163795</v>
      </c>
      <c r="R175" s="8">
        <v>191564</v>
      </c>
      <c r="S175" s="9">
        <v>237804</v>
      </c>
      <c r="T175" s="1"/>
      <c r="U175" s="1"/>
      <c r="V175" s="1"/>
      <c r="W175" s="1"/>
      <c r="X175" s="1"/>
      <c r="Y175" s="1"/>
      <c r="Z175" s="1"/>
    </row>
    <row r="176" spans="1:26" ht="13.5" customHeight="1">
      <c r="A176" s="1"/>
      <c r="B176" s="5">
        <v>2023</v>
      </c>
      <c r="C176" s="6">
        <v>29</v>
      </c>
      <c r="D176" s="7" t="s">
        <v>48</v>
      </c>
      <c r="E176" s="8">
        <v>556957</v>
      </c>
      <c r="F176" s="8">
        <v>556957</v>
      </c>
      <c r="G176" s="8">
        <v>556957</v>
      </c>
      <c r="H176" s="8">
        <v>0</v>
      </c>
      <c r="I176" s="8">
        <v>333</v>
      </c>
      <c r="J176" s="8">
        <v>581</v>
      </c>
      <c r="K176" s="8">
        <v>17754</v>
      </c>
      <c r="L176" s="8">
        <v>70246</v>
      </c>
      <c r="M176" s="8">
        <v>92472</v>
      </c>
      <c r="N176" s="8">
        <v>321438</v>
      </c>
      <c r="O176" s="8">
        <v>325356</v>
      </c>
      <c r="P176" s="8">
        <v>420771</v>
      </c>
      <c r="Q176" s="8">
        <v>450435</v>
      </c>
      <c r="R176" s="8">
        <v>501604</v>
      </c>
      <c r="S176" s="9">
        <v>554997</v>
      </c>
      <c r="T176" s="1"/>
      <c r="U176" s="1"/>
      <c r="V176" s="1"/>
      <c r="W176" s="1"/>
      <c r="X176" s="1"/>
      <c r="Y176" s="1"/>
      <c r="Z176" s="1"/>
    </row>
    <row r="177" spans="1:26" ht="13.5" customHeight="1">
      <c r="A177" s="1"/>
      <c r="B177" s="5">
        <v>2023</v>
      </c>
      <c r="C177" s="6">
        <v>33</v>
      </c>
      <c r="D177" s="7" t="s">
        <v>43</v>
      </c>
      <c r="E177" s="8">
        <v>0</v>
      </c>
      <c r="F177" s="8">
        <v>0</v>
      </c>
      <c r="G177" s="8">
        <v>0</v>
      </c>
      <c r="H177" s="8">
        <v>0</v>
      </c>
      <c r="I177" s="8">
        <v>0</v>
      </c>
      <c r="J177" s="8">
        <v>0</v>
      </c>
      <c r="K177" s="8">
        <v>0</v>
      </c>
      <c r="L177" s="8">
        <v>0</v>
      </c>
      <c r="M177" s="8">
        <v>0</v>
      </c>
      <c r="N177" s="8">
        <v>0</v>
      </c>
      <c r="O177" s="8">
        <v>0</v>
      </c>
      <c r="P177" s="8">
        <v>0</v>
      </c>
      <c r="Q177" s="8">
        <v>0</v>
      </c>
      <c r="R177" s="8">
        <v>0</v>
      </c>
      <c r="S177" s="9">
        <v>0</v>
      </c>
      <c r="T177" s="1"/>
      <c r="U177" s="1"/>
      <c r="V177" s="1"/>
      <c r="W177" s="1"/>
      <c r="X177" s="1"/>
      <c r="Y177" s="1"/>
      <c r="Z177" s="1"/>
    </row>
    <row r="178" spans="1:26" ht="13.5" customHeight="1">
      <c r="A178" s="1"/>
      <c r="B178" s="5">
        <v>2023</v>
      </c>
      <c r="C178" s="6">
        <v>33</v>
      </c>
      <c r="D178" s="7" t="s">
        <v>44</v>
      </c>
      <c r="E178" s="8">
        <v>0</v>
      </c>
      <c r="F178" s="8">
        <v>0</v>
      </c>
      <c r="G178" s="8">
        <v>0</v>
      </c>
      <c r="H178" s="8">
        <v>0</v>
      </c>
      <c r="I178" s="8">
        <v>0</v>
      </c>
      <c r="J178" s="8">
        <v>0</v>
      </c>
      <c r="K178" s="8">
        <v>0</v>
      </c>
      <c r="L178" s="8">
        <v>0</v>
      </c>
      <c r="M178" s="8">
        <v>0</v>
      </c>
      <c r="N178" s="8">
        <v>0</v>
      </c>
      <c r="O178" s="8">
        <v>0</v>
      </c>
      <c r="P178" s="8">
        <v>0</v>
      </c>
      <c r="Q178" s="8">
        <v>0</v>
      </c>
      <c r="R178" s="8">
        <v>0</v>
      </c>
      <c r="S178" s="9">
        <v>0</v>
      </c>
      <c r="T178" s="1"/>
      <c r="U178" s="1"/>
      <c r="V178" s="1"/>
      <c r="W178" s="1"/>
      <c r="X178" s="1"/>
      <c r="Y178" s="1"/>
      <c r="Z178" s="1"/>
    </row>
    <row r="179" spans="1:26" ht="13.5" customHeight="1">
      <c r="A179" s="1"/>
      <c r="B179" s="5">
        <v>2023</v>
      </c>
      <c r="C179" s="6">
        <v>33</v>
      </c>
      <c r="D179" s="7" t="s">
        <v>45</v>
      </c>
      <c r="E179" s="8">
        <v>17877772</v>
      </c>
      <c r="F179" s="8">
        <v>17877772</v>
      </c>
      <c r="G179" s="8">
        <v>10123523</v>
      </c>
      <c r="H179" s="8">
        <v>0</v>
      </c>
      <c r="I179" s="8">
        <v>0</v>
      </c>
      <c r="J179" s="8">
        <v>0</v>
      </c>
      <c r="K179" s="8">
        <v>0</v>
      </c>
      <c r="L179" s="8">
        <v>0</v>
      </c>
      <c r="M179" s="8">
        <v>0</v>
      </c>
      <c r="N179" s="8">
        <v>1050</v>
      </c>
      <c r="O179" s="8">
        <v>1050</v>
      </c>
      <c r="P179" s="8">
        <v>37795</v>
      </c>
      <c r="Q179" s="8">
        <v>169483</v>
      </c>
      <c r="R179" s="8">
        <v>843033</v>
      </c>
      <c r="S179" s="9">
        <v>3861859</v>
      </c>
      <c r="T179" s="1"/>
      <c r="U179" s="1"/>
      <c r="V179" s="1"/>
      <c r="W179" s="1"/>
      <c r="X179" s="1"/>
      <c r="Y179" s="1"/>
      <c r="Z179" s="1"/>
    </row>
    <row r="180" spans="1:26" ht="13.5" customHeight="1">
      <c r="A180" s="1"/>
      <c r="B180" s="5">
        <v>2023</v>
      </c>
      <c r="C180" s="6">
        <v>33</v>
      </c>
      <c r="D180" s="7" t="s">
        <v>46</v>
      </c>
      <c r="E180" s="8">
        <v>0</v>
      </c>
      <c r="F180" s="8">
        <v>0</v>
      </c>
      <c r="G180" s="8">
        <v>0</v>
      </c>
      <c r="H180" s="8">
        <v>0</v>
      </c>
      <c r="I180" s="8">
        <v>0</v>
      </c>
      <c r="J180" s="8">
        <v>0</v>
      </c>
      <c r="K180" s="8">
        <v>0</v>
      </c>
      <c r="L180" s="8">
        <v>0</v>
      </c>
      <c r="M180" s="8">
        <v>0</v>
      </c>
      <c r="N180" s="8">
        <v>0</v>
      </c>
      <c r="O180" s="8">
        <v>0</v>
      </c>
      <c r="P180" s="8">
        <v>0</v>
      </c>
      <c r="Q180" s="8">
        <v>0</v>
      </c>
      <c r="R180" s="8">
        <v>0</v>
      </c>
      <c r="S180" s="9">
        <v>0</v>
      </c>
      <c r="T180" s="1"/>
      <c r="U180" s="1"/>
      <c r="V180" s="1"/>
      <c r="W180" s="1"/>
      <c r="X180" s="1"/>
      <c r="Y180" s="1"/>
      <c r="Z180" s="1"/>
    </row>
    <row r="181" spans="1:26" ht="13.5" customHeight="1">
      <c r="A181" s="1"/>
      <c r="B181" s="5">
        <v>2023</v>
      </c>
      <c r="C181" s="6">
        <v>33</v>
      </c>
      <c r="D181" s="7" t="s">
        <v>47</v>
      </c>
      <c r="E181" s="8">
        <v>0</v>
      </c>
      <c r="F181" s="8">
        <v>0</v>
      </c>
      <c r="G181" s="8">
        <v>0</v>
      </c>
      <c r="H181" s="8">
        <v>0</v>
      </c>
      <c r="I181" s="8">
        <v>0</v>
      </c>
      <c r="J181" s="8">
        <v>0</v>
      </c>
      <c r="K181" s="8">
        <v>0</v>
      </c>
      <c r="L181" s="8">
        <v>0</v>
      </c>
      <c r="M181" s="8">
        <v>0</v>
      </c>
      <c r="N181" s="8">
        <v>0</v>
      </c>
      <c r="O181" s="8">
        <v>0</v>
      </c>
      <c r="P181" s="8">
        <v>0</v>
      </c>
      <c r="Q181" s="8">
        <v>0</v>
      </c>
      <c r="R181" s="8">
        <v>0</v>
      </c>
      <c r="S181" s="9">
        <v>0</v>
      </c>
      <c r="T181" s="1"/>
      <c r="U181" s="1"/>
      <c r="V181" s="1"/>
      <c r="W181" s="1"/>
      <c r="X181" s="1"/>
      <c r="Y181" s="1"/>
      <c r="Z181" s="1"/>
    </row>
    <row r="182" spans="1:26" ht="13.5" customHeight="1">
      <c r="A182" s="1"/>
      <c r="B182" s="5">
        <v>2023</v>
      </c>
      <c r="C182" s="6">
        <v>33</v>
      </c>
      <c r="D182" s="7" t="s">
        <v>48</v>
      </c>
      <c r="E182" s="8">
        <v>0</v>
      </c>
      <c r="F182" s="8">
        <v>0</v>
      </c>
      <c r="G182" s="8">
        <v>0</v>
      </c>
      <c r="H182" s="8">
        <v>0</v>
      </c>
      <c r="I182" s="8">
        <v>0</v>
      </c>
      <c r="J182" s="8">
        <v>0</v>
      </c>
      <c r="K182" s="8">
        <v>0</v>
      </c>
      <c r="L182" s="8">
        <v>0</v>
      </c>
      <c r="M182" s="8">
        <v>0</v>
      </c>
      <c r="N182" s="8">
        <v>0</v>
      </c>
      <c r="O182" s="8">
        <v>0</v>
      </c>
      <c r="P182" s="8">
        <v>0</v>
      </c>
      <c r="Q182" s="8">
        <v>0</v>
      </c>
      <c r="R182" s="8">
        <v>0</v>
      </c>
      <c r="S182" s="9">
        <v>0</v>
      </c>
      <c r="T182" s="1"/>
      <c r="U182" s="1"/>
      <c r="V182" s="1"/>
      <c r="W182" s="1"/>
      <c r="X182" s="1"/>
      <c r="Y182" s="1"/>
      <c r="Z182" s="1"/>
    </row>
    <row r="183" spans="1:26" ht="13.5" customHeight="1">
      <c r="A183" s="1"/>
      <c r="B183" s="5">
        <v>2024</v>
      </c>
      <c r="C183" s="6">
        <v>31</v>
      </c>
      <c r="D183" s="7" t="s">
        <v>43</v>
      </c>
      <c r="E183" s="8">
        <v>2012684680</v>
      </c>
      <c r="F183" s="8">
        <v>1939427267</v>
      </c>
      <c r="G183" s="8">
        <v>1608652526</v>
      </c>
      <c r="H183" s="8">
        <v>0</v>
      </c>
      <c r="I183" s="8">
        <v>115017803</v>
      </c>
      <c r="J183" s="8">
        <v>245067556</v>
      </c>
      <c r="K183" s="8">
        <v>379975864</v>
      </c>
      <c r="L183" s="8">
        <v>521874015</v>
      </c>
      <c r="M183" s="8">
        <v>774852600</v>
      </c>
      <c r="N183" s="8">
        <v>856290603</v>
      </c>
      <c r="O183" s="8">
        <v>943020316</v>
      </c>
      <c r="P183" s="8">
        <v>1073272838</v>
      </c>
      <c r="Q183" s="8">
        <v>1212620083</v>
      </c>
      <c r="R183" s="8">
        <v>1411133522</v>
      </c>
      <c r="S183" s="9">
        <v>1603559540</v>
      </c>
      <c r="T183" s="1"/>
      <c r="U183" s="1"/>
      <c r="V183" s="1"/>
      <c r="W183" s="1"/>
      <c r="X183" s="1"/>
      <c r="Y183" s="1"/>
      <c r="Z183" s="1"/>
    </row>
    <row r="184" spans="1:26" ht="13.5" customHeight="1">
      <c r="A184" s="1"/>
      <c r="B184" s="5">
        <v>2024</v>
      </c>
      <c r="C184" s="6">
        <v>31</v>
      </c>
      <c r="D184" s="7" t="s">
        <v>44</v>
      </c>
      <c r="E184" s="8">
        <v>295701947</v>
      </c>
      <c r="F184" s="8">
        <v>278543079</v>
      </c>
      <c r="G184" s="8">
        <v>244313644</v>
      </c>
      <c r="H184" s="8">
        <v>0</v>
      </c>
      <c r="I184" s="8">
        <v>6377090</v>
      </c>
      <c r="J184" s="8">
        <v>23890040</v>
      </c>
      <c r="K184" s="8">
        <v>39902005</v>
      </c>
      <c r="L184" s="8">
        <v>58620170</v>
      </c>
      <c r="M184" s="8">
        <v>119341758</v>
      </c>
      <c r="N184" s="8">
        <v>136670909</v>
      </c>
      <c r="O184" s="8">
        <v>157100022</v>
      </c>
      <c r="P184" s="8">
        <v>175138873</v>
      </c>
      <c r="Q184" s="8">
        <v>193499950</v>
      </c>
      <c r="R184" s="8">
        <v>211590153</v>
      </c>
      <c r="S184" s="9">
        <v>243896208</v>
      </c>
      <c r="T184" s="1"/>
      <c r="U184" s="1"/>
      <c r="V184" s="1"/>
      <c r="W184" s="1"/>
      <c r="X184" s="1"/>
      <c r="Y184" s="1"/>
      <c r="Z184" s="1"/>
    </row>
    <row r="185" spans="1:26" ht="13.5" customHeight="1">
      <c r="A185" s="1"/>
      <c r="B185" s="5">
        <v>2024</v>
      </c>
      <c r="C185" s="6">
        <v>31</v>
      </c>
      <c r="D185" s="7" t="s">
        <v>45</v>
      </c>
      <c r="E185" s="8">
        <v>315696642</v>
      </c>
      <c r="F185" s="8">
        <v>232705862</v>
      </c>
      <c r="G185" s="8">
        <v>192186387</v>
      </c>
      <c r="H185" s="8">
        <v>0</v>
      </c>
      <c r="I185" s="8">
        <v>11025007</v>
      </c>
      <c r="J185" s="8">
        <v>25342159</v>
      </c>
      <c r="K185" s="8">
        <v>43422173</v>
      </c>
      <c r="L185" s="8">
        <v>59731566</v>
      </c>
      <c r="M185" s="8">
        <v>80871277</v>
      </c>
      <c r="N185" s="8">
        <v>90939725</v>
      </c>
      <c r="O185" s="8">
        <v>104887838</v>
      </c>
      <c r="P185" s="8">
        <v>121545898</v>
      </c>
      <c r="Q185" s="8">
        <v>134718420</v>
      </c>
      <c r="R185" s="8">
        <v>150454729</v>
      </c>
      <c r="S185" s="9">
        <v>189747396</v>
      </c>
      <c r="T185" s="1"/>
      <c r="U185" s="1"/>
      <c r="V185" s="1"/>
      <c r="W185" s="1"/>
      <c r="X185" s="1"/>
      <c r="Y185" s="1"/>
      <c r="Z185" s="1"/>
    </row>
    <row r="186" spans="1:26" ht="13.5" customHeight="1">
      <c r="A186" s="1"/>
      <c r="B186" s="5">
        <v>2024</v>
      </c>
      <c r="C186" s="6">
        <v>31</v>
      </c>
      <c r="D186" s="7" t="s">
        <v>46</v>
      </c>
      <c r="E186" s="8">
        <v>127117895</v>
      </c>
      <c r="F186" s="8">
        <v>127117895</v>
      </c>
      <c r="G186" s="8">
        <v>123682417</v>
      </c>
      <c r="H186" s="8">
        <v>0</v>
      </c>
      <c r="I186" s="8">
        <v>14355305</v>
      </c>
      <c r="J186" s="8">
        <v>24004310</v>
      </c>
      <c r="K186" s="8">
        <v>34981155</v>
      </c>
      <c r="L186" s="8">
        <v>44329314</v>
      </c>
      <c r="M186" s="8">
        <v>57184018</v>
      </c>
      <c r="N186" s="8">
        <v>67266994</v>
      </c>
      <c r="O186" s="8">
        <v>77238997</v>
      </c>
      <c r="P186" s="8">
        <v>87016951</v>
      </c>
      <c r="Q186" s="8">
        <v>98032816</v>
      </c>
      <c r="R186" s="8">
        <v>108856624</v>
      </c>
      <c r="S186" s="9">
        <v>122976500</v>
      </c>
      <c r="T186" s="1"/>
      <c r="U186" s="1"/>
      <c r="V186" s="1"/>
      <c r="W186" s="1"/>
      <c r="X186" s="1"/>
      <c r="Y186" s="1"/>
      <c r="Z186" s="1"/>
    </row>
    <row r="187" spans="1:26" ht="13.5" customHeight="1">
      <c r="A187" s="1"/>
      <c r="B187" s="5">
        <v>2024</v>
      </c>
      <c r="C187" s="6">
        <v>31</v>
      </c>
      <c r="D187" s="7" t="s">
        <v>47</v>
      </c>
      <c r="E187" s="8">
        <v>137741639</v>
      </c>
      <c r="F187" s="8">
        <v>135885801</v>
      </c>
      <c r="G187" s="8">
        <v>121300022</v>
      </c>
      <c r="H187" s="8">
        <v>0</v>
      </c>
      <c r="I187" s="8">
        <v>10801902</v>
      </c>
      <c r="J187" s="8">
        <v>21691356</v>
      </c>
      <c r="K187" s="8">
        <v>33317068</v>
      </c>
      <c r="L187" s="8">
        <v>44122345</v>
      </c>
      <c r="M187" s="8">
        <v>59135603</v>
      </c>
      <c r="N187" s="8">
        <v>66601938</v>
      </c>
      <c r="O187" s="8">
        <v>74752243</v>
      </c>
      <c r="P187" s="8">
        <v>86852892</v>
      </c>
      <c r="Q187" s="8">
        <v>99348688</v>
      </c>
      <c r="R187" s="8">
        <v>111690617</v>
      </c>
      <c r="S187" s="9">
        <v>121236421</v>
      </c>
      <c r="T187" s="1"/>
      <c r="U187" s="1"/>
      <c r="V187" s="1"/>
      <c r="W187" s="1"/>
      <c r="X187" s="1"/>
      <c r="Y187" s="1"/>
      <c r="Z187" s="1"/>
    </row>
    <row r="188" spans="1:26" ht="13.5" customHeight="1">
      <c r="A188" s="1"/>
      <c r="B188" s="5">
        <v>2024</v>
      </c>
      <c r="C188" s="6">
        <v>31</v>
      </c>
      <c r="D188" s="7" t="s">
        <v>48</v>
      </c>
      <c r="E188" s="8">
        <v>44570138</v>
      </c>
      <c r="F188" s="8">
        <v>44670138</v>
      </c>
      <c r="G188" s="8">
        <v>33685852</v>
      </c>
      <c r="H188" s="8">
        <v>0</v>
      </c>
      <c r="I188" s="8">
        <v>1265774</v>
      </c>
      <c r="J188" s="8">
        <v>2147162</v>
      </c>
      <c r="K188" s="8">
        <v>4222816</v>
      </c>
      <c r="L188" s="8">
        <v>6702483</v>
      </c>
      <c r="M188" s="8">
        <v>11199330</v>
      </c>
      <c r="N188" s="8">
        <v>13041635</v>
      </c>
      <c r="O188" s="8">
        <v>16175866</v>
      </c>
      <c r="P188" s="8">
        <v>20074880</v>
      </c>
      <c r="Q188" s="8">
        <v>23775698</v>
      </c>
      <c r="R188" s="8">
        <v>27727701</v>
      </c>
      <c r="S188" s="9">
        <v>33523348</v>
      </c>
      <c r="T188" s="1"/>
      <c r="U188" s="1"/>
      <c r="V188" s="1"/>
      <c r="W188" s="1"/>
      <c r="X188" s="1"/>
      <c r="Y188" s="1"/>
      <c r="Z188" s="1"/>
    </row>
    <row r="189" spans="1:26" ht="13.5" customHeight="1">
      <c r="A189" s="1"/>
      <c r="B189" s="5">
        <v>2024</v>
      </c>
      <c r="C189" s="6">
        <v>29</v>
      </c>
      <c r="D189" s="7" t="s">
        <v>43</v>
      </c>
      <c r="E189" s="8">
        <v>1135861</v>
      </c>
      <c r="F189" s="8">
        <v>1135861</v>
      </c>
      <c r="G189" s="8">
        <v>1135861</v>
      </c>
      <c r="H189" s="8">
        <v>0</v>
      </c>
      <c r="I189" s="8">
        <v>0</v>
      </c>
      <c r="J189" s="8">
        <v>0</v>
      </c>
      <c r="K189" s="8">
        <v>0</v>
      </c>
      <c r="L189" s="8">
        <v>1714</v>
      </c>
      <c r="M189" s="8">
        <v>3731</v>
      </c>
      <c r="N189" s="8">
        <v>3731</v>
      </c>
      <c r="O189" s="8">
        <v>53443</v>
      </c>
      <c r="P189" s="8">
        <v>187144</v>
      </c>
      <c r="Q189" s="8">
        <v>187248</v>
      </c>
      <c r="R189" s="8">
        <v>221037</v>
      </c>
      <c r="S189" s="9">
        <v>1123525</v>
      </c>
      <c r="T189" s="1"/>
      <c r="U189" s="1"/>
      <c r="V189" s="1"/>
      <c r="W189" s="1"/>
      <c r="X189" s="1"/>
      <c r="Y189" s="1"/>
      <c r="Z189" s="1"/>
    </row>
    <row r="190" spans="1:26" ht="13.5" customHeight="1">
      <c r="A190" s="1"/>
      <c r="B190" s="5">
        <v>2024</v>
      </c>
      <c r="C190" s="6">
        <v>29</v>
      </c>
      <c r="D190" s="7" t="s">
        <v>44</v>
      </c>
      <c r="E190" s="8">
        <v>856525</v>
      </c>
      <c r="F190" s="8">
        <v>913626</v>
      </c>
      <c r="G190" s="8">
        <v>913626</v>
      </c>
      <c r="H190" s="8">
        <v>0</v>
      </c>
      <c r="I190" s="8">
        <v>0</v>
      </c>
      <c r="J190" s="8">
        <v>563</v>
      </c>
      <c r="K190" s="8">
        <v>2527</v>
      </c>
      <c r="L190" s="8">
        <v>3420</v>
      </c>
      <c r="M190" s="8">
        <v>355096</v>
      </c>
      <c r="N190" s="8">
        <v>359380</v>
      </c>
      <c r="O190" s="8">
        <v>402900</v>
      </c>
      <c r="P190" s="8">
        <v>466045</v>
      </c>
      <c r="Q190" s="8">
        <v>466045</v>
      </c>
      <c r="R190" s="8">
        <v>466045</v>
      </c>
      <c r="S190" s="9">
        <v>899916</v>
      </c>
      <c r="T190" s="1"/>
      <c r="U190" s="1"/>
      <c r="V190" s="1"/>
      <c r="W190" s="1"/>
      <c r="X190" s="1"/>
      <c r="Y190" s="1"/>
      <c r="Z190" s="1"/>
    </row>
    <row r="191" spans="1:26" ht="13.5" customHeight="1">
      <c r="A191" s="1"/>
      <c r="B191" s="5">
        <v>2024</v>
      </c>
      <c r="C191" s="6">
        <v>29</v>
      </c>
      <c r="D191" s="7" t="s">
        <v>45</v>
      </c>
      <c r="E191" s="8">
        <v>636104</v>
      </c>
      <c r="F191" s="8">
        <v>636104</v>
      </c>
      <c r="G191" s="8">
        <v>636104</v>
      </c>
      <c r="H191" s="8">
        <v>10076</v>
      </c>
      <c r="I191" s="8">
        <v>10269</v>
      </c>
      <c r="J191" s="8">
        <v>10269</v>
      </c>
      <c r="K191" s="8">
        <v>10269</v>
      </c>
      <c r="L191" s="8">
        <v>13954</v>
      </c>
      <c r="M191" s="8">
        <v>337449</v>
      </c>
      <c r="N191" s="8">
        <v>337449</v>
      </c>
      <c r="O191" s="8">
        <v>444295</v>
      </c>
      <c r="P191" s="8">
        <v>461458</v>
      </c>
      <c r="Q191" s="8">
        <v>470252</v>
      </c>
      <c r="R191" s="8">
        <v>470252</v>
      </c>
      <c r="S191" s="9">
        <v>612897</v>
      </c>
      <c r="T191" s="1"/>
      <c r="U191" s="1"/>
      <c r="V191" s="1"/>
      <c r="W191" s="1"/>
      <c r="X191" s="1"/>
      <c r="Y191" s="1"/>
      <c r="Z191" s="1"/>
    </row>
    <row r="192" spans="1:26" ht="13.5" customHeight="1">
      <c r="A192" s="1"/>
      <c r="B192" s="5">
        <v>2024</v>
      </c>
      <c r="C192" s="6">
        <v>29</v>
      </c>
      <c r="D192" s="7" t="s">
        <v>46</v>
      </c>
      <c r="E192" s="8">
        <v>5152528</v>
      </c>
      <c r="F192" s="8">
        <v>5152528</v>
      </c>
      <c r="G192" s="8">
        <v>1731272</v>
      </c>
      <c r="H192" s="8">
        <v>0</v>
      </c>
      <c r="I192" s="8">
        <v>0</v>
      </c>
      <c r="J192" s="8">
        <v>0</v>
      </c>
      <c r="K192" s="8">
        <v>1891</v>
      </c>
      <c r="L192" s="8">
        <v>25269</v>
      </c>
      <c r="M192" s="8">
        <v>68307</v>
      </c>
      <c r="N192" s="8">
        <v>92369</v>
      </c>
      <c r="O192" s="8">
        <v>255657</v>
      </c>
      <c r="P192" s="8">
        <v>297429</v>
      </c>
      <c r="Q192" s="8">
        <v>650218</v>
      </c>
      <c r="R192" s="8">
        <v>722119</v>
      </c>
      <c r="S192" s="9">
        <v>1508486</v>
      </c>
      <c r="T192" s="1"/>
      <c r="U192" s="1"/>
      <c r="V192" s="1"/>
      <c r="W192" s="1"/>
      <c r="X192" s="1"/>
      <c r="Y192" s="1"/>
      <c r="Z192" s="1"/>
    </row>
    <row r="193" spans="1:26" ht="13.5" customHeight="1">
      <c r="A193" s="1"/>
      <c r="B193" s="5">
        <v>2024</v>
      </c>
      <c r="C193" s="6">
        <v>29</v>
      </c>
      <c r="D193" s="7" t="s">
        <v>47</v>
      </c>
      <c r="E193" s="8">
        <v>251537</v>
      </c>
      <c r="F193" s="8">
        <v>2107375</v>
      </c>
      <c r="G193" s="8">
        <v>1998403</v>
      </c>
      <c r="H193" s="8">
        <v>0</v>
      </c>
      <c r="I193" s="8">
        <v>0</v>
      </c>
      <c r="J193" s="8">
        <v>0</v>
      </c>
      <c r="K193" s="8">
        <v>2262</v>
      </c>
      <c r="L193" s="8">
        <v>74380</v>
      </c>
      <c r="M193" s="8">
        <v>161068</v>
      </c>
      <c r="N193" s="8">
        <v>226500</v>
      </c>
      <c r="O193" s="8">
        <v>235972</v>
      </c>
      <c r="P193" s="8">
        <v>1485698</v>
      </c>
      <c r="Q193" s="8">
        <v>1613690</v>
      </c>
      <c r="R193" s="8">
        <v>1931498</v>
      </c>
      <c r="S193" s="9">
        <v>1997225</v>
      </c>
      <c r="T193" s="1"/>
      <c r="U193" s="1"/>
      <c r="V193" s="1"/>
      <c r="W193" s="1"/>
      <c r="X193" s="1"/>
      <c r="Y193" s="1"/>
      <c r="Z193" s="1"/>
    </row>
    <row r="194" spans="1:26" ht="13.5" customHeight="1">
      <c r="A194" s="1"/>
      <c r="B194" s="5">
        <v>2024</v>
      </c>
      <c r="C194" s="6">
        <v>29</v>
      </c>
      <c r="D194" s="7" t="s">
        <v>48</v>
      </c>
      <c r="E194" s="8">
        <v>615757</v>
      </c>
      <c r="F194" s="8">
        <v>615757</v>
      </c>
      <c r="G194" s="8">
        <v>632257</v>
      </c>
      <c r="H194" s="8">
        <v>0</v>
      </c>
      <c r="I194" s="8">
        <v>47980</v>
      </c>
      <c r="J194" s="8">
        <v>92337</v>
      </c>
      <c r="K194" s="8">
        <v>95895</v>
      </c>
      <c r="L194" s="8">
        <v>268337</v>
      </c>
      <c r="M194" s="8">
        <v>389981</v>
      </c>
      <c r="N194" s="8">
        <v>421650</v>
      </c>
      <c r="O194" s="8">
        <v>428305</v>
      </c>
      <c r="P194" s="8">
        <v>503200</v>
      </c>
      <c r="Q194" s="8">
        <v>506685</v>
      </c>
      <c r="R194" s="8">
        <v>563895</v>
      </c>
      <c r="S194" s="9">
        <v>631827</v>
      </c>
      <c r="T194" s="1"/>
      <c r="U194" s="1"/>
      <c r="V194" s="1"/>
      <c r="W194" s="1"/>
      <c r="X194" s="1"/>
      <c r="Y194" s="1"/>
      <c r="Z194" s="1"/>
    </row>
    <row r="195" spans="1:26" ht="13.5" customHeight="1">
      <c r="A195" s="1"/>
      <c r="B195" s="5">
        <v>2024</v>
      </c>
      <c r="C195" s="6">
        <v>33</v>
      </c>
      <c r="D195" s="7" t="s">
        <v>43</v>
      </c>
      <c r="E195" s="8">
        <v>0</v>
      </c>
      <c r="F195" s="8">
        <v>0</v>
      </c>
      <c r="G195" s="8">
        <v>0</v>
      </c>
      <c r="H195" s="8">
        <v>0</v>
      </c>
      <c r="I195" s="8">
        <v>0</v>
      </c>
      <c r="J195" s="8">
        <v>0</v>
      </c>
      <c r="K195" s="8">
        <v>0</v>
      </c>
      <c r="L195" s="8">
        <v>0</v>
      </c>
      <c r="M195" s="8">
        <v>0</v>
      </c>
      <c r="N195" s="8">
        <v>0</v>
      </c>
      <c r="O195" s="8">
        <v>0</v>
      </c>
      <c r="P195" s="8">
        <v>0</v>
      </c>
      <c r="Q195" s="8">
        <v>0</v>
      </c>
      <c r="R195" s="8">
        <v>0</v>
      </c>
      <c r="S195" s="9">
        <v>0</v>
      </c>
      <c r="T195" s="1"/>
      <c r="U195" s="1"/>
      <c r="V195" s="1"/>
      <c r="W195" s="1"/>
      <c r="X195" s="1"/>
      <c r="Y195" s="1"/>
      <c r="Z195" s="1"/>
    </row>
    <row r="196" spans="1:26" ht="13.5" customHeight="1">
      <c r="A196" s="1"/>
      <c r="B196" s="5">
        <v>2024</v>
      </c>
      <c r="C196" s="6">
        <v>33</v>
      </c>
      <c r="D196" s="7" t="s">
        <v>44</v>
      </c>
      <c r="E196" s="8">
        <v>0</v>
      </c>
      <c r="F196" s="8">
        <v>0</v>
      </c>
      <c r="G196" s="8">
        <v>0</v>
      </c>
      <c r="H196" s="8">
        <v>0</v>
      </c>
      <c r="I196" s="8">
        <v>0</v>
      </c>
      <c r="J196" s="8">
        <v>0</v>
      </c>
      <c r="K196" s="8">
        <v>0</v>
      </c>
      <c r="L196" s="8">
        <v>0</v>
      </c>
      <c r="M196" s="8">
        <v>0</v>
      </c>
      <c r="N196" s="8">
        <v>0</v>
      </c>
      <c r="O196" s="8">
        <v>0</v>
      </c>
      <c r="P196" s="8">
        <v>0</v>
      </c>
      <c r="Q196" s="8">
        <v>0</v>
      </c>
      <c r="R196" s="8">
        <v>0</v>
      </c>
      <c r="S196" s="9">
        <v>0</v>
      </c>
      <c r="T196" s="1"/>
      <c r="U196" s="1"/>
      <c r="V196" s="1"/>
      <c r="W196" s="1"/>
      <c r="X196" s="1"/>
      <c r="Y196" s="1"/>
      <c r="Z196" s="1"/>
    </row>
    <row r="197" spans="1:26" ht="13.5" customHeight="1">
      <c r="A197" s="1"/>
      <c r="B197" s="5">
        <v>2024</v>
      </c>
      <c r="C197" s="6">
        <v>33</v>
      </c>
      <c r="D197" s="7" t="s">
        <v>45</v>
      </c>
      <c r="E197" s="8">
        <v>0</v>
      </c>
      <c r="F197" s="8">
        <v>0</v>
      </c>
      <c r="G197" s="8">
        <v>0</v>
      </c>
      <c r="H197" s="8">
        <v>0</v>
      </c>
      <c r="I197" s="8">
        <v>0</v>
      </c>
      <c r="J197" s="8">
        <v>0</v>
      </c>
      <c r="K197" s="8">
        <v>0</v>
      </c>
      <c r="L197" s="8">
        <v>0</v>
      </c>
      <c r="M197" s="8">
        <v>0</v>
      </c>
      <c r="N197" s="8">
        <v>0</v>
      </c>
      <c r="O197" s="8">
        <v>0</v>
      </c>
      <c r="P197" s="8">
        <v>0</v>
      </c>
      <c r="Q197" s="8">
        <v>0</v>
      </c>
      <c r="R197" s="8">
        <v>0</v>
      </c>
      <c r="S197" s="9">
        <v>0</v>
      </c>
      <c r="T197" s="1"/>
      <c r="U197" s="1"/>
      <c r="V197" s="1"/>
      <c r="W197" s="1"/>
      <c r="X197" s="1"/>
      <c r="Y197" s="1"/>
      <c r="Z197" s="1"/>
    </row>
    <row r="198" spans="1:26" ht="13.5" customHeight="1">
      <c r="A198" s="1"/>
      <c r="B198" s="5">
        <v>2024</v>
      </c>
      <c r="C198" s="6">
        <v>33</v>
      </c>
      <c r="D198" s="7" t="s">
        <v>46</v>
      </c>
      <c r="E198" s="8">
        <v>0</v>
      </c>
      <c r="F198" s="8">
        <v>0</v>
      </c>
      <c r="G198" s="8">
        <v>0</v>
      </c>
      <c r="H198" s="8">
        <v>0</v>
      </c>
      <c r="I198" s="8">
        <v>0</v>
      </c>
      <c r="J198" s="8">
        <v>0</v>
      </c>
      <c r="K198" s="8">
        <v>0</v>
      </c>
      <c r="L198" s="8">
        <v>0</v>
      </c>
      <c r="M198" s="8">
        <v>0</v>
      </c>
      <c r="N198" s="8">
        <v>0</v>
      </c>
      <c r="O198" s="8">
        <v>0</v>
      </c>
      <c r="P198" s="8">
        <v>0</v>
      </c>
      <c r="Q198" s="8">
        <v>0</v>
      </c>
      <c r="R198" s="8">
        <v>0</v>
      </c>
      <c r="S198" s="9">
        <v>0</v>
      </c>
      <c r="T198" s="1"/>
      <c r="U198" s="1"/>
      <c r="V198" s="1"/>
      <c r="W198" s="1"/>
      <c r="X198" s="1"/>
      <c r="Y198" s="1"/>
      <c r="Z198" s="1"/>
    </row>
    <row r="199" spans="1:26" ht="13.5" customHeight="1">
      <c r="A199" s="1"/>
      <c r="B199" s="5">
        <v>2024</v>
      </c>
      <c r="C199" s="6">
        <v>33</v>
      </c>
      <c r="D199" s="7" t="s">
        <v>47</v>
      </c>
      <c r="E199" s="8">
        <v>0</v>
      </c>
      <c r="F199" s="8">
        <v>0</v>
      </c>
      <c r="G199" s="8">
        <v>0</v>
      </c>
      <c r="H199" s="8">
        <v>0</v>
      </c>
      <c r="I199" s="8">
        <v>0</v>
      </c>
      <c r="J199" s="8">
        <v>0</v>
      </c>
      <c r="K199" s="8">
        <v>0</v>
      </c>
      <c r="L199" s="8">
        <v>0</v>
      </c>
      <c r="M199" s="8">
        <v>0</v>
      </c>
      <c r="N199" s="8">
        <v>0</v>
      </c>
      <c r="O199" s="8">
        <v>0</v>
      </c>
      <c r="P199" s="8">
        <v>0</v>
      </c>
      <c r="Q199" s="8">
        <v>0</v>
      </c>
      <c r="R199" s="8">
        <v>0</v>
      </c>
      <c r="S199" s="9">
        <v>0</v>
      </c>
      <c r="T199" s="1"/>
      <c r="U199" s="1"/>
      <c r="V199" s="1"/>
      <c r="W199" s="1"/>
      <c r="X199" s="1"/>
      <c r="Y199" s="1"/>
      <c r="Z199" s="1"/>
    </row>
    <row r="200" spans="1:26" ht="13.5" customHeight="1">
      <c r="A200" s="1"/>
      <c r="B200" s="5">
        <v>2024</v>
      </c>
      <c r="C200" s="6">
        <v>33</v>
      </c>
      <c r="D200" s="7" t="s">
        <v>48</v>
      </c>
      <c r="E200" s="8">
        <v>0</v>
      </c>
      <c r="F200" s="8">
        <v>0</v>
      </c>
      <c r="G200" s="8">
        <v>0</v>
      </c>
      <c r="H200" s="8">
        <v>0</v>
      </c>
      <c r="I200" s="8">
        <v>0</v>
      </c>
      <c r="J200" s="8">
        <v>0</v>
      </c>
      <c r="K200" s="8">
        <v>0</v>
      </c>
      <c r="L200" s="8">
        <v>0</v>
      </c>
      <c r="M200" s="8">
        <v>0</v>
      </c>
      <c r="N200" s="8">
        <v>0</v>
      </c>
      <c r="O200" s="8">
        <v>0</v>
      </c>
      <c r="P200" s="8">
        <v>0</v>
      </c>
      <c r="Q200" s="8">
        <v>0</v>
      </c>
      <c r="R200" s="8">
        <v>0</v>
      </c>
      <c r="S200" s="9">
        <v>0</v>
      </c>
      <c r="T200" s="1"/>
      <c r="U200" s="1"/>
      <c r="V200" s="1"/>
      <c r="W200" s="1"/>
      <c r="X200" s="1"/>
      <c r="Y200" s="1"/>
      <c r="Z200" s="1"/>
    </row>
    <row r="201" spans="1:26" ht="13.5" customHeight="1">
      <c r="A201" s="1"/>
      <c r="B201" s="5">
        <v>2025</v>
      </c>
      <c r="C201" s="6">
        <v>31</v>
      </c>
      <c r="D201" s="7" t="s">
        <v>43</v>
      </c>
      <c r="E201" s="8">
        <v>2083103023</v>
      </c>
      <c r="F201" s="8">
        <v>1968056577</v>
      </c>
      <c r="G201" s="8">
        <v>1976677470</v>
      </c>
      <c r="H201" s="8">
        <v>1418928</v>
      </c>
      <c r="I201" s="8">
        <v>262166719</v>
      </c>
      <c r="J201" s="8">
        <v>478250448</v>
      </c>
      <c r="K201" s="8">
        <v>666185288</v>
      </c>
      <c r="L201" s="8">
        <v>837833362</v>
      </c>
      <c r="M201" s="8">
        <v>982362882</v>
      </c>
      <c r="N201" s="8">
        <v>1108324387</v>
      </c>
      <c r="O201" s="8">
        <v>1217723031</v>
      </c>
      <c r="P201" s="8">
        <v>1369623467</v>
      </c>
      <c r="Q201" s="8">
        <v>1492337572</v>
      </c>
      <c r="R201" s="8">
        <v>1632445535</v>
      </c>
      <c r="S201" s="9">
        <v>1947648753</v>
      </c>
      <c r="T201" s="1"/>
      <c r="U201" s="1"/>
      <c r="V201" s="1"/>
      <c r="W201" s="1"/>
      <c r="X201" s="1"/>
      <c r="Y201" s="1"/>
      <c r="Z201" s="1"/>
    </row>
    <row r="202" spans="1:26" ht="13.5" customHeight="1">
      <c r="A202" s="1"/>
      <c r="B202" s="5">
        <v>2025</v>
      </c>
      <c r="C202" s="6">
        <v>31</v>
      </c>
      <c r="D202" s="7" t="s">
        <v>44</v>
      </c>
      <c r="E202" s="8">
        <v>308121429</v>
      </c>
      <c r="F202" s="8">
        <v>288121429</v>
      </c>
      <c r="G202" s="8">
        <v>255720965</v>
      </c>
      <c r="H202" s="8">
        <v>2068692</v>
      </c>
      <c r="I202" s="8">
        <v>14027617</v>
      </c>
      <c r="J202" s="8">
        <v>36168803</v>
      </c>
      <c r="K202" s="8">
        <v>53822571</v>
      </c>
      <c r="L202" s="8">
        <v>71880596</v>
      </c>
      <c r="M202" s="8">
        <v>92473645</v>
      </c>
      <c r="N202" s="8">
        <v>108898696</v>
      </c>
      <c r="O202" s="8">
        <v>131234326</v>
      </c>
      <c r="P202" s="8">
        <v>152827107</v>
      </c>
      <c r="Q202" s="8">
        <v>173770614</v>
      </c>
      <c r="R202" s="8">
        <v>201417551</v>
      </c>
      <c r="S202" s="9">
        <v>252789386</v>
      </c>
      <c r="T202" s="1"/>
      <c r="U202" s="1"/>
      <c r="V202" s="1"/>
      <c r="W202" s="1"/>
      <c r="X202" s="1"/>
      <c r="Y202" s="1"/>
      <c r="Z202" s="1"/>
    </row>
    <row r="203" spans="1:26" ht="13.5" customHeight="1">
      <c r="A203" s="1"/>
      <c r="B203" s="5">
        <v>2025</v>
      </c>
      <c r="C203" s="6">
        <v>31</v>
      </c>
      <c r="D203" s="7" t="s">
        <v>45</v>
      </c>
      <c r="E203" s="8">
        <v>329603442</v>
      </c>
      <c r="F203" s="8">
        <v>284751010</v>
      </c>
      <c r="G203" s="8">
        <v>234336066</v>
      </c>
      <c r="H203" s="8">
        <v>2010108</v>
      </c>
      <c r="I203" s="8">
        <v>18132777</v>
      </c>
      <c r="J203" s="8">
        <v>36591973</v>
      </c>
      <c r="K203" s="8">
        <v>55560502</v>
      </c>
      <c r="L203" s="8">
        <v>73627660</v>
      </c>
      <c r="M203" s="8">
        <v>93134581</v>
      </c>
      <c r="N203" s="8">
        <v>109996503</v>
      </c>
      <c r="O203" s="8">
        <v>127458124</v>
      </c>
      <c r="P203" s="8">
        <v>147026821</v>
      </c>
      <c r="Q203" s="8">
        <v>167611651</v>
      </c>
      <c r="R203" s="8">
        <v>186253362</v>
      </c>
      <c r="S203" s="9">
        <v>231742834</v>
      </c>
      <c r="T203" s="1"/>
      <c r="U203" s="1"/>
      <c r="V203" s="1"/>
      <c r="W203" s="1"/>
      <c r="X203" s="1"/>
      <c r="Y203" s="1"/>
      <c r="Z203" s="1"/>
    </row>
    <row r="204" spans="1:26" ht="13.5" customHeight="1">
      <c r="A204" s="1"/>
      <c r="B204" s="5">
        <v>2025</v>
      </c>
      <c r="C204" s="6">
        <v>31</v>
      </c>
      <c r="D204" s="7" t="s">
        <v>46</v>
      </c>
      <c r="E204" s="8">
        <v>125417585</v>
      </c>
      <c r="F204" s="8">
        <v>145917564</v>
      </c>
      <c r="G204" s="8">
        <v>143006856</v>
      </c>
      <c r="H204" s="8">
        <v>11343929</v>
      </c>
      <c r="I204" s="8">
        <v>22880886</v>
      </c>
      <c r="J204" s="8">
        <v>31954442</v>
      </c>
      <c r="K204" s="8">
        <v>40743206</v>
      </c>
      <c r="L204" s="8">
        <v>50003253</v>
      </c>
      <c r="M204" s="8">
        <v>61155170</v>
      </c>
      <c r="N204" s="8">
        <v>73000387</v>
      </c>
      <c r="O204" s="8">
        <v>82403582</v>
      </c>
      <c r="P204" s="8">
        <v>91424463</v>
      </c>
      <c r="Q204" s="8">
        <v>102261627</v>
      </c>
      <c r="R204" s="8">
        <v>115278067</v>
      </c>
      <c r="S204" s="9">
        <v>140810158</v>
      </c>
      <c r="T204" s="1"/>
      <c r="U204" s="1"/>
      <c r="V204" s="1"/>
      <c r="W204" s="1"/>
      <c r="X204" s="1"/>
      <c r="Y204" s="1"/>
      <c r="Z204" s="1"/>
    </row>
    <row r="205" spans="1:26" ht="13.5" customHeight="1">
      <c r="A205" s="1"/>
      <c r="B205" s="5">
        <v>2025</v>
      </c>
      <c r="C205" s="6">
        <v>31</v>
      </c>
      <c r="D205" s="7" t="s">
        <v>47</v>
      </c>
      <c r="E205" s="8">
        <v>141825431</v>
      </c>
      <c r="F205" s="8">
        <v>141825431</v>
      </c>
      <c r="G205" s="8">
        <v>143001334</v>
      </c>
      <c r="H205" s="8">
        <v>5480453</v>
      </c>
      <c r="I205" s="8">
        <v>18789767</v>
      </c>
      <c r="J205" s="8">
        <v>33876924</v>
      </c>
      <c r="K205" s="8">
        <v>51049771</v>
      </c>
      <c r="L205" s="8">
        <v>63060218</v>
      </c>
      <c r="M205" s="8">
        <v>70081917</v>
      </c>
      <c r="N205" s="8">
        <v>74458174</v>
      </c>
      <c r="O205" s="8">
        <v>78656297</v>
      </c>
      <c r="P205" s="8">
        <v>86517922</v>
      </c>
      <c r="Q205" s="8">
        <v>100099974</v>
      </c>
      <c r="R205" s="8">
        <v>112429460</v>
      </c>
      <c r="S205" s="9">
        <v>142638019</v>
      </c>
      <c r="T205" s="1"/>
      <c r="U205" s="1"/>
      <c r="V205" s="1"/>
      <c r="W205" s="1"/>
      <c r="X205" s="1"/>
      <c r="Y205" s="1"/>
      <c r="Z205" s="1"/>
    </row>
    <row r="206" spans="1:26" ht="13.5" customHeight="1">
      <c r="A206" s="1"/>
      <c r="B206" s="5">
        <v>2025</v>
      </c>
      <c r="C206" s="6">
        <v>31</v>
      </c>
      <c r="D206" s="7" t="s">
        <v>48</v>
      </c>
      <c r="E206" s="8">
        <v>57109595</v>
      </c>
      <c r="F206" s="8">
        <v>77594122</v>
      </c>
      <c r="G206" s="8">
        <v>55621639</v>
      </c>
      <c r="H206" s="8">
        <v>1010340</v>
      </c>
      <c r="I206" s="8">
        <v>5400393</v>
      </c>
      <c r="J206" s="8">
        <v>9140892</v>
      </c>
      <c r="K206" s="8">
        <v>13609867</v>
      </c>
      <c r="L206" s="8">
        <v>16763840</v>
      </c>
      <c r="M206" s="8">
        <v>19193589</v>
      </c>
      <c r="N206" s="8">
        <v>22131755</v>
      </c>
      <c r="O206" s="8">
        <v>27614100</v>
      </c>
      <c r="P206" s="8">
        <v>31105744</v>
      </c>
      <c r="Q206" s="8">
        <v>35933608</v>
      </c>
      <c r="R206" s="8">
        <v>40868830</v>
      </c>
      <c r="S206" s="9">
        <v>48235342</v>
      </c>
      <c r="T206" s="1"/>
      <c r="U206" s="1"/>
      <c r="V206" s="1"/>
      <c r="W206" s="1"/>
      <c r="X206" s="1"/>
      <c r="Y206" s="1"/>
      <c r="Z206" s="1"/>
    </row>
    <row r="207" spans="1:26" ht="13.5" customHeight="1">
      <c r="A207" s="1"/>
      <c r="B207" s="5">
        <v>2025</v>
      </c>
      <c r="C207" s="6">
        <v>29</v>
      </c>
      <c r="D207" s="7" t="s">
        <v>43</v>
      </c>
      <c r="E207" s="8">
        <v>6540884</v>
      </c>
      <c r="F207" s="8">
        <v>6347840</v>
      </c>
      <c r="G207" s="8">
        <v>2245535</v>
      </c>
      <c r="H207" s="8">
        <v>0</v>
      </c>
      <c r="I207" s="8">
        <v>0</v>
      </c>
      <c r="J207" s="8">
        <v>0</v>
      </c>
      <c r="K207" s="8">
        <v>3488</v>
      </c>
      <c r="L207" s="8">
        <v>3488</v>
      </c>
      <c r="M207" s="8">
        <v>6802</v>
      </c>
      <c r="N207" s="8">
        <v>6802</v>
      </c>
      <c r="O207" s="8">
        <v>205085</v>
      </c>
      <c r="P207" s="8">
        <v>215026</v>
      </c>
      <c r="Q207" s="8">
        <v>319809</v>
      </c>
      <c r="R207" s="8">
        <v>541271</v>
      </c>
      <c r="S207" s="9">
        <v>2174604</v>
      </c>
      <c r="T207" s="1"/>
      <c r="U207" s="1"/>
      <c r="V207" s="1"/>
      <c r="W207" s="1"/>
      <c r="X207" s="1"/>
      <c r="Y207" s="1"/>
      <c r="Z207" s="1"/>
    </row>
    <row r="208" spans="1:26" ht="13.5" customHeight="1">
      <c r="A208" s="1"/>
      <c r="B208" s="5">
        <v>2025</v>
      </c>
      <c r="C208" s="6">
        <v>29</v>
      </c>
      <c r="D208" s="7" t="s">
        <v>44</v>
      </c>
      <c r="E208" s="8">
        <v>1233864</v>
      </c>
      <c r="F208" s="8">
        <v>1172171</v>
      </c>
      <c r="G208" s="8">
        <v>992552</v>
      </c>
      <c r="H208" s="8">
        <v>0</v>
      </c>
      <c r="I208" s="8">
        <v>0</v>
      </c>
      <c r="J208" s="8">
        <v>0</v>
      </c>
      <c r="K208" s="8">
        <v>2009</v>
      </c>
      <c r="L208" s="8">
        <v>37835</v>
      </c>
      <c r="M208" s="8">
        <v>73615</v>
      </c>
      <c r="N208" s="8">
        <v>253012</v>
      </c>
      <c r="O208" s="8">
        <v>572413</v>
      </c>
      <c r="P208" s="8">
        <v>586562</v>
      </c>
      <c r="Q208" s="8">
        <v>603974</v>
      </c>
      <c r="R208" s="8">
        <v>818043</v>
      </c>
      <c r="S208" s="9">
        <v>963962</v>
      </c>
      <c r="T208" s="1"/>
      <c r="U208" s="1"/>
      <c r="V208" s="1"/>
      <c r="W208" s="1"/>
      <c r="X208" s="1"/>
      <c r="Y208" s="1"/>
      <c r="Z208" s="1"/>
    </row>
    <row r="209" spans="1:26" ht="13.5" customHeight="1">
      <c r="A209" s="1"/>
      <c r="B209" s="5">
        <v>2025</v>
      </c>
      <c r="C209" s="6">
        <v>29</v>
      </c>
      <c r="D209" s="7" t="s">
        <v>45</v>
      </c>
      <c r="E209" s="8">
        <v>1352415</v>
      </c>
      <c r="F209" s="8">
        <v>1284794</v>
      </c>
      <c r="G209" s="8">
        <v>1212027</v>
      </c>
      <c r="H209" s="8">
        <v>0</v>
      </c>
      <c r="I209" s="8">
        <v>160</v>
      </c>
      <c r="J209" s="8">
        <v>160</v>
      </c>
      <c r="K209" s="8">
        <v>160</v>
      </c>
      <c r="L209" s="8">
        <v>4515</v>
      </c>
      <c r="M209" s="8">
        <v>13374</v>
      </c>
      <c r="N209" s="8">
        <v>133195</v>
      </c>
      <c r="O209" s="8">
        <v>499807</v>
      </c>
      <c r="P209" s="8">
        <v>541550</v>
      </c>
      <c r="Q209" s="8">
        <v>568299</v>
      </c>
      <c r="R209" s="8">
        <v>873723</v>
      </c>
      <c r="S209" s="9">
        <v>1203592</v>
      </c>
      <c r="T209" s="1"/>
      <c r="U209" s="1"/>
      <c r="V209" s="1"/>
      <c r="W209" s="1"/>
      <c r="X209" s="1"/>
      <c r="Y209" s="1"/>
      <c r="Z209" s="1"/>
    </row>
    <row r="210" spans="1:26" ht="13.5" customHeight="1">
      <c r="A210" s="1"/>
      <c r="B210" s="5">
        <v>2025</v>
      </c>
      <c r="C210" s="6">
        <v>29</v>
      </c>
      <c r="D210" s="7" t="s">
        <v>46</v>
      </c>
      <c r="E210" s="8">
        <v>2635679</v>
      </c>
      <c r="F210" s="8">
        <v>2503895</v>
      </c>
      <c r="G210" s="8">
        <v>391705</v>
      </c>
      <c r="H210" s="8">
        <v>0</v>
      </c>
      <c r="I210" s="8">
        <v>0</v>
      </c>
      <c r="J210" s="8">
        <v>0</v>
      </c>
      <c r="K210" s="8">
        <v>5944</v>
      </c>
      <c r="L210" s="8">
        <v>41309</v>
      </c>
      <c r="M210" s="8">
        <v>91749</v>
      </c>
      <c r="N210" s="8">
        <v>93532</v>
      </c>
      <c r="O210" s="8">
        <v>93532</v>
      </c>
      <c r="P210" s="8">
        <v>96960</v>
      </c>
      <c r="Q210" s="8">
        <v>112867</v>
      </c>
      <c r="R210" s="8">
        <v>143043</v>
      </c>
      <c r="S210" s="9">
        <v>248096</v>
      </c>
      <c r="T210" s="1"/>
      <c r="U210" s="1"/>
      <c r="V210" s="1"/>
      <c r="W210" s="1"/>
      <c r="X210" s="1"/>
      <c r="Y210" s="1"/>
      <c r="Z210" s="1"/>
    </row>
    <row r="211" spans="1:26" ht="13.5" customHeight="1">
      <c r="A211" s="1"/>
      <c r="B211" s="5">
        <v>2025</v>
      </c>
      <c r="C211" s="6">
        <v>29</v>
      </c>
      <c r="D211" s="7" t="s">
        <v>47</v>
      </c>
      <c r="E211" s="8">
        <v>924967</v>
      </c>
      <c r="F211" s="8">
        <v>878719</v>
      </c>
      <c r="G211" s="8">
        <v>812930</v>
      </c>
      <c r="H211" s="8">
        <v>0</v>
      </c>
      <c r="I211" s="8">
        <v>97469</v>
      </c>
      <c r="J211" s="8">
        <v>97751</v>
      </c>
      <c r="K211" s="8">
        <v>98001</v>
      </c>
      <c r="L211" s="8">
        <v>170182</v>
      </c>
      <c r="M211" s="8">
        <v>170245</v>
      </c>
      <c r="N211" s="8">
        <v>421065</v>
      </c>
      <c r="O211" s="8">
        <v>428624</v>
      </c>
      <c r="P211" s="8">
        <v>444757</v>
      </c>
      <c r="Q211" s="8">
        <v>610730</v>
      </c>
      <c r="R211" s="8">
        <v>614072</v>
      </c>
      <c r="S211" s="9">
        <v>809633</v>
      </c>
      <c r="T211" s="1"/>
      <c r="U211" s="1"/>
      <c r="V211" s="1"/>
      <c r="W211" s="1"/>
      <c r="X211" s="1"/>
      <c r="Y211" s="1"/>
      <c r="Z211" s="1"/>
    </row>
    <row r="212" spans="1:26" ht="13.5" customHeight="1">
      <c r="A212" s="1"/>
      <c r="B212" s="5">
        <v>2025</v>
      </c>
      <c r="C212" s="6">
        <v>29</v>
      </c>
      <c r="D212" s="7" t="s">
        <v>48</v>
      </c>
      <c r="E212" s="8">
        <v>555640</v>
      </c>
      <c r="F212" s="8">
        <v>527858</v>
      </c>
      <c r="G212" s="8">
        <v>527858</v>
      </c>
      <c r="H212" s="8">
        <v>0</v>
      </c>
      <c r="I212" s="8">
        <v>33966</v>
      </c>
      <c r="J212" s="8">
        <v>39677</v>
      </c>
      <c r="K212" s="8">
        <v>68547</v>
      </c>
      <c r="L212" s="8">
        <v>184933</v>
      </c>
      <c r="M212" s="8">
        <v>316527</v>
      </c>
      <c r="N212" s="8">
        <v>324773</v>
      </c>
      <c r="O212" s="8">
        <v>324773</v>
      </c>
      <c r="P212" s="8">
        <v>329257</v>
      </c>
      <c r="Q212" s="8">
        <v>333451</v>
      </c>
      <c r="R212" s="8">
        <v>436896</v>
      </c>
      <c r="S212" s="9">
        <v>504566</v>
      </c>
      <c r="T212" s="1"/>
      <c r="U212" s="1"/>
      <c r="V212" s="1"/>
      <c r="W212" s="1"/>
      <c r="X212" s="1"/>
      <c r="Y212" s="1"/>
      <c r="Z212" s="1"/>
    </row>
    <row r="213" spans="1:26" ht="13.5" customHeight="1">
      <c r="A213" s="1"/>
      <c r="B213" s="5">
        <v>2025</v>
      </c>
      <c r="C213" s="6">
        <v>33</v>
      </c>
      <c r="D213" s="7" t="s">
        <v>43</v>
      </c>
      <c r="E213" s="8">
        <v>0</v>
      </c>
      <c r="F213" s="8">
        <v>0</v>
      </c>
      <c r="G213" s="8">
        <v>0</v>
      </c>
      <c r="H213" s="8">
        <v>0</v>
      </c>
      <c r="I213" s="8">
        <v>0</v>
      </c>
      <c r="J213" s="8">
        <v>0</v>
      </c>
      <c r="K213" s="8">
        <v>0</v>
      </c>
      <c r="L213" s="8">
        <v>0</v>
      </c>
      <c r="M213" s="8">
        <v>0</v>
      </c>
      <c r="N213" s="8">
        <v>0</v>
      </c>
      <c r="O213" s="8">
        <v>0</v>
      </c>
      <c r="P213" s="8">
        <v>0</v>
      </c>
      <c r="Q213" s="8">
        <v>0</v>
      </c>
      <c r="R213" s="8">
        <v>0</v>
      </c>
      <c r="S213" s="9">
        <v>0</v>
      </c>
      <c r="T213" s="1"/>
      <c r="U213" s="1"/>
      <c r="V213" s="1"/>
      <c r="W213" s="1"/>
      <c r="X213" s="1"/>
      <c r="Y213" s="1"/>
      <c r="Z213" s="1"/>
    </row>
    <row r="214" spans="1:26" ht="13.5" customHeight="1">
      <c r="A214" s="1"/>
      <c r="B214" s="5">
        <v>2025</v>
      </c>
      <c r="C214" s="6">
        <v>33</v>
      </c>
      <c r="D214" s="7" t="s">
        <v>44</v>
      </c>
      <c r="E214" s="8">
        <v>0</v>
      </c>
      <c r="F214" s="8">
        <v>0</v>
      </c>
      <c r="G214" s="8">
        <v>0</v>
      </c>
      <c r="H214" s="8">
        <v>0</v>
      </c>
      <c r="I214" s="8">
        <v>0</v>
      </c>
      <c r="J214" s="8">
        <v>0</v>
      </c>
      <c r="K214" s="8">
        <v>0</v>
      </c>
      <c r="L214" s="8">
        <v>0</v>
      </c>
      <c r="M214" s="8">
        <v>0</v>
      </c>
      <c r="N214" s="8">
        <v>0</v>
      </c>
      <c r="O214" s="8">
        <v>0</v>
      </c>
      <c r="P214" s="8">
        <v>0</v>
      </c>
      <c r="Q214" s="8">
        <v>0</v>
      </c>
      <c r="R214" s="8">
        <v>0</v>
      </c>
      <c r="S214" s="9">
        <v>0</v>
      </c>
      <c r="T214" s="1"/>
      <c r="U214" s="1"/>
      <c r="V214" s="1"/>
      <c r="W214" s="1"/>
      <c r="X214" s="1"/>
      <c r="Y214" s="1"/>
      <c r="Z214" s="1"/>
    </row>
    <row r="215" spans="1:26" ht="13.5" customHeight="1">
      <c r="A215" s="1"/>
      <c r="B215" s="5">
        <v>2025</v>
      </c>
      <c r="C215" s="6">
        <v>33</v>
      </c>
      <c r="D215" s="7" t="s">
        <v>45</v>
      </c>
      <c r="E215" s="8">
        <v>0</v>
      </c>
      <c r="F215" s="8">
        <v>0</v>
      </c>
      <c r="G215" s="8">
        <v>0</v>
      </c>
      <c r="H215" s="8">
        <v>0</v>
      </c>
      <c r="I215" s="8">
        <v>0</v>
      </c>
      <c r="J215" s="8">
        <v>0</v>
      </c>
      <c r="K215" s="8">
        <v>0</v>
      </c>
      <c r="L215" s="8">
        <v>0</v>
      </c>
      <c r="M215" s="8">
        <v>0</v>
      </c>
      <c r="N215" s="8">
        <v>0</v>
      </c>
      <c r="O215" s="8">
        <v>0</v>
      </c>
      <c r="P215" s="8">
        <v>0</v>
      </c>
      <c r="Q215" s="8">
        <v>0</v>
      </c>
      <c r="R215" s="8">
        <v>0</v>
      </c>
      <c r="S215" s="9">
        <v>0</v>
      </c>
      <c r="T215" s="1"/>
      <c r="U215" s="1"/>
      <c r="V215" s="1"/>
      <c r="W215" s="1"/>
      <c r="X215" s="1"/>
      <c r="Y215" s="1"/>
      <c r="Z215" s="1"/>
    </row>
    <row r="216" spans="1:26" ht="13.5" customHeight="1">
      <c r="A216" s="1"/>
      <c r="B216" s="5">
        <v>2025</v>
      </c>
      <c r="C216" s="6">
        <v>33</v>
      </c>
      <c r="D216" s="7" t="s">
        <v>46</v>
      </c>
      <c r="E216" s="8">
        <v>0</v>
      </c>
      <c r="F216" s="8">
        <v>0</v>
      </c>
      <c r="G216" s="8">
        <v>0</v>
      </c>
      <c r="H216" s="8">
        <v>0</v>
      </c>
      <c r="I216" s="8">
        <v>0</v>
      </c>
      <c r="J216" s="8">
        <v>0</v>
      </c>
      <c r="K216" s="8">
        <v>0</v>
      </c>
      <c r="L216" s="8">
        <v>0</v>
      </c>
      <c r="M216" s="8">
        <v>0</v>
      </c>
      <c r="N216" s="8">
        <v>0</v>
      </c>
      <c r="O216" s="8">
        <v>0</v>
      </c>
      <c r="P216" s="8">
        <v>0</v>
      </c>
      <c r="Q216" s="8">
        <v>0</v>
      </c>
      <c r="R216" s="8">
        <v>0</v>
      </c>
      <c r="S216" s="9">
        <v>0</v>
      </c>
      <c r="T216" s="1"/>
      <c r="U216" s="1"/>
      <c r="V216" s="1"/>
      <c r="W216" s="1"/>
      <c r="X216" s="1"/>
      <c r="Y216" s="1"/>
      <c r="Z216" s="1"/>
    </row>
    <row r="217" spans="1:26" ht="13.5" customHeight="1">
      <c r="A217" s="1"/>
      <c r="B217" s="5">
        <v>2025</v>
      </c>
      <c r="C217" s="6">
        <v>33</v>
      </c>
      <c r="D217" s="7" t="s">
        <v>47</v>
      </c>
      <c r="E217" s="8">
        <v>0</v>
      </c>
      <c r="F217" s="8">
        <v>0</v>
      </c>
      <c r="G217" s="8">
        <v>0</v>
      </c>
      <c r="H217" s="8">
        <v>0</v>
      </c>
      <c r="I217" s="8">
        <v>0</v>
      </c>
      <c r="J217" s="8">
        <v>0</v>
      </c>
      <c r="K217" s="8">
        <v>0</v>
      </c>
      <c r="L217" s="8">
        <v>0</v>
      </c>
      <c r="M217" s="8">
        <v>0</v>
      </c>
      <c r="N217" s="8">
        <v>0</v>
      </c>
      <c r="O217" s="8">
        <v>0</v>
      </c>
      <c r="P217" s="8">
        <v>0</v>
      </c>
      <c r="Q217" s="8">
        <v>0</v>
      </c>
      <c r="R217" s="8">
        <v>0</v>
      </c>
      <c r="S217" s="9">
        <v>0</v>
      </c>
      <c r="T217" s="1"/>
      <c r="U217" s="1"/>
      <c r="V217" s="1"/>
      <c r="W217" s="1"/>
      <c r="X217" s="1"/>
      <c r="Y217" s="1"/>
      <c r="Z217" s="1"/>
    </row>
    <row r="218" spans="1:26" ht="13.5" customHeight="1">
      <c r="A218" s="1"/>
      <c r="B218" s="5">
        <v>2025</v>
      </c>
      <c r="C218" s="6">
        <v>33</v>
      </c>
      <c r="D218" s="7" t="s">
        <v>48</v>
      </c>
      <c r="E218" s="8">
        <v>0</v>
      </c>
      <c r="F218" s="8">
        <v>0</v>
      </c>
      <c r="G218" s="8">
        <v>0</v>
      </c>
      <c r="H218" s="8">
        <v>0</v>
      </c>
      <c r="I218" s="8">
        <v>0</v>
      </c>
      <c r="J218" s="8">
        <v>0</v>
      </c>
      <c r="K218" s="8">
        <v>0</v>
      </c>
      <c r="L218" s="8">
        <v>0</v>
      </c>
      <c r="M218" s="8">
        <v>0</v>
      </c>
      <c r="N218" s="8">
        <v>0</v>
      </c>
      <c r="O218" s="8">
        <v>0</v>
      </c>
      <c r="P218" s="8">
        <v>0</v>
      </c>
      <c r="Q218" s="8">
        <v>0</v>
      </c>
      <c r="R218" s="8">
        <v>0</v>
      </c>
      <c r="S218" s="9">
        <v>0</v>
      </c>
      <c r="T218" s="1"/>
      <c r="U218" s="1"/>
      <c r="V218" s="1"/>
      <c r="W218" s="1"/>
      <c r="X218" s="1"/>
      <c r="Y218" s="1"/>
      <c r="Z218" s="1"/>
    </row>
    <row r="219" spans="1:26" ht="13.5" customHeight="1">
      <c r="A219" s="1"/>
      <c r="B219" s="5">
        <v>2026</v>
      </c>
      <c r="C219" s="6">
        <v>31</v>
      </c>
      <c r="D219" s="7" t="s">
        <v>43</v>
      </c>
      <c r="E219" s="8">
        <v>1951485600</v>
      </c>
      <c r="F219" s="8">
        <v>1801311962</v>
      </c>
      <c r="G219" s="8">
        <v>1801311962</v>
      </c>
      <c r="H219" s="8">
        <v>0</v>
      </c>
      <c r="I219" s="8">
        <v>162224034</v>
      </c>
      <c r="J219" s="8">
        <v>321332158</v>
      </c>
      <c r="K219" s="8">
        <v>469566556</v>
      </c>
      <c r="L219" s="8">
        <v>614978745</v>
      </c>
      <c r="M219" s="8">
        <v>776558972</v>
      </c>
      <c r="N219" s="8">
        <v>909487841</v>
      </c>
      <c r="O219" s="8"/>
      <c r="P219" s="8"/>
      <c r="Q219" s="8"/>
      <c r="R219" s="8"/>
      <c r="S219" s="9"/>
      <c r="T219" s="1"/>
      <c r="U219" s="1"/>
      <c r="V219" s="1"/>
      <c r="W219" s="1"/>
      <c r="X219" s="1"/>
      <c r="Y219" s="1"/>
      <c r="Z219" s="1"/>
    </row>
    <row r="220" spans="1:26" ht="13.5" customHeight="1">
      <c r="A220" s="1"/>
      <c r="B220" s="5">
        <v>2026</v>
      </c>
      <c r="C220" s="6">
        <v>31</v>
      </c>
      <c r="D220" s="7" t="s">
        <v>44</v>
      </c>
      <c r="E220" s="8">
        <v>195906100</v>
      </c>
      <c r="F220" s="8">
        <v>202307917</v>
      </c>
      <c r="G220" s="8">
        <v>202307917</v>
      </c>
      <c r="H220" s="8">
        <v>0</v>
      </c>
      <c r="I220" s="8">
        <v>9585447</v>
      </c>
      <c r="J220" s="8">
        <v>24838996</v>
      </c>
      <c r="K220" s="8">
        <v>36118123</v>
      </c>
      <c r="L220" s="8">
        <v>47381569</v>
      </c>
      <c r="M220" s="8">
        <v>59374806</v>
      </c>
      <c r="N220" s="8">
        <v>73650703</v>
      </c>
      <c r="O220" s="8"/>
      <c r="P220" s="8"/>
      <c r="Q220" s="8"/>
      <c r="R220" s="8"/>
      <c r="S220" s="9"/>
      <c r="T220" s="1"/>
      <c r="U220" s="1"/>
      <c r="V220" s="1"/>
      <c r="W220" s="1"/>
      <c r="X220" s="1"/>
      <c r="Y220" s="1"/>
      <c r="Z220" s="1"/>
    </row>
    <row r="221" spans="1:26" ht="13.5" customHeight="1">
      <c r="A221" s="1"/>
      <c r="B221" s="5">
        <v>2026</v>
      </c>
      <c r="C221" s="6">
        <v>31</v>
      </c>
      <c r="D221" s="7" t="s">
        <v>45</v>
      </c>
      <c r="E221" s="8">
        <v>290113797</v>
      </c>
      <c r="F221" s="8">
        <v>273410383</v>
      </c>
      <c r="G221" s="8">
        <v>273410383</v>
      </c>
      <c r="H221" s="8">
        <v>0</v>
      </c>
      <c r="I221" s="8">
        <v>19469514</v>
      </c>
      <c r="J221" s="8">
        <v>40366706</v>
      </c>
      <c r="K221" s="8">
        <v>60258504</v>
      </c>
      <c r="L221" s="8">
        <v>79539794</v>
      </c>
      <c r="M221" s="8">
        <v>99543928</v>
      </c>
      <c r="N221" s="8">
        <v>119758712</v>
      </c>
      <c r="O221" s="8"/>
      <c r="P221" s="8"/>
      <c r="Q221" s="8"/>
      <c r="R221" s="8"/>
      <c r="S221" s="9"/>
      <c r="T221" s="1"/>
      <c r="U221" s="1"/>
      <c r="V221" s="1"/>
      <c r="W221" s="1"/>
      <c r="X221" s="1"/>
      <c r="Y221" s="1"/>
      <c r="Z221" s="1"/>
    </row>
    <row r="222" spans="1:26" ht="13.5" customHeight="1">
      <c r="A222" s="1"/>
      <c r="B222" s="5">
        <v>2026</v>
      </c>
      <c r="C222" s="6">
        <v>31</v>
      </c>
      <c r="D222" s="7" t="s">
        <v>46</v>
      </c>
      <c r="E222" s="8">
        <v>109909690</v>
      </c>
      <c r="F222" s="8">
        <v>106612399</v>
      </c>
      <c r="G222" s="8">
        <v>106612399</v>
      </c>
      <c r="H222" s="8">
        <v>5334724</v>
      </c>
      <c r="I222" s="8">
        <v>18823694</v>
      </c>
      <c r="J222" s="8">
        <v>29721986</v>
      </c>
      <c r="K222" s="8">
        <v>39558533</v>
      </c>
      <c r="L222" s="8">
        <v>50252046</v>
      </c>
      <c r="M222" s="8">
        <v>57851838</v>
      </c>
      <c r="N222" s="8">
        <v>65221155</v>
      </c>
      <c r="O222" s="8"/>
      <c r="P222" s="8"/>
      <c r="Q222" s="8"/>
      <c r="R222" s="8"/>
      <c r="S222" s="9"/>
      <c r="T222" s="1"/>
      <c r="U222" s="1"/>
      <c r="V222" s="1"/>
      <c r="W222" s="1"/>
      <c r="X222" s="1"/>
      <c r="Y222" s="1"/>
      <c r="Z222" s="1"/>
    </row>
    <row r="223" spans="1:26" ht="13.5" customHeight="1">
      <c r="A223" s="1"/>
      <c r="B223" s="5">
        <v>2026</v>
      </c>
      <c r="C223" s="6">
        <v>31</v>
      </c>
      <c r="D223" s="7" t="s">
        <v>47</v>
      </c>
      <c r="E223" s="8">
        <v>127610750</v>
      </c>
      <c r="F223" s="8">
        <v>124345173</v>
      </c>
      <c r="G223" s="8">
        <v>124345173</v>
      </c>
      <c r="H223" s="8">
        <v>8605874</v>
      </c>
      <c r="I223" s="8">
        <v>22342962</v>
      </c>
      <c r="J223" s="8">
        <v>30219385</v>
      </c>
      <c r="K223" s="8">
        <v>33540799</v>
      </c>
      <c r="L223" s="8">
        <v>36963751</v>
      </c>
      <c r="M223" s="8">
        <v>51185776</v>
      </c>
      <c r="N223" s="8">
        <v>55356746</v>
      </c>
      <c r="O223" s="8"/>
      <c r="P223" s="8"/>
      <c r="Q223" s="8"/>
      <c r="R223" s="8"/>
      <c r="S223" s="9"/>
      <c r="T223" s="1"/>
      <c r="U223" s="1"/>
      <c r="V223" s="1"/>
      <c r="W223" s="1"/>
      <c r="X223" s="1"/>
      <c r="Y223" s="1"/>
      <c r="Z223" s="1"/>
    </row>
    <row r="224" spans="1:26" ht="13.5" customHeight="1">
      <c r="A224" s="1"/>
      <c r="B224" s="5">
        <v>2026</v>
      </c>
      <c r="C224" s="6">
        <v>31</v>
      </c>
      <c r="D224" s="7" t="s">
        <v>48</v>
      </c>
      <c r="E224" s="8">
        <v>30479549</v>
      </c>
      <c r="F224" s="8">
        <v>29565163</v>
      </c>
      <c r="G224" s="8">
        <v>29565163</v>
      </c>
      <c r="H224" s="8">
        <v>506557</v>
      </c>
      <c r="I224" s="8">
        <v>3068948</v>
      </c>
      <c r="J224" s="8">
        <v>4760248</v>
      </c>
      <c r="K224" s="8">
        <v>6527517</v>
      </c>
      <c r="L224" s="8">
        <v>9351673</v>
      </c>
      <c r="M224" s="8">
        <v>11151630</v>
      </c>
      <c r="N224" s="8">
        <v>13543806</v>
      </c>
      <c r="O224" s="8"/>
      <c r="P224" s="8"/>
      <c r="Q224" s="8"/>
      <c r="R224" s="8"/>
      <c r="S224" s="9"/>
      <c r="T224" s="1"/>
      <c r="U224" s="1"/>
      <c r="V224" s="1"/>
      <c r="W224" s="1"/>
      <c r="X224" s="1"/>
      <c r="Y224" s="1"/>
      <c r="Z224" s="1"/>
    </row>
    <row r="225" spans="1:26" ht="13.5" customHeight="1">
      <c r="A225" s="1"/>
      <c r="B225" s="5">
        <v>2026</v>
      </c>
      <c r="C225" s="6">
        <v>29</v>
      </c>
      <c r="D225" s="7" t="s">
        <v>43</v>
      </c>
      <c r="E225" s="8">
        <v>1062955</v>
      </c>
      <c r="F225" s="8">
        <v>1551066</v>
      </c>
      <c r="G225" s="8">
        <v>1551066</v>
      </c>
      <c r="H225" s="8">
        <v>0</v>
      </c>
      <c r="I225" s="8">
        <v>0</v>
      </c>
      <c r="J225" s="8">
        <v>0</v>
      </c>
      <c r="K225" s="8">
        <v>1547</v>
      </c>
      <c r="L225" s="8">
        <v>1547</v>
      </c>
      <c r="M225" s="8">
        <v>4001</v>
      </c>
      <c r="N225" s="8">
        <v>4001</v>
      </c>
      <c r="O225" s="8"/>
      <c r="P225" s="8"/>
      <c r="Q225" s="8"/>
      <c r="R225" s="8"/>
      <c r="S225" s="9"/>
      <c r="T225" s="1"/>
      <c r="U225" s="1"/>
      <c r="V225" s="1"/>
      <c r="W225" s="1"/>
      <c r="X225" s="1"/>
      <c r="Y225" s="1"/>
      <c r="Z225" s="1"/>
    </row>
    <row r="226" spans="1:26" ht="13.5" customHeight="1">
      <c r="A226" s="1"/>
      <c r="B226" s="5">
        <v>2026</v>
      </c>
      <c r="C226" s="6">
        <v>29</v>
      </c>
      <c r="D226" s="7" t="s">
        <v>44</v>
      </c>
      <c r="E226" s="8">
        <v>651088</v>
      </c>
      <c r="F226" s="8">
        <v>517480</v>
      </c>
      <c r="G226" s="8">
        <v>517480</v>
      </c>
      <c r="H226" s="8">
        <v>0</v>
      </c>
      <c r="I226" s="8">
        <v>0</v>
      </c>
      <c r="J226" s="8">
        <v>0</v>
      </c>
      <c r="K226" s="8">
        <v>1508</v>
      </c>
      <c r="L226" s="8">
        <v>129364</v>
      </c>
      <c r="M226" s="8">
        <v>434033</v>
      </c>
      <c r="N226" s="8">
        <v>452929</v>
      </c>
      <c r="O226" s="8"/>
      <c r="P226" s="8"/>
      <c r="Q226" s="8"/>
      <c r="R226" s="8"/>
      <c r="S226" s="9"/>
      <c r="T226" s="1"/>
      <c r="U226" s="1"/>
      <c r="V226" s="1"/>
      <c r="W226" s="1"/>
      <c r="X226" s="1"/>
      <c r="Y226" s="1"/>
      <c r="Z226" s="1"/>
    </row>
    <row r="227" spans="1:26" ht="13.5" customHeight="1">
      <c r="A227" s="1"/>
      <c r="B227" s="5">
        <v>2026</v>
      </c>
      <c r="C227" s="6">
        <v>29</v>
      </c>
      <c r="D227" s="7" t="s">
        <v>45</v>
      </c>
      <c r="E227" s="8">
        <v>667445</v>
      </c>
      <c r="F227" s="8">
        <v>488932</v>
      </c>
      <c r="G227" s="8">
        <v>488932</v>
      </c>
      <c r="H227" s="8">
        <v>0</v>
      </c>
      <c r="I227" s="8">
        <v>0</v>
      </c>
      <c r="J227" s="8">
        <v>0</v>
      </c>
      <c r="K227" s="8">
        <v>13239</v>
      </c>
      <c r="L227" s="8">
        <v>126731</v>
      </c>
      <c r="M227" s="8">
        <v>371354</v>
      </c>
      <c r="N227" s="8">
        <v>409008</v>
      </c>
      <c r="O227" s="8"/>
      <c r="P227" s="8"/>
      <c r="Q227" s="8"/>
      <c r="R227" s="8"/>
      <c r="S227" s="9"/>
      <c r="T227" s="1"/>
      <c r="U227" s="1"/>
      <c r="V227" s="1"/>
      <c r="W227" s="1"/>
      <c r="X227" s="1"/>
      <c r="Y227" s="1"/>
      <c r="Z227" s="1"/>
    </row>
    <row r="228" spans="1:26" ht="13.5" customHeight="1">
      <c r="A228" s="1"/>
      <c r="B228" s="5">
        <v>2026</v>
      </c>
      <c r="C228" s="6">
        <v>29</v>
      </c>
      <c r="D228" s="7" t="s">
        <v>46</v>
      </c>
      <c r="E228" s="8">
        <v>2135157</v>
      </c>
      <c r="F228" s="8">
        <v>2071102</v>
      </c>
      <c r="G228" s="8">
        <v>2071102</v>
      </c>
      <c r="H228" s="8">
        <v>70510</v>
      </c>
      <c r="I228" s="8">
        <v>70510</v>
      </c>
      <c r="J228" s="8">
        <v>77071</v>
      </c>
      <c r="K228" s="8">
        <v>91088</v>
      </c>
      <c r="L228" s="8">
        <v>155966</v>
      </c>
      <c r="M228" s="8">
        <v>155966</v>
      </c>
      <c r="N228" s="8">
        <v>161164</v>
      </c>
      <c r="O228" s="8"/>
      <c r="P228" s="8"/>
      <c r="Q228" s="8"/>
      <c r="R228" s="8"/>
      <c r="S228" s="9"/>
      <c r="T228" s="1"/>
      <c r="U228" s="1"/>
      <c r="V228" s="1"/>
      <c r="W228" s="1"/>
      <c r="X228" s="1"/>
      <c r="Y228" s="1"/>
      <c r="Z228" s="1"/>
    </row>
    <row r="229" spans="1:26" ht="13.5" customHeight="1">
      <c r="A229" s="1"/>
      <c r="B229" s="5">
        <v>2026</v>
      </c>
      <c r="C229" s="6">
        <v>29</v>
      </c>
      <c r="D229" s="7" t="s">
        <v>47</v>
      </c>
      <c r="E229" s="8">
        <v>294239</v>
      </c>
      <c r="F229" s="8">
        <v>292976</v>
      </c>
      <c r="G229" s="8">
        <v>292976</v>
      </c>
      <c r="H229" s="8">
        <v>0</v>
      </c>
      <c r="I229" s="8">
        <v>0</v>
      </c>
      <c r="J229" s="8">
        <v>0</v>
      </c>
      <c r="K229" s="8">
        <v>0</v>
      </c>
      <c r="L229" s="8">
        <v>0</v>
      </c>
      <c r="M229" s="8">
        <v>64950</v>
      </c>
      <c r="N229" s="8">
        <v>127454</v>
      </c>
      <c r="O229" s="8"/>
      <c r="P229" s="8"/>
      <c r="Q229" s="8"/>
      <c r="R229" s="8"/>
      <c r="S229" s="9"/>
      <c r="T229" s="1"/>
      <c r="U229" s="1"/>
      <c r="V229" s="1"/>
      <c r="W229" s="1"/>
      <c r="X229" s="1"/>
      <c r="Y229" s="1"/>
      <c r="Z229" s="1"/>
    </row>
    <row r="230" spans="1:26" ht="13.5" customHeight="1">
      <c r="A230" s="1"/>
      <c r="B230" s="5">
        <v>2026</v>
      </c>
      <c r="C230" s="6">
        <v>29</v>
      </c>
      <c r="D230" s="7" t="s">
        <v>48</v>
      </c>
      <c r="E230" s="8">
        <v>392933</v>
      </c>
      <c r="F230" s="8">
        <v>381145</v>
      </c>
      <c r="G230" s="8">
        <v>381145</v>
      </c>
      <c r="H230" s="8">
        <v>0</v>
      </c>
      <c r="I230" s="8">
        <v>0</v>
      </c>
      <c r="J230" s="8">
        <v>59187</v>
      </c>
      <c r="K230" s="8">
        <v>68554</v>
      </c>
      <c r="L230" s="8">
        <v>87338</v>
      </c>
      <c r="M230" s="8">
        <v>87338</v>
      </c>
      <c r="N230" s="8">
        <v>87338</v>
      </c>
      <c r="O230" s="8"/>
      <c r="P230" s="8"/>
      <c r="Q230" s="8"/>
      <c r="R230" s="8"/>
      <c r="S230" s="9"/>
      <c r="T230" s="1"/>
      <c r="U230" s="1"/>
      <c r="V230" s="1"/>
      <c r="W230" s="1"/>
      <c r="X230" s="1"/>
      <c r="Y230" s="1"/>
      <c r="Z230" s="1"/>
    </row>
    <row r="231" spans="1:26" ht="13.5" customHeight="1">
      <c r="A231" s="1"/>
      <c r="B231" s="5">
        <v>2026</v>
      </c>
      <c r="C231" s="6">
        <v>33</v>
      </c>
      <c r="D231" s="7" t="s">
        <v>43</v>
      </c>
      <c r="E231" s="8">
        <v>0</v>
      </c>
      <c r="F231" s="8">
        <v>0</v>
      </c>
      <c r="G231" s="8">
        <v>0</v>
      </c>
      <c r="H231" s="8">
        <v>0</v>
      </c>
      <c r="I231" s="8">
        <v>0</v>
      </c>
      <c r="J231" s="8">
        <v>0</v>
      </c>
      <c r="K231" s="8">
        <v>0</v>
      </c>
      <c r="L231" s="8">
        <v>0</v>
      </c>
      <c r="M231" s="8">
        <v>0</v>
      </c>
      <c r="N231" s="8">
        <v>0</v>
      </c>
      <c r="O231" s="8"/>
      <c r="P231" s="8"/>
      <c r="Q231" s="8"/>
      <c r="R231" s="8"/>
      <c r="S231" s="9"/>
      <c r="T231" s="1"/>
      <c r="U231" s="1"/>
      <c r="V231" s="1"/>
      <c r="W231" s="1"/>
      <c r="X231" s="1"/>
      <c r="Y231" s="1"/>
      <c r="Z231" s="1"/>
    </row>
    <row r="232" spans="1:26" ht="13.5" customHeight="1">
      <c r="A232" s="1"/>
      <c r="B232" s="5">
        <v>2026</v>
      </c>
      <c r="C232" s="6">
        <v>33</v>
      </c>
      <c r="D232" s="7" t="s">
        <v>44</v>
      </c>
      <c r="E232" s="8">
        <v>0</v>
      </c>
      <c r="F232" s="8">
        <v>0</v>
      </c>
      <c r="G232" s="8">
        <v>0</v>
      </c>
      <c r="H232" s="8">
        <v>0</v>
      </c>
      <c r="I232" s="8">
        <v>0</v>
      </c>
      <c r="J232" s="8">
        <v>0</v>
      </c>
      <c r="K232" s="8">
        <v>0</v>
      </c>
      <c r="L232" s="8">
        <v>0</v>
      </c>
      <c r="M232" s="8">
        <v>0</v>
      </c>
      <c r="N232" s="8">
        <v>0</v>
      </c>
      <c r="O232" s="8"/>
      <c r="P232" s="8"/>
      <c r="Q232" s="8"/>
      <c r="R232" s="8"/>
      <c r="S232" s="9"/>
      <c r="T232" s="1"/>
      <c r="U232" s="1"/>
      <c r="V232" s="1"/>
      <c r="W232" s="1"/>
      <c r="X232" s="1"/>
      <c r="Y232" s="1"/>
      <c r="Z232" s="1"/>
    </row>
    <row r="233" spans="1:26" ht="13.5" customHeight="1">
      <c r="A233" s="1"/>
      <c r="B233" s="5">
        <v>2026</v>
      </c>
      <c r="C233" s="6">
        <v>33</v>
      </c>
      <c r="D233" s="7" t="s">
        <v>45</v>
      </c>
      <c r="E233" s="8">
        <v>0</v>
      </c>
      <c r="F233" s="8">
        <v>0</v>
      </c>
      <c r="G233" s="8">
        <v>0</v>
      </c>
      <c r="H233" s="8">
        <v>0</v>
      </c>
      <c r="I233" s="8">
        <v>0</v>
      </c>
      <c r="J233" s="8">
        <v>0</v>
      </c>
      <c r="K233" s="8">
        <v>0</v>
      </c>
      <c r="L233" s="8">
        <v>0</v>
      </c>
      <c r="M233" s="8">
        <v>0</v>
      </c>
      <c r="N233" s="8">
        <v>0</v>
      </c>
      <c r="O233" s="8"/>
      <c r="P233" s="8"/>
      <c r="Q233" s="8"/>
      <c r="R233" s="8"/>
      <c r="S233" s="9"/>
      <c r="T233" s="1"/>
      <c r="U233" s="1"/>
      <c r="V233" s="1"/>
      <c r="W233" s="1"/>
      <c r="X233" s="1"/>
      <c r="Y233" s="1"/>
      <c r="Z233" s="1"/>
    </row>
    <row r="234" spans="1:26" ht="13.5" customHeight="1">
      <c r="A234" s="1"/>
      <c r="B234" s="5">
        <v>2026</v>
      </c>
      <c r="C234" s="6">
        <v>33</v>
      </c>
      <c r="D234" s="7" t="s">
        <v>46</v>
      </c>
      <c r="E234" s="8">
        <v>0</v>
      </c>
      <c r="F234" s="8">
        <v>0</v>
      </c>
      <c r="G234" s="8">
        <v>0</v>
      </c>
      <c r="H234" s="8">
        <v>0</v>
      </c>
      <c r="I234" s="8">
        <v>0</v>
      </c>
      <c r="J234" s="8">
        <v>0</v>
      </c>
      <c r="K234" s="8">
        <v>0</v>
      </c>
      <c r="L234" s="8">
        <v>0</v>
      </c>
      <c r="M234" s="8">
        <v>0</v>
      </c>
      <c r="N234" s="8">
        <v>0</v>
      </c>
      <c r="O234" s="8"/>
      <c r="P234" s="8"/>
      <c r="Q234" s="8"/>
      <c r="R234" s="8"/>
      <c r="S234" s="9"/>
      <c r="T234" s="1"/>
      <c r="U234" s="1"/>
      <c r="V234" s="1"/>
      <c r="W234" s="1"/>
      <c r="X234" s="1"/>
      <c r="Y234" s="1"/>
      <c r="Z234" s="1"/>
    </row>
    <row r="235" spans="1:26" ht="13.5" customHeight="1">
      <c r="A235" s="1"/>
      <c r="B235" s="5">
        <v>2026</v>
      </c>
      <c r="C235" s="6">
        <v>33</v>
      </c>
      <c r="D235" s="7" t="s">
        <v>47</v>
      </c>
      <c r="E235" s="8">
        <v>0</v>
      </c>
      <c r="F235" s="8">
        <v>0</v>
      </c>
      <c r="G235" s="8">
        <v>0</v>
      </c>
      <c r="H235" s="8">
        <v>0</v>
      </c>
      <c r="I235" s="8">
        <v>0</v>
      </c>
      <c r="J235" s="8">
        <v>0</v>
      </c>
      <c r="K235" s="8">
        <v>0</v>
      </c>
      <c r="L235" s="8">
        <v>0</v>
      </c>
      <c r="M235" s="8">
        <v>0</v>
      </c>
      <c r="N235" s="8">
        <v>0</v>
      </c>
      <c r="O235" s="8"/>
      <c r="P235" s="8"/>
      <c r="Q235" s="8"/>
      <c r="R235" s="8"/>
      <c r="S235" s="9"/>
      <c r="T235" s="1"/>
      <c r="U235" s="1"/>
      <c r="V235" s="1"/>
      <c r="W235" s="1"/>
      <c r="X235" s="1"/>
      <c r="Y235" s="1"/>
      <c r="Z235" s="1"/>
    </row>
    <row r="236" spans="1:26" ht="13.5" customHeight="1">
      <c r="A236" s="1"/>
      <c r="B236" s="24">
        <v>2026</v>
      </c>
      <c r="C236" s="26">
        <v>33</v>
      </c>
      <c r="D236" s="27" t="s">
        <v>48</v>
      </c>
      <c r="E236" s="28">
        <v>0</v>
      </c>
      <c r="F236" s="28">
        <v>0</v>
      </c>
      <c r="G236" s="28">
        <v>0</v>
      </c>
      <c r="H236" s="28">
        <v>0</v>
      </c>
      <c r="I236" s="28">
        <v>0</v>
      </c>
      <c r="J236" s="28">
        <v>0</v>
      </c>
      <c r="K236" s="28">
        <v>0</v>
      </c>
      <c r="L236" s="28">
        <v>0</v>
      </c>
      <c r="M236" s="28">
        <v>0</v>
      </c>
      <c r="N236" s="28">
        <v>0</v>
      </c>
      <c r="O236" s="28"/>
      <c r="P236" s="28"/>
      <c r="Q236" s="28"/>
      <c r="R236" s="28"/>
      <c r="S236" s="29"/>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B2:S236"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Z1000"/>
  <sheetViews>
    <sheetView showGridLines="0" workbookViewId="0">
      <pane xSplit="3" ySplit="11" topLeftCell="D12" activePane="bottomRight" state="frozen"/>
      <selection pane="topRight" activeCell="D1" sqref="D1"/>
      <selection pane="bottomLeft" activeCell="A12" sqref="A12"/>
      <selection pane="bottomRight" activeCell="D12" sqref="D12"/>
    </sheetView>
  </sheetViews>
  <sheetFormatPr baseColWidth="10" defaultColWidth="14.44140625" defaultRowHeight="15" customHeight="1"/>
  <cols>
    <col min="1" max="1" width="8.88671875" style="101" customWidth="1"/>
    <col min="2" max="2" width="12" style="101" customWidth="1"/>
    <col min="3" max="3" width="30" style="101" customWidth="1"/>
    <col min="4" max="5" width="15" style="101" customWidth="1"/>
    <col min="6" max="18" width="11" style="101" customWidth="1"/>
    <col min="19" max="25" width="15" style="101" customWidth="1"/>
    <col min="26" max="26" width="8.88671875" style="101"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47" t="s">
        <v>146</v>
      </c>
      <c r="C2" s="48"/>
      <c r="D2" s="48"/>
      <c r="E2" s="48"/>
      <c r="F2" s="48"/>
      <c r="G2" s="48"/>
      <c r="H2" s="48"/>
      <c r="I2" s="48"/>
      <c r="J2" s="48"/>
      <c r="K2" s="48"/>
      <c r="L2" s="48"/>
      <c r="M2" s="48"/>
      <c r="N2" s="48"/>
      <c r="O2" s="48"/>
      <c r="P2" s="48"/>
      <c r="Q2" s="48"/>
      <c r="R2" s="48"/>
      <c r="S2" s="48"/>
      <c r="T2" s="48"/>
      <c r="U2" s="48"/>
      <c r="V2" s="48"/>
      <c r="W2" s="48"/>
      <c r="X2" s="48"/>
      <c r="Y2" s="48"/>
      <c r="Z2" s="1"/>
    </row>
    <row r="3" spans="1:26" ht="13.5" customHeight="1">
      <c r="A3" s="1"/>
      <c r="B3" s="49"/>
      <c r="C3" s="49"/>
      <c r="D3" s="49"/>
      <c r="E3" s="49"/>
      <c r="F3" s="49"/>
      <c r="G3" s="49"/>
      <c r="H3" s="49"/>
      <c r="I3" s="49"/>
      <c r="J3" s="49"/>
      <c r="K3" s="49"/>
      <c r="L3" s="49"/>
      <c r="M3" s="49"/>
      <c r="N3" s="49"/>
      <c r="O3" s="49"/>
      <c r="P3" s="49"/>
      <c r="Q3" s="49"/>
      <c r="R3" s="49"/>
      <c r="S3" s="49"/>
      <c r="T3" s="49"/>
      <c r="U3" s="49"/>
      <c r="V3" s="49"/>
      <c r="W3" s="49"/>
      <c r="X3" s="49"/>
      <c r="Y3" s="48"/>
      <c r="Z3" s="1"/>
    </row>
    <row r="4" spans="1:26" ht="13.5" customHeight="1">
      <c r="A4" s="1"/>
      <c r="B4" s="50" t="s">
        <v>147</v>
      </c>
      <c r="C4" s="51" t="s">
        <v>148</v>
      </c>
      <c r="D4" s="50"/>
      <c r="E4" s="50" t="s">
        <v>149</v>
      </c>
      <c r="F4" s="50" t="s">
        <v>150</v>
      </c>
      <c r="G4" s="50"/>
      <c r="H4" s="50" t="s">
        <v>151</v>
      </c>
      <c r="I4" s="50" t="s">
        <v>152</v>
      </c>
      <c r="J4" s="48"/>
      <c r="K4" s="48"/>
      <c r="L4" s="48"/>
      <c r="M4" s="48"/>
      <c r="N4" s="48"/>
      <c r="O4" s="48"/>
      <c r="P4" s="48"/>
      <c r="Q4" s="48"/>
      <c r="R4" s="48"/>
      <c r="S4" s="48"/>
      <c r="T4" s="48"/>
      <c r="U4" s="48"/>
      <c r="V4" s="48"/>
      <c r="W4" s="48"/>
      <c r="X4" s="48"/>
      <c r="Y4" s="48"/>
      <c r="Z4" s="1"/>
    </row>
    <row r="5" spans="1:26" ht="13.5" customHeight="1">
      <c r="A5" s="1"/>
      <c r="B5" s="48"/>
      <c r="C5" s="48"/>
      <c r="D5" s="48"/>
      <c r="E5" s="48"/>
      <c r="F5" s="48"/>
      <c r="G5" s="48"/>
      <c r="H5" s="48"/>
      <c r="I5" s="48"/>
      <c r="J5" s="48"/>
      <c r="K5" s="48"/>
      <c r="L5" s="48"/>
      <c r="M5" s="48"/>
      <c r="N5" s="48"/>
      <c r="O5" s="48"/>
      <c r="P5" s="48"/>
      <c r="Q5" s="48"/>
      <c r="R5" s="48"/>
      <c r="S5" s="48"/>
      <c r="T5" s="48"/>
      <c r="U5" s="48"/>
      <c r="V5" s="48"/>
      <c r="W5" s="48"/>
      <c r="X5" s="48"/>
      <c r="Y5" s="48"/>
      <c r="Z5" s="1"/>
    </row>
    <row r="6" spans="1:26" ht="13.5" customHeight="1">
      <c r="A6" s="1"/>
      <c r="B6" s="125" t="s">
        <v>153</v>
      </c>
      <c r="C6" s="105"/>
      <c r="D6" s="125" t="s">
        <v>154</v>
      </c>
      <c r="E6" s="105"/>
      <c r="F6" s="125" t="s">
        <v>155</v>
      </c>
      <c r="G6" s="105"/>
      <c r="H6" s="125" t="s">
        <v>156</v>
      </c>
      <c r="I6" s="105"/>
      <c r="J6" s="48"/>
      <c r="K6" s="48"/>
      <c r="L6" s="48"/>
      <c r="M6" s="48"/>
      <c r="N6" s="48"/>
      <c r="O6" s="48"/>
      <c r="P6" s="48"/>
      <c r="Q6" s="48"/>
      <c r="R6" s="48"/>
      <c r="S6" s="48"/>
      <c r="T6" s="48"/>
      <c r="U6" s="48"/>
      <c r="V6" s="48"/>
      <c r="W6" s="48"/>
      <c r="X6" s="48"/>
      <c r="Y6" s="48"/>
      <c r="Z6" s="1"/>
    </row>
    <row r="7" spans="1:26" ht="13.5" customHeight="1">
      <c r="A7" s="1"/>
      <c r="B7" s="130">
        <f>SUM(D13:D30)</f>
        <v>1238260857</v>
      </c>
      <c r="C7" s="128"/>
      <c r="D7" s="127">
        <f>SUM(Y13:Y30)</f>
        <v>2500254014.392045</v>
      </c>
      <c r="E7" s="128"/>
      <c r="F7" s="135">
        <f>IFERROR(D7/SUM(E13:E30),0)</f>
        <v>0.98324651939885466</v>
      </c>
      <c r="G7" s="128"/>
      <c r="H7" s="132">
        <f>MAX(0,D7-B7)</f>
        <v>1261993157.392045</v>
      </c>
      <c r="I7" s="133"/>
      <c r="J7" s="48"/>
      <c r="K7" s="48"/>
      <c r="L7" s="48"/>
      <c r="M7" s="48"/>
      <c r="N7" s="48"/>
      <c r="O7" s="48"/>
      <c r="P7" s="48"/>
      <c r="Q7" s="48"/>
      <c r="R7" s="48"/>
      <c r="S7" s="48"/>
      <c r="T7" s="48"/>
      <c r="U7" s="48"/>
      <c r="V7" s="48"/>
      <c r="W7" s="48"/>
      <c r="X7" s="48"/>
      <c r="Y7" s="48"/>
      <c r="Z7" s="1"/>
    </row>
    <row r="8" spans="1:26" ht="13.5" customHeight="1">
      <c r="A8" s="1"/>
      <c r="B8" s="131"/>
      <c r="C8" s="129"/>
      <c r="D8" s="129"/>
      <c r="E8" s="129"/>
      <c r="F8" s="129"/>
      <c r="G8" s="129"/>
      <c r="H8" s="129"/>
      <c r="I8" s="134"/>
      <c r="J8" s="48"/>
      <c r="K8" s="48"/>
      <c r="L8" s="48"/>
      <c r="M8" s="48"/>
      <c r="N8" s="48"/>
      <c r="O8" s="48"/>
      <c r="P8" s="48"/>
      <c r="Q8" s="48"/>
      <c r="R8" s="48"/>
      <c r="S8" s="48"/>
      <c r="T8" s="48"/>
      <c r="U8" s="48"/>
      <c r="V8" s="48"/>
      <c r="W8" s="48"/>
      <c r="X8" s="48"/>
      <c r="Y8" s="48"/>
      <c r="Z8" s="1"/>
    </row>
    <row r="9" spans="1:26" ht="13.5" customHeight="1">
      <c r="A9" s="1"/>
      <c r="B9" s="48"/>
      <c r="C9" s="48"/>
      <c r="D9" s="48"/>
      <c r="E9" s="48"/>
      <c r="F9" s="48"/>
      <c r="G9" s="48"/>
      <c r="H9" s="48"/>
      <c r="I9" s="48"/>
      <c r="J9" s="48"/>
      <c r="K9" s="48"/>
      <c r="L9" s="48"/>
      <c r="M9" s="48"/>
      <c r="N9" s="48"/>
      <c r="O9" s="48"/>
      <c r="P9" s="48"/>
      <c r="Q9" s="48"/>
      <c r="R9" s="48"/>
      <c r="S9" s="48"/>
      <c r="T9" s="48"/>
      <c r="U9" s="48"/>
      <c r="V9" s="48"/>
      <c r="W9" s="48"/>
      <c r="X9" s="48"/>
      <c r="Y9" s="48"/>
      <c r="Z9" s="1"/>
    </row>
    <row r="10" spans="1:26" ht="13.5" customHeight="1">
      <c r="A10" s="1"/>
      <c r="B10" s="48"/>
      <c r="C10" s="48"/>
      <c r="D10" s="48"/>
      <c r="E10" s="48"/>
      <c r="F10" s="48"/>
      <c r="G10" s="48"/>
      <c r="H10" s="48"/>
      <c r="I10" s="48"/>
      <c r="J10" s="48"/>
      <c r="K10" s="48"/>
      <c r="L10" s="48"/>
      <c r="M10" s="48"/>
      <c r="N10" s="48"/>
      <c r="O10" s="48"/>
      <c r="P10" s="48"/>
      <c r="Q10" s="48"/>
      <c r="R10" s="48"/>
      <c r="S10" s="48"/>
      <c r="T10" s="48"/>
      <c r="U10" s="48"/>
      <c r="V10" s="48"/>
      <c r="W10" s="48"/>
      <c r="X10" s="48"/>
      <c r="Y10" s="48"/>
      <c r="Z10" s="1"/>
    </row>
    <row r="11" spans="1:26" ht="33.75" customHeight="1">
      <c r="A11" s="1"/>
      <c r="B11" s="55" t="s">
        <v>157</v>
      </c>
      <c r="C11" s="56" t="s">
        <v>17</v>
      </c>
      <c r="D11" s="56" t="s">
        <v>158</v>
      </c>
      <c r="E11" s="56" t="s">
        <v>159</v>
      </c>
      <c r="F11" s="56" t="s">
        <v>160</v>
      </c>
      <c r="G11" s="56" t="s">
        <v>58</v>
      </c>
      <c r="H11" s="56" t="s">
        <v>13</v>
      </c>
      <c r="I11" s="56" t="s">
        <v>14</v>
      </c>
      <c r="J11" s="56" t="s">
        <v>15</v>
      </c>
      <c r="K11" s="56" t="s">
        <v>161</v>
      </c>
      <c r="L11" s="56" t="s">
        <v>162</v>
      </c>
      <c r="M11" s="56" t="s">
        <v>163</v>
      </c>
      <c r="N11" s="56" t="s">
        <v>164</v>
      </c>
      <c r="O11" s="56" t="s">
        <v>58</v>
      </c>
      <c r="P11" s="56" t="s">
        <v>13</v>
      </c>
      <c r="Q11" s="56" t="s">
        <v>14</v>
      </c>
      <c r="R11" s="56" t="s">
        <v>15</v>
      </c>
      <c r="S11" s="56" t="s">
        <v>161</v>
      </c>
      <c r="T11" s="56" t="s">
        <v>165</v>
      </c>
      <c r="U11" s="56" t="s">
        <v>166</v>
      </c>
      <c r="V11" s="56" t="s">
        <v>167</v>
      </c>
      <c r="W11" s="56" t="s">
        <v>148</v>
      </c>
      <c r="X11" s="56" t="s">
        <v>168</v>
      </c>
      <c r="Y11" s="58" t="s">
        <v>169</v>
      </c>
      <c r="Z11" s="1"/>
    </row>
    <row r="12" spans="1:26" ht="13.5" customHeight="1">
      <c r="A12" s="1"/>
      <c r="B12" s="59"/>
      <c r="C12" s="60"/>
      <c r="D12" s="60"/>
      <c r="E12" s="60"/>
      <c r="F12" s="60"/>
      <c r="G12" s="60"/>
      <c r="H12" s="60"/>
      <c r="I12" s="60"/>
      <c r="J12" s="60"/>
      <c r="K12" s="60"/>
      <c r="L12" s="60"/>
      <c r="M12" s="60"/>
      <c r="N12" s="60"/>
      <c r="O12" s="60"/>
      <c r="P12" s="60"/>
      <c r="Q12" s="60"/>
      <c r="R12" s="60"/>
      <c r="S12" s="60"/>
      <c r="T12" s="60"/>
      <c r="U12" s="60"/>
      <c r="V12" s="60"/>
      <c r="W12" s="60"/>
      <c r="X12" s="60"/>
      <c r="Y12" s="61"/>
      <c r="Z12" s="1"/>
    </row>
    <row r="13" spans="1:26" ht="13.5" customHeight="1">
      <c r="A13" s="1"/>
      <c r="B13" s="62">
        <v>31</v>
      </c>
      <c r="C13" s="63" t="s">
        <v>43</v>
      </c>
      <c r="D13" s="65">
        <f>'Datos históricos'!N219</f>
        <v>909487841</v>
      </c>
      <c r="E13" s="65">
        <f>'Datos históricos'!F219</f>
        <v>1801311962</v>
      </c>
      <c r="F13" s="67">
        <f>IFERROR('Datos históricos'!N129/'Datos históricos'!S129,0)</f>
        <v>0.51363785777295001</v>
      </c>
      <c r="G13" s="67">
        <f>IFERROR('Datos históricos'!N147/'Datos históricos'!S147,0)</f>
        <v>0.42436866534779699</v>
      </c>
      <c r="H13" s="67">
        <f>IFERROR('Datos históricos'!N165/'Datos históricos'!S165,0)</f>
        <v>0.45405813941818463</v>
      </c>
      <c r="I13" s="67">
        <f>IFERROR('Datos históricos'!N183/'Datos históricos'!S183,0)</f>
        <v>0.53399364453907339</v>
      </c>
      <c r="J13" s="67">
        <f>IFERROR('Datos históricos'!N201/'Datos históricos'!S201,0)</f>
        <v>0.56905763182033064</v>
      </c>
      <c r="K13" s="67">
        <f t="shared" ref="K13:K30" si="0">MEDIAN(F13:J13)</f>
        <v>0.51363785777295001</v>
      </c>
      <c r="L13" s="67">
        <f t="shared" ref="L13:L30" si="1">MAX(F13:J13)</f>
        <v>0.56905763182033064</v>
      </c>
      <c r="M13" s="67">
        <f t="shared" ref="M13:M30" si="2">MIN(F13:J13)</f>
        <v>0.42436866534779699</v>
      </c>
      <c r="N13" s="67">
        <f>IFERROR('Datos históricos'!S129/'Datos históricos'!G129,0)</f>
        <v>0.87285360102058851</v>
      </c>
      <c r="O13" s="67">
        <f>IFERROR('Datos históricos'!S147/'Datos históricos'!G147,0)</f>
        <v>0.98769142196851145</v>
      </c>
      <c r="P13" s="67">
        <f>IFERROR('Datos históricos'!S165/'Datos históricos'!G165,0)</f>
        <v>0.99293123455199661</v>
      </c>
      <c r="Q13" s="67">
        <f>IFERROR('Datos históricos'!S183/'Datos históricos'!G183,0)</f>
        <v>0.99683400490927399</v>
      </c>
      <c r="R13" s="67">
        <f>IFERROR('Datos históricos'!S201/'Datos históricos'!G201,0)</f>
        <v>0.98531438869488408</v>
      </c>
      <c r="S13" s="68">
        <f t="shared" ref="S13:S30" si="3">MEDIAN(N13:R13)</f>
        <v>0.98769142196851145</v>
      </c>
      <c r="T13" s="69">
        <f t="shared" ref="T13:T30" si="4">IFERROR(D13/K13,0)</f>
        <v>1770679141.4156873</v>
      </c>
      <c r="U13" s="69">
        <f t="shared" ref="U13:U30" si="5">E13*S13</f>
        <v>1779140373.1566694</v>
      </c>
      <c r="V13" s="69">
        <f t="shared" ref="V13:V30" si="6">MAX(D13,W13*90%)</f>
        <v>1597418781.5575604</v>
      </c>
      <c r="W13" s="69">
        <f t="shared" ref="W13:W30" si="7">MAX(D13,AVERAGE(T13:U13))</f>
        <v>1774909757.2861784</v>
      </c>
      <c r="X13" s="69">
        <f t="shared" ref="X13:X30" si="8">MAX(D13,W13*110%)</f>
        <v>1952400733.0147963</v>
      </c>
      <c r="Y13" s="70">
        <f t="shared" ref="Y13:Y30" si="9">IF($C$4="Conservador",V13,IF($C$4="Optimista",X13,W13))</f>
        <v>1774909757.2861784</v>
      </c>
      <c r="Z13" s="1"/>
    </row>
    <row r="14" spans="1:26" ht="13.5" customHeight="1">
      <c r="A14" s="1"/>
      <c r="B14" s="62">
        <v>31</v>
      </c>
      <c r="C14" s="63" t="s">
        <v>44</v>
      </c>
      <c r="D14" s="65">
        <f>'Datos históricos'!N220</f>
        <v>73650703</v>
      </c>
      <c r="E14" s="65">
        <f>'Datos históricos'!F220</f>
        <v>202307917</v>
      </c>
      <c r="F14" s="67">
        <f>IFERROR('Datos históricos'!N130/'Datos históricos'!S130,0)</f>
        <v>0.41615538253160167</v>
      </c>
      <c r="G14" s="67">
        <f>IFERROR('Datos históricos'!N148/'Datos históricos'!S148,0)</f>
        <v>0.31534762303140723</v>
      </c>
      <c r="H14" s="67">
        <f>IFERROR('Datos históricos'!N166/'Datos históricos'!S166,0)</f>
        <v>0.40507098920604029</v>
      </c>
      <c r="I14" s="67">
        <f>IFERROR('Datos históricos'!N184/'Datos históricos'!S184,0)</f>
        <v>0.56036504265781784</v>
      </c>
      <c r="J14" s="67">
        <f>IFERROR('Datos históricos'!N202/'Datos históricos'!S202,0)</f>
        <v>0.43078824519950376</v>
      </c>
      <c r="K14" s="67">
        <f t="shared" si="0"/>
        <v>0.41615538253160167</v>
      </c>
      <c r="L14" s="67">
        <f t="shared" si="1"/>
        <v>0.56036504265781784</v>
      </c>
      <c r="M14" s="67">
        <f t="shared" si="2"/>
        <v>0.31534762303140723</v>
      </c>
      <c r="N14" s="67">
        <f>IFERROR('Datos históricos'!S130/'Datos históricos'!G130,0)</f>
        <v>0.92702677813304402</v>
      </c>
      <c r="O14" s="67">
        <f>IFERROR('Datos históricos'!S148/'Datos históricos'!G148,0)</f>
        <v>0.99092592107752731</v>
      </c>
      <c r="P14" s="67">
        <f>IFERROR('Datos históricos'!S166/'Datos históricos'!G166,0)</f>
        <v>0.98615251558096828</v>
      </c>
      <c r="Q14" s="67">
        <f>IFERROR('Datos históricos'!S184/'Datos históricos'!G184,0)</f>
        <v>0.99829139300955294</v>
      </c>
      <c r="R14" s="67">
        <f>IFERROR('Datos históricos'!S202/'Datos históricos'!G202,0)</f>
        <v>0.988536024021339</v>
      </c>
      <c r="S14" s="68">
        <f t="shared" si="3"/>
        <v>0.988536024021339</v>
      </c>
      <c r="T14" s="69">
        <f t="shared" si="4"/>
        <v>176978854.75362599</v>
      </c>
      <c r="U14" s="69">
        <f t="shared" si="5"/>
        <v>199988663.89921907</v>
      </c>
      <c r="V14" s="69">
        <f t="shared" si="6"/>
        <v>169635383.39378026</v>
      </c>
      <c r="W14" s="69">
        <f t="shared" si="7"/>
        <v>188483759.32642251</v>
      </c>
      <c r="X14" s="69">
        <f t="shared" si="8"/>
        <v>207332135.25906479</v>
      </c>
      <c r="Y14" s="70">
        <f t="shared" si="9"/>
        <v>188483759.32642251</v>
      </c>
      <c r="Z14" s="1"/>
    </row>
    <row r="15" spans="1:26" ht="13.5" customHeight="1">
      <c r="A15" s="1"/>
      <c r="B15" s="62">
        <v>31</v>
      </c>
      <c r="C15" s="63" t="s">
        <v>45</v>
      </c>
      <c r="D15" s="65">
        <f>'Datos históricos'!N221</f>
        <v>119758712</v>
      </c>
      <c r="E15" s="65">
        <f>'Datos históricos'!F221</f>
        <v>273410383</v>
      </c>
      <c r="F15" s="67">
        <f>IFERROR('Datos históricos'!N131/'Datos históricos'!S131,0)</f>
        <v>0.4839617165922836</v>
      </c>
      <c r="G15" s="67">
        <f>IFERROR('Datos históricos'!N149/'Datos históricos'!S149,0)</f>
        <v>0.37646920431472042</v>
      </c>
      <c r="H15" s="67">
        <f>IFERROR('Datos históricos'!N167/'Datos históricos'!S167,0)</f>
        <v>0.42110692653826848</v>
      </c>
      <c r="I15" s="67">
        <f>IFERROR('Datos históricos'!N185/'Datos históricos'!S185,0)</f>
        <v>0.47926731495171615</v>
      </c>
      <c r="J15" s="67">
        <f>IFERROR('Datos históricos'!N203/'Datos históricos'!S203,0)</f>
        <v>0.47464899389294601</v>
      </c>
      <c r="K15" s="67">
        <f t="shared" si="0"/>
        <v>0.47464899389294601</v>
      </c>
      <c r="L15" s="67">
        <f t="shared" si="1"/>
        <v>0.4839617165922836</v>
      </c>
      <c r="M15" s="67">
        <f t="shared" si="2"/>
        <v>0.37646920431472042</v>
      </c>
      <c r="N15" s="67">
        <f>IFERROR('Datos históricos'!S131/'Datos históricos'!G131,0)</f>
        <v>0.85003226263260201</v>
      </c>
      <c r="O15" s="67">
        <f>IFERROR('Datos históricos'!S149/'Datos históricos'!G149,0)</f>
        <v>0.98235091338675395</v>
      </c>
      <c r="P15" s="67">
        <f>IFERROR('Datos históricos'!S167/'Datos históricos'!G167,0)</f>
        <v>0.9782142883756173</v>
      </c>
      <c r="Q15" s="67">
        <f>IFERROR('Datos históricos'!S185/'Datos históricos'!G185,0)</f>
        <v>0.98730924162698375</v>
      </c>
      <c r="R15" s="67">
        <f>IFERROR('Datos históricos'!S203/'Datos históricos'!G203,0)</f>
        <v>0.9889337051514725</v>
      </c>
      <c r="S15" s="68">
        <f t="shared" si="3"/>
        <v>0.98235091338675395</v>
      </c>
      <c r="T15" s="69">
        <f t="shared" si="4"/>
        <v>252310051.30290195</v>
      </c>
      <c r="U15" s="69">
        <f t="shared" si="5"/>
        <v>268584939.46947223</v>
      </c>
      <c r="V15" s="69">
        <f t="shared" si="6"/>
        <v>234402745.84756836</v>
      </c>
      <c r="W15" s="69">
        <f t="shared" si="7"/>
        <v>260447495.38618708</v>
      </c>
      <c r="X15" s="69">
        <f t="shared" si="8"/>
        <v>286492244.92480582</v>
      </c>
      <c r="Y15" s="70">
        <f t="shared" si="9"/>
        <v>260447495.38618708</v>
      </c>
      <c r="Z15" s="1"/>
    </row>
    <row r="16" spans="1:26" ht="13.5" customHeight="1">
      <c r="A16" s="1"/>
      <c r="B16" s="62">
        <v>31</v>
      </c>
      <c r="C16" s="63" t="s">
        <v>46</v>
      </c>
      <c r="D16" s="65">
        <f>'Datos históricos'!N222</f>
        <v>65221155</v>
      </c>
      <c r="E16" s="65">
        <f>'Datos históricos'!F222</f>
        <v>106612399</v>
      </c>
      <c r="F16" s="67">
        <f>IFERROR('Datos históricos'!N132/'Datos históricos'!S132,0)</f>
        <v>0.5001978175534455</v>
      </c>
      <c r="G16" s="67">
        <f>IFERROR('Datos históricos'!N150/'Datos históricos'!S150,0)</f>
        <v>0.46998546186374907</v>
      </c>
      <c r="H16" s="67">
        <f>IFERROR('Datos históricos'!N168/'Datos históricos'!S168,0)</f>
        <v>0.4862814902750639</v>
      </c>
      <c r="I16" s="67">
        <f>IFERROR('Datos históricos'!N186/'Datos históricos'!S186,0)</f>
        <v>0.54699063642240586</v>
      </c>
      <c r="J16" s="67">
        <f>IFERROR('Datos históricos'!N204/'Datos históricos'!S204,0)</f>
        <v>0.51843125550643865</v>
      </c>
      <c r="K16" s="67">
        <f t="shared" si="0"/>
        <v>0.5001978175534455</v>
      </c>
      <c r="L16" s="67">
        <f t="shared" si="1"/>
        <v>0.54699063642240586</v>
      </c>
      <c r="M16" s="67">
        <f t="shared" si="2"/>
        <v>0.46998546186374907</v>
      </c>
      <c r="N16" s="67">
        <f>IFERROR('Datos históricos'!S132/'Datos históricos'!G132,0)</f>
        <v>0.99565204094408277</v>
      </c>
      <c r="O16" s="67">
        <f>IFERROR('Datos históricos'!S150/'Datos históricos'!G150,0)</f>
        <v>0.98104390313946188</v>
      </c>
      <c r="P16" s="67">
        <f>IFERROR('Datos históricos'!S168/'Datos históricos'!G168,0)</f>
        <v>0.99527503697318254</v>
      </c>
      <c r="Q16" s="67">
        <f>IFERROR('Datos históricos'!S186/'Datos históricos'!G186,0)</f>
        <v>0.99429250319388562</v>
      </c>
      <c r="R16" s="67">
        <f>IFERROR('Datos históricos'!S204/'Datos históricos'!G204,0)</f>
        <v>0.98463921198295556</v>
      </c>
      <c r="S16" s="68">
        <f t="shared" si="3"/>
        <v>0.99429250319388562</v>
      </c>
      <c r="T16" s="69">
        <f t="shared" si="4"/>
        <v>130390722.85242668</v>
      </c>
      <c r="U16" s="69">
        <f t="shared" si="5"/>
        <v>106003909.07321531</v>
      </c>
      <c r="V16" s="69">
        <f t="shared" si="6"/>
        <v>106377584.3665389</v>
      </c>
      <c r="W16" s="69">
        <f t="shared" si="7"/>
        <v>118197315.96282099</v>
      </c>
      <c r="X16" s="69">
        <f t="shared" si="8"/>
        <v>130017047.5591031</v>
      </c>
      <c r="Y16" s="70">
        <f t="shared" si="9"/>
        <v>118197315.96282099</v>
      </c>
      <c r="Z16" s="1"/>
    </row>
    <row r="17" spans="1:26" ht="13.5" customHeight="1">
      <c r="A17" s="1"/>
      <c r="B17" s="62">
        <v>31</v>
      </c>
      <c r="C17" s="63" t="s">
        <v>47</v>
      </c>
      <c r="D17" s="65">
        <f>'Datos históricos'!N223</f>
        <v>55356746</v>
      </c>
      <c r="E17" s="65">
        <f>'Datos históricos'!F223</f>
        <v>124345173</v>
      </c>
      <c r="F17" s="67">
        <f>IFERROR('Datos históricos'!N133/'Datos históricos'!S133,0)</f>
        <v>0.73965293839645951</v>
      </c>
      <c r="G17" s="67">
        <f>IFERROR('Datos históricos'!N151/'Datos históricos'!S151,0)</f>
        <v>0.18501163791941544</v>
      </c>
      <c r="H17" s="67">
        <f>IFERROR('Datos históricos'!N169/'Datos históricos'!S169,0)</f>
        <v>0.41196340252435065</v>
      </c>
      <c r="I17" s="67">
        <f>IFERROR('Datos históricos'!N187/'Datos históricos'!S187,0)</f>
        <v>0.54935585734587133</v>
      </c>
      <c r="J17" s="67">
        <f>IFERROR('Datos históricos'!N205/'Datos históricos'!S205,0)</f>
        <v>0.52200790870490144</v>
      </c>
      <c r="K17" s="67">
        <f t="shared" si="0"/>
        <v>0.52200790870490144</v>
      </c>
      <c r="L17" s="67">
        <f t="shared" si="1"/>
        <v>0.73965293839645951</v>
      </c>
      <c r="M17" s="67">
        <f t="shared" si="2"/>
        <v>0.18501163791941544</v>
      </c>
      <c r="N17" s="67">
        <f>IFERROR('Datos históricos'!S133/'Datos históricos'!G133,0)</f>
        <v>0.99169089466152782</v>
      </c>
      <c r="O17" s="67">
        <f>IFERROR('Datos históricos'!S151/'Datos históricos'!G151,0)</f>
        <v>0.98935531338552585</v>
      </c>
      <c r="P17" s="67">
        <f>IFERROR('Datos históricos'!S169/'Datos históricos'!G169,0)</f>
        <v>0.991572308819058</v>
      </c>
      <c r="Q17" s="67">
        <f>IFERROR('Datos históricos'!S187/'Datos históricos'!G187,0)</f>
        <v>0.99947567198297793</v>
      </c>
      <c r="R17" s="67">
        <f>IFERROR('Datos históricos'!S205/'Datos históricos'!G205,0)</f>
        <v>0.99745935936513708</v>
      </c>
      <c r="S17" s="68">
        <f t="shared" si="3"/>
        <v>0.99169089466152782</v>
      </c>
      <c r="T17" s="69">
        <f t="shared" si="4"/>
        <v>106045799.45414957</v>
      </c>
      <c r="U17" s="69">
        <f t="shared" si="5"/>
        <v>123311975.85921246</v>
      </c>
      <c r="V17" s="69">
        <f t="shared" si="6"/>
        <v>103210998.89101292</v>
      </c>
      <c r="W17" s="69">
        <f t="shared" si="7"/>
        <v>114678887.65668102</v>
      </c>
      <c r="X17" s="69">
        <f t="shared" si="8"/>
        <v>126146776.42234913</v>
      </c>
      <c r="Y17" s="70">
        <f t="shared" si="9"/>
        <v>114678887.65668102</v>
      </c>
      <c r="Z17" s="1"/>
    </row>
    <row r="18" spans="1:26" ht="13.5" customHeight="1">
      <c r="A18" s="1"/>
      <c r="B18" s="62">
        <v>31</v>
      </c>
      <c r="C18" s="63" t="s">
        <v>48</v>
      </c>
      <c r="D18" s="65">
        <f>'Datos históricos'!N224</f>
        <v>13543806</v>
      </c>
      <c r="E18" s="65">
        <f>'Datos históricos'!F224</f>
        <v>29565163</v>
      </c>
      <c r="F18" s="67">
        <f>IFERROR('Datos históricos'!N134/'Datos históricos'!S134,0)</f>
        <v>0.29193353351558043</v>
      </c>
      <c r="G18" s="67">
        <f>IFERROR('Datos históricos'!N152/'Datos históricos'!S152,0)</f>
        <v>0.28217977589099397</v>
      </c>
      <c r="H18" s="67">
        <f>IFERROR('Datos históricos'!N170/'Datos históricos'!S170,0)</f>
        <v>0.29767167810191875</v>
      </c>
      <c r="I18" s="67">
        <f>IFERROR('Datos históricos'!N188/'Datos históricos'!S188,0)</f>
        <v>0.38903139984705587</v>
      </c>
      <c r="J18" s="67">
        <f>IFERROR('Datos históricos'!N206/'Datos históricos'!S206,0)</f>
        <v>0.45882861160184163</v>
      </c>
      <c r="K18" s="67">
        <f t="shared" si="0"/>
        <v>0.29767167810191875</v>
      </c>
      <c r="L18" s="67">
        <f t="shared" si="1"/>
        <v>0.45882861160184163</v>
      </c>
      <c r="M18" s="67">
        <f t="shared" si="2"/>
        <v>0.28217977589099397</v>
      </c>
      <c r="N18" s="67">
        <f>IFERROR('Datos históricos'!S134/'Datos históricos'!G134,0)</f>
        <v>0.48526224741811147</v>
      </c>
      <c r="O18" s="67">
        <f>IFERROR('Datos históricos'!S152/'Datos históricos'!G152,0)</f>
        <v>0.94173160622911156</v>
      </c>
      <c r="P18" s="67">
        <f>IFERROR('Datos históricos'!S170/'Datos históricos'!G170,0)</f>
        <v>0.98383084620705508</v>
      </c>
      <c r="Q18" s="67">
        <f>IFERROR('Datos históricos'!S188/'Datos históricos'!G188,0)</f>
        <v>0.99517589758454084</v>
      </c>
      <c r="R18" s="67">
        <f>IFERROR('Datos históricos'!S206/'Datos históricos'!G206,0)</f>
        <v>0.86720461437678953</v>
      </c>
      <c r="S18" s="68">
        <f t="shared" si="3"/>
        <v>0.94173160622911156</v>
      </c>
      <c r="T18" s="69">
        <f t="shared" si="4"/>
        <v>45499142.163477123</v>
      </c>
      <c r="U18" s="69">
        <f t="shared" si="5"/>
        <v>27842448.440415498</v>
      </c>
      <c r="V18" s="69">
        <f t="shared" si="6"/>
        <v>33003715.771751683</v>
      </c>
      <c r="W18" s="69">
        <f t="shared" si="7"/>
        <v>36670795.301946312</v>
      </c>
      <c r="X18" s="69">
        <f t="shared" si="8"/>
        <v>40337874.832140945</v>
      </c>
      <c r="Y18" s="70">
        <f t="shared" si="9"/>
        <v>36670795.301946312</v>
      </c>
      <c r="Z18" s="1"/>
    </row>
    <row r="19" spans="1:26" ht="13.5" customHeight="1">
      <c r="A19" s="1"/>
      <c r="B19" s="62">
        <v>29</v>
      </c>
      <c r="C19" s="63" t="s">
        <v>43</v>
      </c>
      <c r="D19" s="65">
        <f>'Datos históricos'!N225</f>
        <v>4001</v>
      </c>
      <c r="E19" s="65">
        <f>'Datos históricos'!F225</f>
        <v>1551066</v>
      </c>
      <c r="F19" s="67">
        <f>IFERROR('Datos históricos'!N135/'Datos históricos'!S135,0)</f>
        <v>0.45501186365670654</v>
      </c>
      <c r="G19" s="67">
        <f>IFERROR('Datos históricos'!N153/'Datos históricos'!S153,0)</f>
        <v>1.3263954487350373E-2</v>
      </c>
      <c r="H19" s="67">
        <f>IFERROR('Datos históricos'!N171/'Datos históricos'!S171,0)</f>
        <v>3.4396418052352405E-2</v>
      </c>
      <c r="I19" s="67">
        <f>IFERROR('Datos históricos'!N189/'Datos históricos'!S189,0)</f>
        <v>3.320798380098351E-3</v>
      </c>
      <c r="J19" s="67">
        <f>IFERROR('Datos históricos'!N207/'Datos históricos'!S207,0)</f>
        <v>3.1279258200573529E-3</v>
      </c>
      <c r="K19" s="67">
        <f t="shared" si="0"/>
        <v>1.3263954487350373E-2</v>
      </c>
      <c r="L19" s="67">
        <f t="shared" si="1"/>
        <v>0.45501186365670654</v>
      </c>
      <c r="M19" s="67">
        <f t="shared" si="2"/>
        <v>3.1279258200573529E-3</v>
      </c>
      <c r="N19" s="67">
        <f>IFERROR('Datos históricos'!S135/'Datos históricos'!G135,0)</f>
        <v>0.99592729768824806</v>
      </c>
      <c r="O19" s="67">
        <f>IFERROR('Datos históricos'!S153/'Datos históricos'!G153,0)</f>
        <v>0.99447884065337067</v>
      </c>
      <c r="P19" s="67">
        <f>IFERROR('Datos históricos'!S171/'Datos históricos'!G171,0)</f>
        <v>0.98636243622122788</v>
      </c>
      <c r="Q19" s="67">
        <f>IFERROR('Datos históricos'!S189/'Datos históricos'!G189,0)</f>
        <v>0.98913951619080154</v>
      </c>
      <c r="R19" s="67">
        <f>IFERROR('Datos históricos'!S207/'Datos históricos'!G207,0)</f>
        <v>0.9684124273280087</v>
      </c>
      <c r="S19" s="68">
        <f t="shared" si="3"/>
        <v>0.98913951619080154</v>
      </c>
      <c r="T19" s="69">
        <f t="shared" si="4"/>
        <v>301644.58147196536</v>
      </c>
      <c r="U19" s="69">
        <f t="shared" si="5"/>
        <v>1534220.6728200018</v>
      </c>
      <c r="V19" s="69">
        <f t="shared" si="6"/>
        <v>826139.3644313853</v>
      </c>
      <c r="W19" s="69">
        <f t="shared" si="7"/>
        <v>917932.62714598363</v>
      </c>
      <c r="X19" s="69">
        <f t="shared" si="8"/>
        <v>1009725.8898605821</v>
      </c>
      <c r="Y19" s="70">
        <f t="shared" si="9"/>
        <v>917932.62714598363</v>
      </c>
      <c r="Z19" s="1"/>
    </row>
    <row r="20" spans="1:26" ht="13.5" customHeight="1">
      <c r="A20" s="1"/>
      <c r="B20" s="62">
        <v>29</v>
      </c>
      <c r="C20" s="63" t="s">
        <v>44</v>
      </c>
      <c r="D20" s="65">
        <f>'Datos históricos'!N226</f>
        <v>452929</v>
      </c>
      <c r="E20" s="65">
        <f>'Datos históricos'!F226</f>
        <v>517480</v>
      </c>
      <c r="F20" s="67">
        <f>IFERROR('Datos históricos'!N136/'Datos históricos'!S136,0)</f>
        <v>1.2647542824011572E-3</v>
      </c>
      <c r="G20" s="67">
        <f>IFERROR('Datos históricos'!N154/'Datos históricos'!S154,0)</f>
        <v>1.9127139476986302E-2</v>
      </c>
      <c r="H20" s="67">
        <f>IFERROR('Datos históricos'!N172/'Datos históricos'!S172,0)</f>
        <v>0.16480058264438496</v>
      </c>
      <c r="I20" s="67">
        <f>IFERROR('Datos históricos'!N190/'Datos históricos'!S190,0)</f>
        <v>0.39934838362691627</v>
      </c>
      <c r="J20" s="67">
        <f>IFERROR('Datos históricos'!N208/'Datos históricos'!S208,0)</f>
        <v>0.26247092727721633</v>
      </c>
      <c r="K20" s="67">
        <f t="shared" si="0"/>
        <v>0.16480058264438496</v>
      </c>
      <c r="L20" s="67">
        <f t="shared" si="1"/>
        <v>0.39934838362691627</v>
      </c>
      <c r="M20" s="67">
        <f t="shared" si="2"/>
        <v>1.2647542824011572E-3</v>
      </c>
      <c r="N20" s="67">
        <f>IFERROR('Datos históricos'!S136/'Datos históricos'!G136,0)</f>
        <v>0.99295177433260573</v>
      </c>
      <c r="O20" s="67">
        <f>IFERROR('Datos históricos'!S154/'Datos históricos'!G154,0)</f>
        <v>0.96364428616319264</v>
      </c>
      <c r="P20" s="67">
        <f>IFERROR('Datos históricos'!S172/'Datos históricos'!G172,0)</f>
        <v>0.9718290922690338</v>
      </c>
      <c r="Q20" s="67">
        <f>IFERROR('Datos históricos'!S190/'Datos históricos'!G190,0)</f>
        <v>0.98499385963184061</v>
      </c>
      <c r="R20" s="67">
        <f>IFERROR('Datos históricos'!S208/'Datos históricos'!G208,0)</f>
        <v>0.97119546381449029</v>
      </c>
      <c r="S20" s="68">
        <f t="shared" si="3"/>
        <v>0.9718290922690338</v>
      </c>
      <c r="T20" s="69">
        <f t="shared" si="4"/>
        <v>2748345.8658477752</v>
      </c>
      <c r="U20" s="69">
        <f t="shared" si="5"/>
        <v>502902.1186673796</v>
      </c>
      <c r="V20" s="69">
        <f t="shared" si="6"/>
        <v>1463061.5930318197</v>
      </c>
      <c r="W20" s="69">
        <f t="shared" si="7"/>
        <v>1625623.9922575774</v>
      </c>
      <c r="X20" s="69">
        <f t="shared" si="8"/>
        <v>1788186.3914833353</v>
      </c>
      <c r="Y20" s="70">
        <f t="shared" si="9"/>
        <v>1625623.9922575774</v>
      </c>
      <c r="Z20" s="1"/>
    </row>
    <row r="21" spans="1:26" ht="13.5" customHeight="1">
      <c r="A21" s="1"/>
      <c r="B21" s="62">
        <v>29</v>
      </c>
      <c r="C21" s="63" t="s">
        <v>45</v>
      </c>
      <c r="D21" s="65">
        <f>'Datos históricos'!N227</f>
        <v>409008</v>
      </c>
      <c r="E21" s="65">
        <f>'Datos históricos'!F227</f>
        <v>488932</v>
      </c>
      <c r="F21" s="67">
        <f>IFERROR('Datos históricos'!N137/'Datos históricos'!S137,0)</f>
        <v>5.5126660883349665E-2</v>
      </c>
      <c r="G21" s="67">
        <f>IFERROR('Datos históricos'!N155/'Datos históricos'!S155,0)</f>
        <v>2.2938953943112746E-2</v>
      </c>
      <c r="H21" s="67">
        <f>IFERROR('Datos históricos'!N173/'Datos históricos'!S173,0)</f>
        <v>0.44449867483939925</v>
      </c>
      <c r="I21" s="67">
        <f>IFERROR('Datos históricos'!N191/'Datos históricos'!S191,0)</f>
        <v>0.55058027694702372</v>
      </c>
      <c r="J21" s="67">
        <f>IFERROR('Datos históricos'!N209/'Datos históricos'!S209,0)</f>
        <v>0.11066457736508717</v>
      </c>
      <c r="K21" s="67">
        <f t="shared" si="0"/>
        <v>0.11066457736508717</v>
      </c>
      <c r="L21" s="67">
        <f t="shared" si="1"/>
        <v>0.55058027694702372</v>
      </c>
      <c r="M21" s="67">
        <f t="shared" si="2"/>
        <v>2.2938953943112746E-2</v>
      </c>
      <c r="N21" s="67">
        <f>IFERROR('Datos históricos'!S137/'Datos históricos'!G137,0)</f>
        <v>0.99865376105505244</v>
      </c>
      <c r="O21" s="67">
        <f>IFERROR('Datos históricos'!S155/'Datos históricos'!G155,0)</f>
        <v>0.72478721002801794</v>
      </c>
      <c r="P21" s="67">
        <f>IFERROR('Datos históricos'!S173/'Datos históricos'!G173,0)</f>
        <v>0.8559998506222517</v>
      </c>
      <c r="Q21" s="67">
        <f>IFERROR('Datos históricos'!S191/'Datos históricos'!G191,0)</f>
        <v>0.96351697206746068</v>
      </c>
      <c r="R21" s="67">
        <f>IFERROR('Datos históricos'!S209/'Datos históricos'!G209,0)</f>
        <v>0.99304058407939755</v>
      </c>
      <c r="S21" s="68">
        <f t="shared" si="3"/>
        <v>0.96351697206746068</v>
      </c>
      <c r="T21" s="69">
        <f t="shared" si="4"/>
        <v>3695925.1979128346</v>
      </c>
      <c r="U21" s="69">
        <f t="shared" si="5"/>
        <v>471094.28018688766</v>
      </c>
      <c r="V21" s="69">
        <f t="shared" si="6"/>
        <v>1875158.765144875</v>
      </c>
      <c r="W21" s="69">
        <f t="shared" si="7"/>
        <v>2083509.7390498612</v>
      </c>
      <c r="X21" s="69">
        <f t="shared" si="8"/>
        <v>2291860.7129548476</v>
      </c>
      <c r="Y21" s="70">
        <f t="shared" si="9"/>
        <v>2083509.7390498612</v>
      </c>
      <c r="Z21" s="1"/>
    </row>
    <row r="22" spans="1:26" ht="13.5" customHeight="1">
      <c r="A22" s="1"/>
      <c r="B22" s="62">
        <v>29</v>
      </c>
      <c r="C22" s="63" t="s">
        <v>46</v>
      </c>
      <c r="D22" s="65">
        <f>'Datos históricos'!N228</f>
        <v>161164</v>
      </c>
      <c r="E22" s="65">
        <f>'Datos históricos'!F228</f>
        <v>2071102</v>
      </c>
      <c r="F22" s="67">
        <f>IFERROR('Datos históricos'!N138/'Datos históricos'!S138,0)</f>
        <v>0.90484177338928251</v>
      </c>
      <c r="G22" s="67">
        <f>IFERROR('Datos históricos'!N156/'Datos históricos'!S156,0)</f>
        <v>2.54321735491523E-5</v>
      </c>
      <c r="H22" s="67">
        <f>IFERROR('Datos históricos'!N174/'Datos históricos'!S174,0)</f>
        <v>0.24345284420403698</v>
      </c>
      <c r="I22" s="67">
        <f>IFERROR('Datos históricos'!N192/'Datos históricos'!S192,0)</f>
        <v>6.1232918303517569E-2</v>
      </c>
      <c r="J22" s="67">
        <f>IFERROR('Datos históricos'!N210/'Datos históricos'!S210,0)</f>
        <v>0.37699922610602349</v>
      </c>
      <c r="K22" s="67">
        <f t="shared" si="0"/>
        <v>0.24345284420403698</v>
      </c>
      <c r="L22" s="67">
        <f t="shared" si="1"/>
        <v>0.90484177338928251</v>
      </c>
      <c r="M22" s="67">
        <f t="shared" si="2"/>
        <v>2.54321735491523E-5</v>
      </c>
      <c r="N22" s="67">
        <f>IFERROR('Datos históricos'!S138/'Datos históricos'!G138,0)</f>
        <v>0.99908915206842663</v>
      </c>
      <c r="O22" s="67">
        <f>IFERROR('Datos históricos'!S156/'Datos históricos'!G156,0)</f>
        <v>0.90269091941224899</v>
      </c>
      <c r="P22" s="67">
        <f>IFERROR('Datos históricos'!S174/'Datos históricos'!G174,0)</f>
        <v>0.90306973251885114</v>
      </c>
      <c r="Q22" s="67">
        <f>IFERROR('Datos históricos'!S192/'Datos históricos'!G192,0)</f>
        <v>0.87131658110337373</v>
      </c>
      <c r="R22" s="67">
        <f>IFERROR('Datos históricos'!S210/'Datos históricos'!G210,0)</f>
        <v>0.63337460588963634</v>
      </c>
      <c r="S22" s="68">
        <f t="shared" si="3"/>
        <v>0.90269091941224899</v>
      </c>
      <c r="T22" s="69">
        <f t="shared" si="4"/>
        <v>661992.67676219472</v>
      </c>
      <c r="U22" s="69">
        <f t="shared" si="5"/>
        <v>1869564.9685765477</v>
      </c>
      <c r="V22" s="69">
        <f t="shared" si="6"/>
        <v>1139200.9404024342</v>
      </c>
      <c r="W22" s="69">
        <f t="shared" si="7"/>
        <v>1265778.8226693713</v>
      </c>
      <c r="X22" s="69">
        <f t="shared" si="8"/>
        <v>1392356.7049363086</v>
      </c>
      <c r="Y22" s="70">
        <f t="shared" si="9"/>
        <v>1265778.8226693713</v>
      </c>
      <c r="Z22" s="1"/>
    </row>
    <row r="23" spans="1:26" ht="13.5" customHeight="1">
      <c r="A23" s="1"/>
      <c r="B23" s="62">
        <v>29</v>
      </c>
      <c r="C23" s="63" t="s">
        <v>47</v>
      </c>
      <c r="D23" s="65">
        <f>'Datos históricos'!N229</f>
        <v>127454</v>
      </c>
      <c r="E23" s="65">
        <f>'Datos históricos'!F229</f>
        <v>292976</v>
      </c>
      <c r="F23" s="67">
        <f>IFERROR('Datos históricos'!N139/'Datos históricos'!S139,0)</f>
        <v>3.7096024295422843E-3</v>
      </c>
      <c r="G23" s="67">
        <f>IFERROR('Datos históricos'!N157/'Datos históricos'!S157,0)</f>
        <v>2.4627325136662999E-2</v>
      </c>
      <c r="H23" s="67">
        <f>IFERROR('Datos históricos'!N175/'Datos históricos'!S175,0)</f>
        <v>0.52981026391482056</v>
      </c>
      <c r="I23" s="67">
        <f>IFERROR('Datos históricos'!N193/'Datos históricos'!S193,0)</f>
        <v>0.11340735270187385</v>
      </c>
      <c r="J23" s="67">
        <f>IFERROR('Datos históricos'!N211/'Datos históricos'!S211,0)</f>
        <v>0.52006896952075821</v>
      </c>
      <c r="K23" s="67">
        <f t="shared" si="0"/>
        <v>0.11340735270187385</v>
      </c>
      <c r="L23" s="67">
        <f t="shared" si="1"/>
        <v>0.52981026391482056</v>
      </c>
      <c r="M23" s="67">
        <f t="shared" si="2"/>
        <v>3.7096024295422843E-3</v>
      </c>
      <c r="N23" s="67">
        <f>IFERROR('Datos históricos'!S139/'Datos históricos'!G139,0)</f>
        <v>0.97761208463889215</v>
      </c>
      <c r="O23" s="67">
        <f>IFERROR('Datos históricos'!S157/'Datos históricos'!G157,0)</f>
        <v>0.9925005555144063</v>
      </c>
      <c r="P23" s="67">
        <f>IFERROR('Datos históricos'!S175/'Datos históricos'!G175,0)</f>
        <v>0.98951827332381836</v>
      </c>
      <c r="Q23" s="67">
        <f>IFERROR('Datos históricos'!S193/'Datos históricos'!G193,0)</f>
        <v>0.99941052930765217</v>
      </c>
      <c r="R23" s="67">
        <f>IFERROR('Datos históricos'!S211/'Datos históricos'!G211,0)</f>
        <v>0.99594430024725378</v>
      </c>
      <c r="S23" s="68">
        <f t="shared" si="3"/>
        <v>0.9925005555144063</v>
      </c>
      <c r="T23" s="69">
        <f t="shared" si="4"/>
        <v>1123860.1110375274</v>
      </c>
      <c r="U23" s="69">
        <f t="shared" si="5"/>
        <v>290778.84275238868</v>
      </c>
      <c r="V23" s="69">
        <f t="shared" si="6"/>
        <v>636587.52920546231</v>
      </c>
      <c r="W23" s="69">
        <f t="shared" si="7"/>
        <v>707319.47689495806</v>
      </c>
      <c r="X23" s="69">
        <f t="shared" si="8"/>
        <v>778051.42458445393</v>
      </c>
      <c r="Y23" s="70">
        <f t="shared" si="9"/>
        <v>707319.47689495806</v>
      </c>
      <c r="Z23" s="1"/>
    </row>
    <row r="24" spans="1:26" ht="13.5" customHeight="1">
      <c r="A24" s="1"/>
      <c r="B24" s="62">
        <v>29</v>
      </c>
      <c r="C24" s="63" t="s">
        <v>48</v>
      </c>
      <c r="D24" s="65">
        <f>'Datos históricos'!N230</f>
        <v>87338</v>
      </c>
      <c r="E24" s="65">
        <f>'Datos históricos'!F230</f>
        <v>381145</v>
      </c>
      <c r="F24" s="67">
        <f>IFERROR('Datos históricos'!N140/'Datos históricos'!S140,0)</f>
        <v>0</v>
      </c>
      <c r="G24" s="67">
        <f>IFERROR('Datos históricos'!N158/'Datos históricos'!S158,0)</f>
        <v>3.0891817965791484E-3</v>
      </c>
      <c r="H24" s="67">
        <f>IFERROR('Datos históricos'!N176/'Datos históricos'!S176,0)</f>
        <v>0.57917069821999034</v>
      </c>
      <c r="I24" s="67">
        <f>IFERROR('Datos históricos'!N194/'Datos históricos'!S194,0)</f>
        <v>0.66735039813113395</v>
      </c>
      <c r="J24" s="67">
        <f>IFERROR('Datos históricos'!N212/'Datos históricos'!S212,0)</f>
        <v>0.64366802360840802</v>
      </c>
      <c r="K24" s="67">
        <f t="shared" si="0"/>
        <v>0.57917069821999034</v>
      </c>
      <c r="L24" s="67">
        <f t="shared" si="1"/>
        <v>0.66735039813113395</v>
      </c>
      <c r="M24" s="67">
        <f t="shared" si="2"/>
        <v>0</v>
      </c>
      <c r="N24" s="67">
        <f>IFERROR('Datos históricos'!S140/'Datos históricos'!G140,0)</f>
        <v>1</v>
      </c>
      <c r="O24" s="67">
        <f>IFERROR('Datos históricos'!S158/'Datos históricos'!G158,0)</f>
        <v>0.9993027661993179</v>
      </c>
      <c r="P24" s="67">
        <f>IFERROR('Datos históricos'!S176/'Datos históricos'!G176,0)</f>
        <v>0.99648087733882507</v>
      </c>
      <c r="Q24" s="67">
        <f>IFERROR('Datos históricos'!S194/'Datos históricos'!G194,0)</f>
        <v>0.99931989681411193</v>
      </c>
      <c r="R24" s="67">
        <f>IFERROR('Datos históricos'!S212/'Datos históricos'!G212,0)</f>
        <v>0.95587449655020862</v>
      </c>
      <c r="S24" s="68">
        <f t="shared" si="3"/>
        <v>0.9993027661993179</v>
      </c>
      <c r="T24" s="69">
        <f t="shared" si="4"/>
        <v>150798.37475967372</v>
      </c>
      <c r="U24" s="69">
        <f t="shared" si="5"/>
        <v>380879.25282303902</v>
      </c>
      <c r="V24" s="69">
        <f t="shared" si="6"/>
        <v>239254.93241222078</v>
      </c>
      <c r="W24" s="69">
        <f t="shared" si="7"/>
        <v>265838.8137913564</v>
      </c>
      <c r="X24" s="69">
        <f t="shared" si="8"/>
        <v>292422.69517049205</v>
      </c>
      <c r="Y24" s="70">
        <f t="shared" si="9"/>
        <v>265838.8137913564</v>
      </c>
      <c r="Z24" s="1"/>
    </row>
    <row r="25" spans="1:26" ht="13.5" customHeight="1">
      <c r="A25" s="1"/>
      <c r="B25" s="62">
        <v>33</v>
      </c>
      <c r="C25" s="63" t="s">
        <v>43</v>
      </c>
      <c r="D25" s="65">
        <f>'Datos históricos'!N231</f>
        <v>0</v>
      </c>
      <c r="E25" s="65">
        <f>'Datos históricos'!F231</f>
        <v>0</v>
      </c>
      <c r="F25" s="67">
        <f>IFERROR('Datos históricos'!N141/'Datos históricos'!S141,0)</f>
        <v>0</v>
      </c>
      <c r="G25" s="67">
        <f>IFERROR('Datos históricos'!N159/'Datos históricos'!S159,0)</f>
        <v>0</v>
      </c>
      <c r="H25" s="67">
        <f>IFERROR('Datos históricos'!N177/'Datos históricos'!S177,0)</f>
        <v>0</v>
      </c>
      <c r="I25" s="67">
        <f>IFERROR('Datos históricos'!N195/'Datos históricos'!S195,0)</f>
        <v>0</v>
      </c>
      <c r="J25" s="67">
        <f>IFERROR('Datos históricos'!N213/'Datos históricos'!S213,0)</f>
        <v>0</v>
      </c>
      <c r="K25" s="67">
        <f t="shared" si="0"/>
        <v>0</v>
      </c>
      <c r="L25" s="67">
        <f t="shared" si="1"/>
        <v>0</v>
      </c>
      <c r="M25" s="67">
        <f t="shared" si="2"/>
        <v>0</v>
      </c>
      <c r="N25" s="67">
        <f>IFERROR('Datos históricos'!S141/'Datos históricos'!G141,0)</f>
        <v>0</v>
      </c>
      <c r="O25" s="67">
        <f>IFERROR('Datos históricos'!S159/'Datos históricos'!G159,0)</f>
        <v>0</v>
      </c>
      <c r="P25" s="67">
        <f>IFERROR('Datos históricos'!S177/'Datos históricos'!G177,0)</f>
        <v>0</v>
      </c>
      <c r="Q25" s="67">
        <f>IFERROR('Datos históricos'!S195/'Datos históricos'!G195,0)</f>
        <v>0</v>
      </c>
      <c r="R25" s="67">
        <f>IFERROR('Datos históricos'!S213/'Datos históricos'!G213,0)</f>
        <v>0</v>
      </c>
      <c r="S25" s="69">
        <f t="shared" si="3"/>
        <v>0</v>
      </c>
      <c r="T25" s="69">
        <f t="shared" si="4"/>
        <v>0</v>
      </c>
      <c r="U25" s="69">
        <f t="shared" si="5"/>
        <v>0</v>
      </c>
      <c r="V25" s="69">
        <f t="shared" si="6"/>
        <v>0</v>
      </c>
      <c r="W25" s="69">
        <f t="shared" si="7"/>
        <v>0</v>
      </c>
      <c r="X25" s="69">
        <f t="shared" si="8"/>
        <v>0</v>
      </c>
      <c r="Y25" s="70">
        <f t="shared" si="9"/>
        <v>0</v>
      </c>
      <c r="Z25" s="1"/>
    </row>
    <row r="26" spans="1:26" ht="13.5" customHeight="1">
      <c r="A26" s="1"/>
      <c r="B26" s="62">
        <v>33</v>
      </c>
      <c r="C26" s="63" t="s">
        <v>44</v>
      </c>
      <c r="D26" s="65">
        <f>'Datos históricos'!N232</f>
        <v>0</v>
      </c>
      <c r="E26" s="65">
        <f>'Datos históricos'!F232</f>
        <v>0</v>
      </c>
      <c r="F26" s="67">
        <f>IFERROR('Datos históricos'!N142/'Datos históricos'!S142,0)</f>
        <v>0</v>
      </c>
      <c r="G26" s="67">
        <f>IFERROR('Datos históricos'!N160/'Datos históricos'!S160,0)</f>
        <v>0</v>
      </c>
      <c r="H26" s="67">
        <f>IFERROR('Datos históricos'!N178/'Datos históricos'!S178,0)</f>
        <v>0</v>
      </c>
      <c r="I26" s="67">
        <f>IFERROR('Datos históricos'!N196/'Datos históricos'!S196,0)</f>
        <v>0</v>
      </c>
      <c r="J26" s="67">
        <f>IFERROR('Datos históricos'!N214/'Datos históricos'!S214,0)</f>
        <v>0</v>
      </c>
      <c r="K26" s="67">
        <f t="shared" si="0"/>
        <v>0</v>
      </c>
      <c r="L26" s="67">
        <f t="shared" si="1"/>
        <v>0</v>
      </c>
      <c r="M26" s="67">
        <f t="shared" si="2"/>
        <v>0</v>
      </c>
      <c r="N26" s="67">
        <f>IFERROR('Datos históricos'!S142/'Datos históricos'!G142,0)</f>
        <v>0</v>
      </c>
      <c r="O26" s="67">
        <f>IFERROR('Datos históricos'!S160/'Datos históricos'!G160,0)</f>
        <v>0</v>
      </c>
      <c r="P26" s="67">
        <f>IFERROR('Datos históricos'!S178/'Datos históricos'!G178,0)</f>
        <v>0</v>
      </c>
      <c r="Q26" s="67">
        <f>IFERROR('Datos históricos'!S196/'Datos históricos'!G196,0)</f>
        <v>0</v>
      </c>
      <c r="R26" s="67">
        <f>IFERROR('Datos históricos'!S214/'Datos históricos'!G214,0)</f>
        <v>0</v>
      </c>
      <c r="S26" s="69">
        <f t="shared" si="3"/>
        <v>0</v>
      </c>
      <c r="T26" s="69">
        <f t="shared" si="4"/>
        <v>0</v>
      </c>
      <c r="U26" s="69">
        <f t="shared" si="5"/>
        <v>0</v>
      </c>
      <c r="V26" s="69">
        <f t="shared" si="6"/>
        <v>0</v>
      </c>
      <c r="W26" s="69">
        <f t="shared" si="7"/>
        <v>0</v>
      </c>
      <c r="X26" s="69">
        <f t="shared" si="8"/>
        <v>0</v>
      </c>
      <c r="Y26" s="70">
        <f t="shared" si="9"/>
        <v>0</v>
      </c>
      <c r="Z26" s="1"/>
    </row>
    <row r="27" spans="1:26" ht="13.5" customHeight="1">
      <c r="A27" s="1"/>
      <c r="B27" s="62">
        <v>33</v>
      </c>
      <c r="C27" s="63" t="s">
        <v>45</v>
      </c>
      <c r="D27" s="65">
        <f>'Datos históricos'!N233</f>
        <v>0</v>
      </c>
      <c r="E27" s="65">
        <f>'Datos históricos'!F233</f>
        <v>0</v>
      </c>
      <c r="F27" s="67">
        <f>IFERROR('Datos históricos'!N143/'Datos históricos'!S143,0)</f>
        <v>0</v>
      </c>
      <c r="G27" s="67">
        <f>IFERROR('Datos históricos'!N161/'Datos históricos'!S161,0)</f>
        <v>0</v>
      </c>
      <c r="H27" s="67">
        <f>IFERROR('Datos históricos'!N179/'Datos históricos'!S179,0)</f>
        <v>2.7188978157928603E-4</v>
      </c>
      <c r="I27" s="67">
        <f>IFERROR('Datos históricos'!N197/'Datos históricos'!S197,0)</f>
        <v>0</v>
      </c>
      <c r="J27" s="67">
        <f>IFERROR('Datos históricos'!N215/'Datos históricos'!S215,0)</f>
        <v>0</v>
      </c>
      <c r="K27" s="67">
        <f t="shared" si="0"/>
        <v>0</v>
      </c>
      <c r="L27" s="67">
        <f t="shared" si="1"/>
        <v>2.7188978157928603E-4</v>
      </c>
      <c r="M27" s="67">
        <f t="shared" si="2"/>
        <v>0</v>
      </c>
      <c r="N27" s="67">
        <f>IFERROR('Datos históricos'!S143/'Datos históricos'!G143,0)</f>
        <v>0</v>
      </c>
      <c r="O27" s="67">
        <f>IFERROR('Datos históricos'!S161/'Datos históricos'!G161,0)</f>
        <v>0</v>
      </c>
      <c r="P27" s="67">
        <f>IFERROR('Datos históricos'!S179/'Datos históricos'!G179,0)</f>
        <v>0.3814738209218273</v>
      </c>
      <c r="Q27" s="67">
        <f>IFERROR('Datos históricos'!S197/'Datos históricos'!G197,0)</f>
        <v>0</v>
      </c>
      <c r="R27" s="67">
        <f>IFERROR('Datos históricos'!S215/'Datos históricos'!G215,0)</f>
        <v>0</v>
      </c>
      <c r="S27" s="69">
        <f t="shared" si="3"/>
        <v>0</v>
      </c>
      <c r="T27" s="69">
        <f t="shared" si="4"/>
        <v>0</v>
      </c>
      <c r="U27" s="69">
        <f t="shared" si="5"/>
        <v>0</v>
      </c>
      <c r="V27" s="69">
        <f t="shared" si="6"/>
        <v>0</v>
      </c>
      <c r="W27" s="69">
        <f t="shared" si="7"/>
        <v>0</v>
      </c>
      <c r="X27" s="69">
        <f t="shared" si="8"/>
        <v>0</v>
      </c>
      <c r="Y27" s="70">
        <f t="shared" si="9"/>
        <v>0</v>
      </c>
      <c r="Z27" s="1"/>
    </row>
    <row r="28" spans="1:26" ht="13.5" customHeight="1">
      <c r="A28" s="1"/>
      <c r="B28" s="62">
        <v>33</v>
      </c>
      <c r="C28" s="63" t="s">
        <v>46</v>
      </c>
      <c r="D28" s="65">
        <f>'Datos históricos'!N234</f>
        <v>0</v>
      </c>
      <c r="E28" s="65">
        <f>'Datos históricos'!F234</f>
        <v>0</v>
      </c>
      <c r="F28" s="67">
        <f>IFERROR('Datos históricos'!N144/'Datos históricos'!S144,0)</f>
        <v>0</v>
      </c>
      <c r="G28" s="67">
        <f>IFERROR('Datos históricos'!N162/'Datos históricos'!S162,0)</f>
        <v>0</v>
      </c>
      <c r="H28" s="67">
        <f>IFERROR('Datos históricos'!N180/'Datos históricos'!S180,0)</f>
        <v>0</v>
      </c>
      <c r="I28" s="67">
        <f>IFERROR('Datos históricos'!N198/'Datos históricos'!S198,0)</f>
        <v>0</v>
      </c>
      <c r="J28" s="67">
        <f>IFERROR('Datos históricos'!N216/'Datos históricos'!S216,0)</f>
        <v>0</v>
      </c>
      <c r="K28" s="67">
        <f t="shared" si="0"/>
        <v>0</v>
      </c>
      <c r="L28" s="67">
        <f t="shared" si="1"/>
        <v>0</v>
      </c>
      <c r="M28" s="67">
        <f t="shared" si="2"/>
        <v>0</v>
      </c>
      <c r="N28" s="67">
        <f>IFERROR('Datos históricos'!S144/'Datos históricos'!G144,0)</f>
        <v>0</v>
      </c>
      <c r="O28" s="67">
        <f>IFERROR('Datos históricos'!S162/'Datos históricos'!G162,0)</f>
        <v>0</v>
      </c>
      <c r="P28" s="67">
        <f>IFERROR('Datos históricos'!S180/'Datos históricos'!G180,0)</f>
        <v>0</v>
      </c>
      <c r="Q28" s="67">
        <f>IFERROR('Datos históricos'!S198/'Datos históricos'!G198,0)</f>
        <v>0</v>
      </c>
      <c r="R28" s="67">
        <f>IFERROR('Datos históricos'!S216/'Datos históricos'!G216,0)</f>
        <v>0</v>
      </c>
      <c r="S28" s="69">
        <f t="shared" si="3"/>
        <v>0</v>
      </c>
      <c r="T28" s="69">
        <f t="shared" si="4"/>
        <v>0</v>
      </c>
      <c r="U28" s="69">
        <f t="shared" si="5"/>
        <v>0</v>
      </c>
      <c r="V28" s="69">
        <f t="shared" si="6"/>
        <v>0</v>
      </c>
      <c r="W28" s="69">
        <f t="shared" si="7"/>
        <v>0</v>
      </c>
      <c r="X28" s="69">
        <f t="shared" si="8"/>
        <v>0</v>
      </c>
      <c r="Y28" s="70">
        <f t="shared" si="9"/>
        <v>0</v>
      </c>
      <c r="Z28" s="1"/>
    </row>
    <row r="29" spans="1:26" ht="13.5" customHeight="1">
      <c r="A29" s="1"/>
      <c r="B29" s="62">
        <v>33</v>
      </c>
      <c r="C29" s="63" t="s">
        <v>47</v>
      </c>
      <c r="D29" s="65">
        <f>'Datos históricos'!N235</f>
        <v>0</v>
      </c>
      <c r="E29" s="65">
        <f>'Datos históricos'!F235</f>
        <v>0</v>
      </c>
      <c r="F29" s="67">
        <f>IFERROR('Datos históricos'!N145/'Datos históricos'!S145,0)</f>
        <v>0</v>
      </c>
      <c r="G29" s="67">
        <f>IFERROR('Datos históricos'!N163/'Datos históricos'!S163,0)</f>
        <v>0</v>
      </c>
      <c r="H29" s="67">
        <f>IFERROR('Datos históricos'!N181/'Datos históricos'!S181,0)</f>
        <v>0</v>
      </c>
      <c r="I29" s="67">
        <f>IFERROR('Datos históricos'!N199/'Datos históricos'!S199,0)</f>
        <v>0</v>
      </c>
      <c r="J29" s="67">
        <f>IFERROR('Datos históricos'!N217/'Datos históricos'!S217,0)</f>
        <v>0</v>
      </c>
      <c r="K29" s="67">
        <f t="shared" si="0"/>
        <v>0</v>
      </c>
      <c r="L29" s="67">
        <f t="shared" si="1"/>
        <v>0</v>
      </c>
      <c r="M29" s="67">
        <f t="shared" si="2"/>
        <v>0</v>
      </c>
      <c r="N29" s="67">
        <f>IFERROR('Datos históricos'!S145/'Datos históricos'!G145,0)</f>
        <v>0</v>
      </c>
      <c r="O29" s="67">
        <f>IFERROR('Datos históricos'!S163/'Datos históricos'!G163,0)</f>
        <v>0</v>
      </c>
      <c r="P29" s="67">
        <f>IFERROR('Datos históricos'!S181/'Datos históricos'!G181,0)</f>
        <v>0</v>
      </c>
      <c r="Q29" s="67">
        <f>IFERROR('Datos históricos'!S199/'Datos históricos'!G199,0)</f>
        <v>0</v>
      </c>
      <c r="R29" s="67">
        <f>IFERROR('Datos históricos'!S217/'Datos históricos'!G217,0)</f>
        <v>0</v>
      </c>
      <c r="S29" s="69">
        <f t="shared" si="3"/>
        <v>0</v>
      </c>
      <c r="T29" s="69">
        <f t="shared" si="4"/>
        <v>0</v>
      </c>
      <c r="U29" s="69">
        <f t="shared" si="5"/>
        <v>0</v>
      </c>
      <c r="V29" s="69">
        <f t="shared" si="6"/>
        <v>0</v>
      </c>
      <c r="W29" s="69">
        <f t="shared" si="7"/>
        <v>0</v>
      </c>
      <c r="X29" s="69">
        <f t="shared" si="8"/>
        <v>0</v>
      </c>
      <c r="Y29" s="70">
        <f t="shared" si="9"/>
        <v>0</v>
      </c>
      <c r="Z29" s="1"/>
    </row>
    <row r="30" spans="1:26" ht="13.5" customHeight="1">
      <c r="A30" s="1"/>
      <c r="B30" s="62">
        <v>33</v>
      </c>
      <c r="C30" s="63" t="s">
        <v>48</v>
      </c>
      <c r="D30" s="65">
        <f>'Datos históricos'!N236</f>
        <v>0</v>
      </c>
      <c r="E30" s="65">
        <f>'Datos históricos'!F236</f>
        <v>0</v>
      </c>
      <c r="F30" s="67">
        <f>IFERROR('Datos históricos'!N146/'Datos históricos'!S146,0)</f>
        <v>0</v>
      </c>
      <c r="G30" s="67">
        <f>IFERROR('Datos históricos'!N164/'Datos históricos'!S164,0)</f>
        <v>0</v>
      </c>
      <c r="H30" s="67">
        <f>IFERROR('Datos históricos'!N182/'Datos históricos'!S182,0)</f>
        <v>0</v>
      </c>
      <c r="I30" s="67">
        <f>IFERROR('Datos históricos'!N200/'Datos históricos'!S200,0)</f>
        <v>0</v>
      </c>
      <c r="J30" s="67">
        <f>IFERROR('Datos históricos'!N218/'Datos históricos'!S218,0)</f>
        <v>0</v>
      </c>
      <c r="K30" s="67">
        <f t="shared" si="0"/>
        <v>0</v>
      </c>
      <c r="L30" s="67">
        <f t="shared" si="1"/>
        <v>0</v>
      </c>
      <c r="M30" s="67">
        <f t="shared" si="2"/>
        <v>0</v>
      </c>
      <c r="N30" s="67">
        <f>IFERROR('Datos históricos'!S146/'Datos históricos'!G146,0)</f>
        <v>0</v>
      </c>
      <c r="O30" s="67">
        <f>IFERROR('Datos históricos'!S164/'Datos históricos'!G164,0)</f>
        <v>0</v>
      </c>
      <c r="P30" s="67">
        <f>IFERROR('Datos históricos'!S182/'Datos históricos'!G182,0)</f>
        <v>0</v>
      </c>
      <c r="Q30" s="67">
        <f>IFERROR('Datos históricos'!S200/'Datos históricos'!G200,0)</f>
        <v>0</v>
      </c>
      <c r="R30" s="67">
        <f>IFERROR('Datos históricos'!S218/'Datos históricos'!G218,0)</f>
        <v>0</v>
      </c>
      <c r="S30" s="69">
        <f t="shared" si="3"/>
        <v>0</v>
      </c>
      <c r="T30" s="69">
        <f t="shared" si="4"/>
        <v>0</v>
      </c>
      <c r="U30" s="69">
        <f t="shared" si="5"/>
        <v>0</v>
      </c>
      <c r="V30" s="69">
        <f t="shared" si="6"/>
        <v>0</v>
      </c>
      <c r="W30" s="69">
        <f t="shared" si="7"/>
        <v>0</v>
      </c>
      <c r="X30" s="69">
        <f t="shared" si="8"/>
        <v>0</v>
      </c>
      <c r="Y30" s="70">
        <f t="shared" si="9"/>
        <v>0</v>
      </c>
      <c r="Z30" s="1"/>
    </row>
    <row r="31" spans="1:26" ht="13.5" customHeight="1">
      <c r="A31" s="1"/>
      <c r="B31" s="71" t="s">
        <v>107</v>
      </c>
      <c r="C31" s="72" t="s">
        <v>170</v>
      </c>
      <c r="D31" s="73">
        <f>SUM(D13:D30)</f>
        <v>1238260857</v>
      </c>
      <c r="E31" s="73">
        <f>SUM(E13:E30)</f>
        <v>2542855698</v>
      </c>
      <c r="F31" s="72"/>
      <c r="G31" s="72"/>
      <c r="H31" s="72"/>
      <c r="I31" s="72"/>
      <c r="J31" s="72"/>
      <c r="K31" s="72"/>
      <c r="L31" s="72"/>
      <c r="M31" s="72"/>
      <c r="N31" s="72"/>
      <c r="O31" s="72"/>
      <c r="P31" s="72"/>
      <c r="Q31" s="72"/>
      <c r="R31" s="72"/>
      <c r="S31" s="73"/>
      <c r="T31" s="73">
        <f t="shared" ref="T31:Y31" si="10">SUM(T13:T30)</f>
        <v>2490586278.7500601</v>
      </c>
      <c r="U31" s="73">
        <f t="shared" si="10"/>
        <v>2509921750.03403</v>
      </c>
      <c r="V31" s="73">
        <f t="shared" si="10"/>
        <v>2250228612.9528408</v>
      </c>
      <c r="W31" s="73">
        <f t="shared" si="10"/>
        <v>2500254014.392045</v>
      </c>
      <c r="X31" s="73">
        <f t="shared" si="10"/>
        <v>2750279415.8312497</v>
      </c>
      <c r="Y31" s="74">
        <f t="shared" si="10"/>
        <v>2500254014.392045</v>
      </c>
      <c r="Z31" s="1"/>
    </row>
    <row r="32" spans="1:26" ht="13.5" customHeight="1">
      <c r="A32" s="1"/>
      <c r="B32" s="48"/>
      <c r="C32" s="48"/>
      <c r="D32" s="48"/>
      <c r="E32" s="48"/>
      <c r="F32" s="48"/>
      <c r="G32" s="48"/>
      <c r="H32" s="48"/>
      <c r="I32" s="48"/>
      <c r="J32" s="48"/>
      <c r="K32" s="48"/>
      <c r="L32" s="48"/>
      <c r="M32" s="48"/>
      <c r="N32" s="48"/>
      <c r="O32" s="48"/>
      <c r="P32" s="48"/>
      <c r="Q32" s="48"/>
      <c r="R32" s="48"/>
      <c r="S32" s="48"/>
      <c r="T32" s="48"/>
      <c r="U32" s="48"/>
      <c r="V32" s="48"/>
      <c r="W32" s="48"/>
      <c r="X32" s="48"/>
      <c r="Y32" s="48"/>
      <c r="Z32" s="1"/>
    </row>
    <row r="33" spans="1:26" ht="13.5" customHeight="1">
      <c r="A33" s="1"/>
      <c r="B33" s="48"/>
      <c r="C33" s="48"/>
      <c r="D33" s="48"/>
      <c r="E33" s="48"/>
      <c r="F33" s="48"/>
      <c r="G33" s="48"/>
      <c r="H33" s="48"/>
      <c r="I33" s="48"/>
      <c r="J33" s="48"/>
      <c r="K33" s="48"/>
      <c r="L33" s="48"/>
      <c r="M33" s="48"/>
      <c r="N33" s="48"/>
      <c r="O33" s="48"/>
      <c r="P33" s="48"/>
      <c r="Q33" s="48"/>
      <c r="R33" s="48"/>
      <c r="S33" s="48"/>
      <c r="T33" s="48"/>
      <c r="U33" s="48"/>
      <c r="V33" s="48"/>
      <c r="W33" s="48"/>
      <c r="X33" s="48"/>
      <c r="Y33" s="48"/>
      <c r="Z33" s="1"/>
    </row>
    <row r="34" spans="1:26" ht="13.5" customHeight="1">
      <c r="A34" s="1"/>
      <c r="B34" s="75" t="s">
        <v>171</v>
      </c>
      <c r="C34" s="75" t="s">
        <v>172</v>
      </c>
      <c r="D34" s="75" t="s">
        <v>173</v>
      </c>
      <c r="E34" s="75" t="s">
        <v>174</v>
      </c>
      <c r="F34" s="75" t="s">
        <v>175</v>
      </c>
      <c r="G34" s="48"/>
      <c r="H34" s="48"/>
      <c r="I34" s="48"/>
      <c r="J34" s="48"/>
      <c r="K34" s="48"/>
      <c r="L34" s="48"/>
      <c r="M34" s="48"/>
      <c r="N34" s="48"/>
      <c r="O34" s="48"/>
      <c r="P34" s="48"/>
      <c r="Q34" s="48"/>
      <c r="R34" s="48"/>
      <c r="S34" s="48"/>
      <c r="T34" s="48"/>
      <c r="U34" s="48"/>
      <c r="V34" s="48"/>
      <c r="W34" s="48"/>
      <c r="X34" s="48"/>
      <c r="Y34" s="48"/>
      <c r="Z34" s="1"/>
    </row>
    <row r="35" spans="1:26" ht="13.5" customHeight="1">
      <c r="A35" s="1"/>
      <c r="B35" s="76" t="s">
        <v>167</v>
      </c>
      <c r="C35" s="77">
        <f>SUM(V13:V30)</f>
        <v>2250228612.9528408</v>
      </c>
      <c r="D35" s="78">
        <f>C35/SUM(E13:E30)</f>
        <v>0.88492186745896928</v>
      </c>
      <c r="E35" s="77">
        <f>MAX(0,SUM(E13:E30)-C35)</f>
        <v>292627085.04715919</v>
      </c>
      <c r="F35" s="76" t="s">
        <v>176</v>
      </c>
      <c r="G35" s="48"/>
      <c r="H35" s="48"/>
      <c r="I35" s="48"/>
      <c r="J35" s="48"/>
      <c r="K35" s="48"/>
      <c r="L35" s="48"/>
      <c r="M35" s="48"/>
      <c r="N35" s="48"/>
      <c r="O35" s="48"/>
      <c r="P35" s="48"/>
      <c r="Q35" s="48"/>
      <c r="R35" s="48"/>
      <c r="S35" s="48"/>
      <c r="T35" s="48"/>
      <c r="U35" s="48"/>
      <c r="V35" s="48"/>
      <c r="W35" s="48"/>
      <c r="X35" s="48"/>
      <c r="Y35" s="48"/>
      <c r="Z35" s="1"/>
    </row>
    <row r="36" spans="1:26" ht="13.5" customHeight="1">
      <c r="A36" s="1"/>
      <c r="B36" s="76" t="s">
        <v>148</v>
      </c>
      <c r="C36" s="77">
        <f>SUM(W13:W30)</f>
        <v>2500254014.392045</v>
      </c>
      <c r="D36" s="78">
        <f>C36/SUM(E13:E30)</f>
        <v>0.98324651939885466</v>
      </c>
      <c r="E36" s="77">
        <f>MAX(0,SUM(E13:E30)-C36)</f>
        <v>42601683.607954979</v>
      </c>
      <c r="F36" s="76" t="s">
        <v>177</v>
      </c>
      <c r="G36" s="48"/>
      <c r="H36" s="48"/>
      <c r="I36" s="48"/>
      <c r="J36" s="48"/>
      <c r="K36" s="48"/>
      <c r="L36" s="48"/>
      <c r="M36" s="48"/>
      <c r="N36" s="48"/>
      <c r="O36" s="48"/>
      <c r="P36" s="48"/>
      <c r="Q36" s="48"/>
      <c r="R36" s="48"/>
      <c r="S36" s="48"/>
      <c r="T36" s="48"/>
      <c r="U36" s="48"/>
      <c r="V36" s="48"/>
      <c r="W36" s="48"/>
      <c r="X36" s="48"/>
      <c r="Y36" s="48"/>
      <c r="Z36" s="1"/>
    </row>
    <row r="37" spans="1:26" ht="13.5" customHeight="1">
      <c r="A37" s="1"/>
      <c r="B37" s="76" t="s">
        <v>168</v>
      </c>
      <c r="C37" s="77">
        <f>SUM(X13:X30)</f>
        <v>2750279415.8312497</v>
      </c>
      <c r="D37" s="78">
        <f>C37/SUM(E13:E30)</f>
        <v>1.0815711713387401</v>
      </c>
      <c r="E37" s="77">
        <f>MAX(0,SUM(E13:E30)-C37)</f>
        <v>0</v>
      </c>
      <c r="F37" s="76" t="s">
        <v>178</v>
      </c>
      <c r="G37" s="48"/>
      <c r="H37" s="48"/>
      <c r="I37" s="48"/>
      <c r="J37" s="48"/>
      <c r="K37" s="48"/>
      <c r="L37" s="48"/>
      <c r="M37" s="48"/>
      <c r="N37" s="48"/>
      <c r="O37" s="48"/>
      <c r="P37" s="48"/>
      <c r="Q37" s="48"/>
      <c r="R37" s="48"/>
      <c r="S37" s="48"/>
      <c r="T37" s="48"/>
      <c r="U37" s="48"/>
      <c r="V37" s="48"/>
      <c r="W37" s="48"/>
      <c r="X37" s="48"/>
      <c r="Y37" s="48"/>
      <c r="Z37" s="1"/>
    </row>
    <row r="38" spans="1:26" ht="13.5" customHeight="1">
      <c r="A38" s="1"/>
      <c r="B38" s="48"/>
      <c r="C38" s="48"/>
      <c r="D38" s="48"/>
      <c r="E38" s="48"/>
      <c r="F38" s="48"/>
      <c r="G38" s="48"/>
      <c r="H38" s="48"/>
      <c r="I38" s="48"/>
      <c r="J38" s="48"/>
      <c r="K38" s="48"/>
      <c r="L38" s="48"/>
      <c r="M38" s="48"/>
      <c r="N38" s="48"/>
      <c r="O38" s="48"/>
      <c r="P38" s="48"/>
      <c r="Q38" s="48"/>
      <c r="R38" s="48"/>
      <c r="S38" s="48"/>
      <c r="T38" s="48"/>
      <c r="U38" s="48"/>
      <c r="V38" s="48"/>
      <c r="W38" s="48"/>
      <c r="X38" s="48"/>
      <c r="Y38" s="48"/>
      <c r="Z38" s="1"/>
    </row>
    <row r="39" spans="1:26" ht="13.5" customHeight="1">
      <c r="A39" s="1"/>
      <c r="B39" s="48"/>
      <c r="C39" s="48"/>
      <c r="D39" s="48"/>
      <c r="E39" s="48"/>
      <c r="F39" s="48"/>
      <c r="G39" s="48"/>
      <c r="H39" s="48"/>
      <c r="I39" s="48"/>
      <c r="J39" s="48"/>
      <c r="K39" s="48"/>
      <c r="L39" s="48"/>
      <c r="M39" s="48"/>
      <c r="N39" s="48"/>
      <c r="O39" s="48"/>
      <c r="P39" s="48"/>
      <c r="Q39" s="48"/>
      <c r="R39" s="48"/>
      <c r="S39" s="48"/>
      <c r="T39" s="48"/>
      <c r="U39" s="48"/>
      <c r="V39" s="48"/>
      <c r="W39" s="48"/>
      <c r="X39" s="48"/>
      <c r="Y39" s="48"/>
      <c r="Z39" s="1"/>
    </row>
    <row r="40" spans="1:26" ht="13.5" customHeight="1">
      <c r="A40" s="1"/>
      <c r="B40" s="79" t="s">
        <v>179</v>
      </c>
      <c r="C40" s="79" t="s">
        <v>180</v>
      </c>
      <c r="D40" s="79" t="s">
        <v>181</v>
      </c>
      <c r="E40" s="48"/>
      <c r="F40" s="48"/>
      <c r="G40" s="48"/>
      <c r="H40" s="48"/>
      <c r="I40" s="48"/>
      <c r="J40" s="48"/>
      <c r="K40" s="48"/>
      <c r="L40" s="48"/>
      <c r="M40" s="48"/>
      <c r="N40" s="48"/>
      <c r="O40" s="48"/>
      <c r="P40" s="48"/>
      <c r="Q40" s="48"/>
      <c r="R40" s="48"/>
      <c r="S40" s="48"/>
      <c r="T40" s="48"/>
      <c r="U40" s="48"/>
      <c r="V40" s="48"/>
      <c r="W40" s="48"/>
      <c r="X40" s="48"/>
      <c r="Y40" s="48"/>
      <c r="Z40" s="1"/>
    </row>
    <row r="41" spans="1:26" ht="13.5" customHeight="1">
      <c r="A41" s="1"/>
      <c r="B41" s="76" t="s">
        <v>18</v>
      </c>
      <c r="C41" s="77">
        <f>SUM('Datos históricos'!H201,'Datos históricos'!H202,'Datos históricos'!H203,'Datos históricos'!H204,'Datos históricos'!H205,'Datos históricos'!H206,'Datos históricos'!H207,'Datos históricos'!H208,'Datos históricos'!H209,'Datos históricos'!H210,'Datos históricos'!H211,'Datos históricos'!H212,'Datos históricos'!H213,'Datos históricos'!H214,'Datos históricos'!H215,'Datos históricos'!H216,'Datos históricos'!H217,'Datos históricos'!H218)</f>
        <v>23332450</v>
      </c>
      <c r="D41" s="77">
        <f>SUM('Datos históricos'!H219,'Datos históricos'!H220,'Datos históricos'!H221,'Datos históricos'!H222,'Datos históricos'!H223,'Datos históricos'!H224,'Datos históricos'!H225,'Datos históricos'!H226,'Datos históricos'!H227,'Datos históricos'!H228,'Datos históricos'!H229,'Datos históricos'!H230,'Datos históricos'!H231,'Datos históricos'!H232,'Datos históricos'!H233,'Datos históricos'!H234,'Datos históricos'!H235,'Datos históricos'!H236)</f>
        <v>14517665</v>
      </c>
      <c r="E41" s="48"/>
      <c r="F41" s="48"/>
      <c r="G41" s="48"/>
      <c r="H41" s="48"/>
      <c r="I41" s="48"/>
      <c r="J41" s="48"/>
      <c r="K41" s="48"/>
      <c r="L41" s="48"/>
      <c r="M41" s="48"/>
      <c r="N41" s="48"/>
      <c r="O41" s="48"/>
      <c r="P41" s="48"/>
      <c r="Q41" s="48"/>
      <c r="R41" s="48"/>
      <c r="S41" s="48"/>
      <c r="T41" s="48"/>
      <c r="U41" s="48"/>
      <c r="V41" s="48"/>
      <c r="W41" s="48"/>
      <c r="X41" s="48"/>
      <c r="Y41" s="48"/>
      <c r="Z41" s="1"/>
    </row>
    <row r="42" spans="1:26" ht="13.5" customHeight="1">
      <c r="A42" s="1"/>
      <c r="B42" s="76" t="s">
        <v>19</v>
      </c>
      <c r="C42" s="77">
        <f>SUM('Datos históricos'!I201,'Datos históricos'!I202,'Datos históricos'!I203,'Datos históricos'!I204,'Datos históricos'!I205,'Datos históricos'!I206,'Datos históricos'!I207,'Datos históricos'!I208,'Datos históricos'!I209,'Datos históricos'!I210,'Datos históricos'!I211,'Datos históricos'!I212,'Datos históricos'!I213,'Datos históricos'!I214,'Datos históricos'!I215,'Datos históricos'!I216,'Datos históricos'!I217,'Datos históricos'!I218)</f>
        <v>341529754</v>
      </c>
      <c r="D42" s="77">
        <f>SUM('Datos históricos'!I219,'Datos históricos'!I220,'Datos históricos'!I221,'Datos históricos'!I222,'Datos históricos'!I223,'Datos históricos'!I224,'Datos históricos'!I225,'Datos históricos'!I226,'Datos históricos'!I227,'Datos históricos'!I228,'Datos históricos'!I229,'Datos históricos'!I230,'Datos históricos'!I231,'Datos históricos'!I232,'Datos históricos'!I233,'Datos históricos'!I234,'Datos históricos'!I235,'Datos históricos'!I236)</f>
        <v>235585109</v>
      </c>
      <c r="E42" s="48"/>
      <c r="F42" s="48"/>
      <c r="G42" s="48"/>
      <c r="H42" s="48"/>
      <c r="I42" s="48"/>
      <c r="J42" s="48"/>
      <c r="K42" s="48"/>
      <c r="L42" s="48"/>
      <c r="M42" s="48"/>
      <c r="N42" s="48"/>
      <c r="O42" s="48"/>
      <c r="P42" s="48"/>
      <c r="Q42" s="48"/>
      <c r="R42" s="48"/>
      <c r="S42" s="48"/>
      <c r="T42" s="48"/>
      <c r="U42" s="48"/>
      <c r="V42" s="48"/>
      <c r="W42" s="48"/>
      <c r="X42" s="48"/>
      <c r="Y42" s="48"/>
      <c r="Z42" s="1"/>
    </row>
    <row r="43" spans="1:26" ht="13.5" customHeight="1">
      <c r="A43" s="1"/>
      <c r="B43" s="76" t="s">
        <v>20</v>
      </c>
      <c r="C43" s="77">
        <f>SUM('Datos históricos'!J201,'Datos históricos'!J202,'Datos históricos'!J203,'Datos históricos'!J204,'Datos históricos'!J205,'Datos históricos'!J206,'Datos históricos'!J207,'Datos históricos'!J208,'Datos históricos'!J209,'Datos históricos'!J210,'Datos históricos'!J211,'Datos históricos'!J212,'Datos históricos'!J213,'Datos históricos'!J214,'Datos históricos'!J215,'Datos históricos'!J216,'Datos históricos'!J217,'Datos históricos'!J218)</f>
        <v>626121070</v>
      </c>
      <c r="D43" s="77">
        <f>SUM('Datos históricos'!J219,'Datos históricos'!J220,'Datos históricos'!J221,'Datos históricos'!J222,'Datos históricos'!J223,'Datos históricos'!J224,'Datos históricos'!J225,'Datos históricos'!J226,'Datos históricos'!J227,'Datos históricos'!J228,'Datos históricos'!J229,'Datos históricos'!J230,'Datos históricos'!J231,'Datos históricos'!J232,'Datos históricos'!J233,'Datos históricos'!J234,'Datos históricos'!J235,'Datos históricos'!J236)</f>
        <v>451375737</v>
      </c>
      <c r="E43" s="48"/>
      <c r="F43" s="48"/>
      <c r="G43" s="48"/>
      <c r="H43" s="48"/>
      <c r="I43" s="48"/>
      <c r="J43" s="48"/>
      <c r="K43" s="48"/>
      <c r="L43" s="48"/>
      <c r="M43" s="48"/>
      <c r="N43" s="48"/>
      <c r="O43" s="48"/>
      <c r="P43" s="48"/>
      <c r="Q43" s="48"/>
      <c r="R43" s="48"/>
      <c r="S43" s="48"/>
      <c r="T43" s="48"/>
      <c r="U43" s="48"/>
      <c r="V43" s="48"/>
      <c r="W43" s="48"/>
      <c r="X43" s="48"/>
      <c r="Y43" s="48"/>
      <c r="Z43" s="1"/>
    </row>
    <row r="44" spans="1:26" ht="13.5" customHeight="1">
      <c r="A44" s="1"/>
      <c r="B44" s="76" t="s">
        <v>21</v>
      </c>
      <c r="C44" s="77">
        <f>SUM('Datos históricos'!K201,'Datos históricos'!K202,'Datos históricos'!K203,'Datos históricos'!K204,'Datos históricos'!K205,'Datos históricos'!K206,'Datos históricos'!K207,'Datos históricos'!K208,'Datos históricos'!K209,'Datos históricos'!K210,'Datos históricos'!K211,'Datos históricos'!K212,'Datos históricos'!K213,'Datos históricos'!K214,'Datos históricos'!K215,'Datos históricos'!K216,'Datos históricos'!K217,'Datos históricos'!K218)</f>
        <v>881149354</v>
      </c>
      <c r="D44" s="77">
        <f>SUM('Datos históricos'!K219,'Datos históricos'!K220,'Datos históricos'!K221,'Datos históricos'!K222,'Datos históricos'!K223,'Datos históricos'!K224,'Datos históricos'!K225,'Datos históricos'!K226,'Datos históricos'!K227,'Datos históricos'!K228,'Datos históricos'!K229,'Datos históricos'!K230,'Datos históricos'!K231,'Datos históricos'!K232,'Datos históricos'!K233,'Datos históricos'!K234,'Datos históricos'!K235,'Datos históricos'!K236)</f>
        <v>645745968</v>
      </c>
      <c r="E44" s="48"/>
      <c r="F44" s="48"/>
      <c r="G44" s="48"/>
      <c r="H44" s="48"/>
      <c r="I44" s="48"/>
      <c r="J44" s="48"/>
      <c r="K44" s="48"/>
      <c r="L44" s="48"/>
      <c r="M44" s="48"/>
      <c r="N44" s="48"/>
      <c r="O44" s="48"/>
      <c r="P44" s="48"/>
      <c r="Q44" s="48"/>
      <c r="R44" s="48"/>
      <c r="S44" s="48"/>
      <c r="T44" s="48"/>
      <c r="U44" s="48"/>
      <c r="V44" s="48"/>
      <c r="W44" s="48"/>
      <c r="X44" s="48"/>
      <c r="Y44" s="48"/>
      <c r="Z44" s="1"/>
    </row>
    <row r="45" spans="1:26" ht="13.5" customHeight="1">
      <c r="A45" s="1"/>
      <c r="B45" s="76" t="s">
        <v>22</v>
      </c>
      <c r="C45" s="77">
        <f>SUM('Datos históricos'!L201,'Datos históricos'!L202,'Datos históricos'!L203,'Datos históricos'!L204,'Datos históricos'!L205,'Datos históricos'!L206,'Datos históricos'!L207,'Datos históricos'!L208,'Datos históricos'!L209,'Datos históricos'!L210,'Datos históricos'!L211,'Datos históricos'!L212,'Datos históricos'!L213,'Datos históricos'!L214,'Datos históricos'!L215,'Datos históricos'!L216,'Datos históricos'!L217,'Datos históricos'!L218)</f>
        <v>1113611191</v>
      </c>
      <c r="D45" s="77">
        <f>SUM('Datos históricos'!L219,'Datos históricos'!L220,'Datos históricos'!L221,'Datos históricos'!L222,'Datos históricos'!L223,'Datos históricos'!L224,'Datos históricos'!L225,'Datos históricos'!L226,'Datos históricos'!L227,'Datos históricos'!L228,'Datos históricos'!L229,'Datos históricos'!L230,'Datos históricos'!L231,'Datos históricos'!L232,'Datos históricos'!L233,'Datos históricos'!L234,'Datos históricos'!L235,'Datos históricos'!L236)</f>
        <v>838968524</v>
      </c>
      <c r="E45" s="48"/>
      <c r="F45" s="48"/>
      <c r="G45" s="48"/>
      <c r="H45" s="48"/>
      <c r="I45" s="48"/>
      <c r="J45" s="48"/>
      <c r="K45" s="48"/>
      <c r="L45" s="48"/>
      <c r="M45" s="48"/>
      <c r="N45" s="48"/>
      <c r="O45" s="48"/>
      <c r="P45" s="48"/>
      <c r="Q45" s="48"/>
      <c r="R45" s="48"/>
      <c r="S45" s="48"/>
      <c r="T45" s="48"/>
      <c r="U45" s="48"/>
      <c r="V45" s="48"/>
      <c r="W45" s="48"/>
      <c r="X45" s="48"/>
      <c r="Y45" s="48"/>
      <c r="Z45" s="1"/>
    </row>
    <row r="46" spans="1:26" ht="13.5" customHeight="1">
      <c r="A46" s="1"/>
      <c r="B46" s="76" t="s">
        <v>23</v>
      </c>
      <c r="C46" s="77">
        <f>SUM('Datos históricos'!M201,'Datos históricos'!M202,'Datos históricos'!M203,'Datos históricos'!M204,'Datos históricos'!M205,'Datos históricos'!M206,'Datos históricos'!M207,'Datos históricos'!M208,'Datos históricos'!M209,'Datos históricos'!M210,'Datos históricos'!M211,'Datos históricos'!M212,'Datos históricos'!M213,'Datos históricos'!M214,'Datos históricos'!M215,'Datos históricos'!M216,'Datos históricos'!M217,'Datos históricos'!M218)</f>
        <v>1319074096</v>
      </c>
      <c r="D46" s="77">
        <f>SUM('Datos históricos'!M219,'Datos históricos'!M220,'Datos históricos'!M221,'Datos históricos'!M222,'Datos históricos'!M223,'Datos históricos'!M224,'Datos históricos'!M225,'Datos históricos'!M226,'Datos históricos'!M227,'Datos históricos'!M228,'Datos históricos'!M229,'Datos históricos'!M230,'Datos históricos'!M231,'Datos históricos'!M232,'Datos históricos'!M233,'Datos históricos'!M234,'Datos históricos'!M235,'Datos históricos'!M236)</f>
        <v>1056784592</v>
      </c>
      <c r="E46" s="48"/>
      <c r="F46" s="48"/>
      <c r="G46" s="48"/>
      <c r="H46" s="48"/>
      <c r="I46" s="48"/>
      <c r="J46" s="48"/>
      <c r="K46" s="48"/>
      <c r="L46" s="48"/>
      <c r="M46" s="48"/>
      <c r="N46" s="48"/>
      <c r="O46" s="48"/>
      <c r="P46" s="48"/>
      <c r="Q46" s="48"/>
      <c r="R46" s="48"/>
      <c r="S46" s="48"/>
      <c r="T46" s="48"/>
      <c r="U46" s="48"/>
      <c r="V46" s="48"/>
      <c r="W46" s="48"/>
      <c r="X46" s="48"/>
      <c r="Y46" s="48"/>
      <c r="Z46" s="1"/>
    </row>
    <row r="47" spans="1:26" ht="13.5" customHeight="1">
      <c r="A47" s="1"/>
      <c r="B47" s="76" t="s">
        <v>24</v>
      </c>
      <c r="C47" s="77">
        <f>SUM('Datos históricos'!N201,'Datos históricos'!N202,'Datos históricos'!N203,'Datos históricos'!N204,'Datos históricos'!N205,'Datos históricos'!N206,'Datos históricos'!N207,'Datos históricos'!N208,'Datos históricos'!N209,'Datos históricos'!N210,'Datos históricos'!N211,'Datos históricos'!N212,'Datos históricos'!N213,'Datos históricos'!N214,'Datos históricos'!N215,'Datos históricos'!N216,'Datos históricos'!N217,'Datos históricos'!N218)</f>
        <v>1498042281</v>
      </c>
      <c r="D47" s="77">
        <f>SUM('Datos históricos'!N219,'Datos históricos'!N220,'Datos históricos'!N221,'Datos históricos'!N222,'Datos históricos'!N223,'Datos históricos'!N224,'Datos históricos'!N225,'Datos históricos'!N226,'Datos históricos'!N227,'Datos históricos'!N228,'Datos históricos'!N229,'Datos históricos'!N230,'Datos históricos'!N231,'Datos históricos'!N232,'Datos históricos'!N233,'Datos históricos'!N234,'Datos históricos'!N235,'Datos históricos'!N236)</f>
        <v>1238260857</v>
      </c>
      <c r="E47" s="48"/>
      <c r="F47" s="48"/>
      <c r="G47" s="48"/>
      <c r="H47" s="48"/>
      <c r="I47" s="48"/>
      <c r="J47" s="48"/>
      <c r="K47" s="48"/>
      <c r="L47" s="48"/>
      <c r="M47" s="48"/>
      <c r="N47" s="48"/>
      <c r="O47" s="48"/>
      <c r="P47" s="48"/>
      <c r="Q47" s="48"/>
      <c r="R47" s="48"/>
      <c r="S47" s="48"/>
      <c r="T47" s="48"/>
      <c r="U47" s="48"/>
      <c r="V47" s="48"/>
      <c r="W47" s="48"/>
      <c r="X47" s="48"/>
      <c r="Y47" s="48"/>
      <c r="Z47" s="1"/>
    </row>
    <row r="48" spans="1:26" ht="13.5" customHeight="1">
      <c r="A48" s="1"/>
      <c r="B48" s="76" t="s">
        <v>25</v>
      </c>
      <c r="C48" s="77">
        <f>SUM('Datos históricos'!O201,'Datos históricos'!O202,'Datos históricos'!O203,'Datos históricos'!O204,'Datos históricos'!O205,'Datos históricos'!O206,'Datos históricos'!O207,'Datos históricos'!O208,'Datos históricos'!O209,'Datos históricos'!O210,'Datos históricos'!O211,'Datos históricos'!O212,'Datos históricos'!O213,'Datos históricos'!O214,'Datos históricos'!O215,'Datos históricos'!O216,'Datos históricos'!O217,'Datos históricos'!O218)</f>
        <v>1667213694</v>
      </c>
      <c r="D48" s="77">
        <f>$B$7+($D$7-$B$7)*(G73-$G$72)/(1-$G$72)</f>
        <v>1444641109.9815698</v>
      </c>
      <c r="E48" s="48"/>
      <c r="F48" s="48"/>
      <c r="G48" s="48"/>
      <c r="H48" s="48"/>
      <c r="I48" s="48"/>
      <c r="J48" s="48"/>
      <c r="K48" s="48"/>
      <c r="L48" s="48"/>
      <c r="M48" s="48"/>
      <c r="N48" s="48"/>
      <c r="O48" s="48"/>
      <c r="P48" s="48"/>
      <c r="Q48" s="48"/>
      <c r="R48" s="48"/>
      <c r="S48" s="48"/>
      <c r="T48" s="48"/>
      <c r="U48" s="48"/>
      <c r="V48" s="48"/>
      <c r="W48" s="48"/>
      <c r="X48" s="48"/>
      <c r="Y48" s="48"/>
      <c r="Z48" s="1"/>
    </row>
    <row r="49" spans="1:26" ht="13.5" customHeight="1">
      <c r="A49" s="1"/>
      <c r="B49" s="76" t="s">
        <v>26</v>
      </c>
      <c r="C49" s="77">
        <f>SUM('Datos históricos'!P201,'Datos históricos'!P202,'Datos históricos'!P203,'Datos históricos'!P204,'Datos históricos'!P205,'Datos históricos'!P206,'Datos históricos'!P207,'Datos históricos'!P208,'Datos históricos'!P209,'Datos históricos'!P210,'Datos históricos'!P211,'Datos históricos'!P212,'Datos históricos'!P213,'Datos históricos'!P214,'Datos históricos'!P215,'Datos históricos'!P216,'Datos históricos'!P217,'Datos históricos'!P218)</f>
        <v>1880739636</v>
      </c>
      <c r="D49" s="77">
        <f>$B$7+($D$7-$B$7)*(G74-$G$72)/(1-$G$72)</f>
        <v>1629058711.3133011</v>
      </c>
      <c r="E49" s="48"/>
      <c r="F49" s="48"/>
      <c r="G49" s="48"/>
      <c r="H49" s="48"/>
      <c r="I49" s="48"/>
      <c r="J49" s="48"/>
      <c r="K49" s="48"/>
      <c r="L49" s="48"/>
      <c r="M49" s="48"/>
      <c r="N49" s="48"/>
      <c r="O49" s="48"/>
      <c r="P49" s="48"/>
      <c r="Q49" s="48"/>
      <c r="R49" s="48"/>
      <c r="S49" s="48"/>
      <c r="T49" s="48"/>
      <c r="U49" s="48"/>
      <c r="V49" s="48"/>
      <c r="W49" s="48"/>
      <c r="X49" s="48"/>
      <c r="Y49" s="48"/>
      <c r="Z49" s="1"/>
    </row>
    <row r="50" spans="1:26" ht="13.5" customHeight="1">
      <c r="A50" s="1"/>
      <c r="B50" s="76" t="s">
        <v>27</v>
      </c>
      <c r="C50" s="77">
        <f>SUM('Datos históricos'!Q201,'Datos históricos'!Q202,'Datos históricos'!Q203,'Datos históricos'!Q204,'Datos históricos'!Q205,'Datos históricos'!Q206,'Datos históricos'!Q207,'Datos históricos'!Q208,'Datos históricos'!Q209,'Datos históricos'!Q210,'Datos históricos'!Q211,'Datos históricos'!Q212,'Datos históricos'!Q213,'Datos históricos'!Q214,'Datos históricos'!Q215,'Datos históricos'!Q216,'Datos históricos'!Q217,'Datos históricos'!Q218)</f>
        <v>2074564176</v>
      </c>
      <c r="D50" s="77">
        <f>$B$7+($D$7-$B$7)*(G75-$G$72)/(1-$G$72)</f>
        <v>1804095737.5701885</v>
      </c>
      <c r="E50" s="48"/>
      <c r="F50" s="48"/>
      <c r="G50" s="48"/>
      <c r="H50" s="48"/>
      <c r="I50" s="48"/>
      <c r="J50" s="48"/>
      <c r="K50" s="48"/>
      <c r="L50" s="48"/>
      <c r="M50" s="48"/>
      <c r="N50" s="48"/>
      <c r="O50" s="48"/>
      <c r="P50" s="48"/>
      <c r="Q50" s="48"/>
      <c r="R50" s="48"/>
      <c r="S50" s="48"/>
      <c r="T50" s="48"/>
      <c r="U50" s="48"/>
      <c r="V50" s="48"/>
      <c r="W50" s="48"/>
      <c r="X50" s="48"/>
      <c r="Y50" s="48"/>
      <c r="Z50" s="1"/>
    </row>
    <row r="51" spans="1:26" ht="13.5" customHeight="1">
      <c r="A51" s="1"/>
      <c r="B51" s="76" t="s">
        <v>28</v>
      </c>
      <c r="C51" s="77">
        <f>SUM('Datos históricos'!R201,'Datos históricos'!R202,'Datos históricos'!R203,'Datos históricos'!R204,'Datos históricos'!R205,'Datos históricos'!R206,'Datos históricos'!R207,'Datos históricos'!R208,'Datos históricos'!R209,'Datos históricos'!R210,'Datos históricos'!R211,'Datos históricos'!R212,'Datos históricos'!R213,'Datos históricos'!R214,'Datos históricos'!R215,'Datos históricos'!R216,'Datos históricos'!R217,'Datos históricos'!R218)</f>
        <v>2292119853</v>
      </c>
      <c r="D51" s="77">
        <f>$B$7+($D$7-$B$7)*(G76-$G$72)/(1-$G$72)</f>
        <v>2036299127.7880509</v>
      </c>
      <c r="E51" s="48"/>
      <c r="F51" s="48"/>
      <c r="G51" s="48"/>
      <c r="H51" s="48"/>
      <c r="I51" s="48"/>
      <c r="J51" s="48"/>
      <c r="K51" s="48"/>
      <c r="L51" s="48"/>
      <c r="M51" s="48"/>
      <c r="N51" s="48"/>
      <c r="O51" s="48"/>
      <c r="P51" s="48"/>
      <c r="Q51" s="48"/>
      <c r="R51" s="48"/>
      <c r="S51" s="48"/>
      <c r="T51" s="48"/>
      <c r="U51" s="48"/>
      <c r="V51" s="48"/>
      <c r="W51" s="48"/>
      <c r="X51" s="48"/>
      <c r="Y51" s="48"/>
      <c r="Z51" s="1"/>
    </row>
    <row r="52" spans="1:26" ht="13.5" customHeight="1">
      <c r="A52" s="1"/>
      <c r="B52" s="76" t="s">
        <v>29</v>
      </c>
      <c r="C52" s="77">
        <f>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f>
        <v>2769768945</v>
      </c>
      <c r="D52" s="77">
        <f>$B$7+($D$7-$B$7)*(G77-$G$72)/(1-$G$72)</f>
        <v>2500254014.392045</v>
      </c>
      <c r="E52" s="48"/>
      <c r="F52" s="48"/>
      <c r="G52" s="48"/>
      <c r="H52" s="48"/>
      <c r="I52" s="48"/>
      <c r="J52" s="48"/>
      <c r="K52" s="48"/>
      <c r="L52" s="48"/>
      <c r="M52" s="48"/>
      <c r="N52" s="48"/>
      <c r="O52" s="48"/>
      <c r="P52" s="48"/>
      <c r="Q52" s="48"/>
      <c r="R52" s="48"/>
      <c r="S52" s="48"/>
      <c r="T52" s="48"/>
      <c r="U52" s="48"/>
      <c r="V52" s="48"/>
      <c r="W52" s="48"/>
      <c r="X52" s="48"/>
      <c r="Y52" s="48"/>
      <c r="Z52" s="1"/>
    </row>
    <row r="53" spans="1:26" ht="13.5" customHeight="1">
      <c r="A53" s="1"/>
      <c r="B53" s="48"/>
      <c r="C53" s="48"/>
      <c r="D53" s="48"/>
      <c r="E53" s="48"/>
      <c r="F53" s="48"/>
      <c r="G53" s="48"/>
      <c r="H53" s="48"/>
      <c r="I53" s="48"/>
      <c r="J53" s="48"/>
      <c r="K53" s="48"/>
      <c r="L53" s="48"/>
      <c r="M53" s="48"/>
      <c r="N53" s="48"/>
      <c r="O53" s="48"/>
      <c r="P53" s="48"/>
      <c r="Q53" s="48"/>
      <c r="R53" s="48"/>
      <c r="S53" s="48"/>
      <c r="T53" s="48"/>
      <c r="U53" s="48"/>
      <c r="V53" s="48"/>
      <c r="W53" s="48"/>
      <c r="X53" s="48"/>
      <c r="Y53" s="48"/>
      <c r="Z53" s="1"/>
    </row>
    <row r="54" spans="1:26" ht="13.5" customHeight="1">
      <c r="A54" s="1"/>
      <c r="B54" s="48"/>
      <c r="C54" s="48"/>
      <c r="D54" s="48"/>
      <c r="E54" s="48"/>
      <c r="F54" s="48"/>
      <c r="G54" s="48"/>
      <c r="H54" s="48"/>
      <c r="I54" s="48"/>
      <c r="J54" s="48"/>
      <c r="K54" s="48"/>
      <c r="L54" s="48"/>
      <c r="M54" s="48"/>
      <c r="N54" s="48"/>
      <c r="O54" s="48"/>
      <c r="P54" s="48"/>
      <c r="Q54" s="48"/>
      <c r="R54" s="48"/>
      <c r="S54" s="48"/>
      <c r="T54" s="48"/>
      <c r="U54" s="48"/>
      <c r="V54" s="48"/>
      <c r="W54" s="48"/>
      <c r="X54" s="48"/>
      <c r="Y54" s="48"/>
      <c r="Z54" s="1"/>
    </row>
    <row r="55" spans="1:26" ht="13.5" customHeight="1">
      <c r="A55" s="1"/>
      <c r="B55" s="48"/>
      <c r="C55" s="48"/>
      <c r="D55" s="48"/>
      <c r="E55" s="48"/>
      <c r="F55" s="48"/>
      <c r="G55" s="48"/>
      <c r="H55" s="48"/>
      <c r="I55" s="48"/>
      <c r="J55" s="48"/>
      <c r="K55" s="48"/>
      <c r="L55" s="48"/>
      <c r="M55" s="48"/>
      <c r="N55" s="48"/>
      <c r="O55" s="48"/>
      <c r="P55" s="48"/>
      <c r="Q55" s="48"/>
      <c r="R55" s="48"/>
      <c r="S55" s="48"/>
      <c r="T55" s="48"/>
      <c r="U55" s="48"/>
      <c r="V55" s="48"/>
      <c r="W55" s="48"/>
      <c r="X55" s="48"/>
      <c r="Y55" s="48"/>
      <c r="Z55" s="1"/>
    </row>
    <row r="56" spans="1:26" ht="13.5" customHeight="1">
      <c r="A56" s="1"/>
      <c r="B56" s="48"/>
      <c r="C56" s="48"/>
      <c r="D56" s="48"/>
      <c r="E56" s="48"/>
      <c r="F56" s="48"/>
      <c r="G56" s="48"/>
      <c r="H56" s="48"/>
      <c r="I56" s="48"/>
      <c r="J56" s="48"/>
      <c r="K56" s="48"/>
      <c r="L56" s="48"/>
      <c r="M56" s="48"/>
      <c r="N56" s="48"/>
      <c r="O56" s="48"/>
      <c r="P56" s="48"/>
      <c r="Q56" s="48"/>
      <c r="R56" s="48"/>
      <c r="S56" s="48"/>
      <c r="T56" s="48"/>
      <c r="U56" s="48"/>
      <c r="V56" s="48"/>
      <c r="W56" s="48"/>
      <c r="X56" s="48"/>
      <c r="Y56" s="48"/>
      <c r="Z56" s="1"/>
    </row>
    <row r="57" spans="1:26" ht="13.5" customHeight="1">
      <c r="A57" s="1"/>
      <c r="B57" s="48"/>
      <c r="C57" s="48"/>
      <c r="D57" s="48"/>
      <c r="E57" s="48"/>
      <c r="F57" s="48"/>
      <c r="G57" s="48"/>
      <c r="H57" s="48"/>
      <c r="I57" s="48"/>
      <c r="J57" s="48"/>
      <c r="K57" s="48"/>
      <c r="L57" s="48"/>
      <c r="M57" s="48"/>
      <c r="N57" s="48"/>
      <c r="O57" s="48"/>
      <c r="P57" s="48"/>
      <c r="Q57" s="48"/>
      <c r="R57" s="48"/>
      <c r="S57" s="48"/>
      <c r="T57" s="48"/>
      <c r="U57" s="48"/>
      <c r="V57" s="48"/>
      <c r="W57" s="48"/>
      <c r="X57" s="48"/>
      <c r="Y57" s="48"/>
      <c r="Z57" s="1"/>
    </row>
    <row r="58" spans="1:26" ht="13.5" customHeight="1">
      <c r="A58" s="1"/>
      <c r="B58" s="93" t="s">
        <v>126</v>
      </c>
      <c r="C58" s="93" t="s">
        <v>18</v>
      </c>
      <c r="D58" s="93" t="s">
        <v>19</v>
      </c>
      <c r="E58" s="93" t="s">
        <v>20</v>
      </c>
      <c r="F58" s="93" t="s">
        <v>21</v>
      </c>
      <c r="G58" s="93" t="s">
        <v>22</v>
      </c>
      <c r="H58" s="93" t="s">
        <v>23</v>
      </c>
      <c r="I58" s="93" t="s">
        <v>24</v>
      </c>
      <c r="J58" s="93" t="s">
        <v>25</v>
      </c>
      <c r="K58" s="93" t="s">
        <v>26</v>
      </c>
      <c r="L58" s="93" t="s">
        <v>27</v>
      </c>
      <c r="M58" s="93" t="s">
        <v>28</v>
      </c>
      <c r="N58" s="93" t="s">
        <v>29</v>
      </c>
      <c r="O58" s="48"/>
      <c r="P58" s="48"/>
      <c r="Q58" s="48"/>
      <c r="R58" s="48"/>
      <c r="S58" s="48"/>
      <c r="T58" s="48"/>
      <c r="U58" s="48"/>
      <c r="V58" s="48"/>
      <c r="W58" s="48"/>
      <c r="X58" s="48"/>
      <c r="Y58" s="48"/>
      <c r="Z58" s="1"/>
    </row>
    <row r="59" spans="1:26" ht="13.5" customHeight="1">
      <c r="A59" s="1"/>
      <c r="B59" s="94">
        <v>2021</v>
      </c>
      <c r="C59" s="95">
        <f>IFERROR(SUM('Datos históricos'!H129,'Datos históricos'!H130,'Datos históricos'!H131,'Datos históricos'!H132,'Datos históricos'!H133,'Datos históricos'!H134,'Datos históricos'!H135,'Datos históricos'!H136,'Datos históricos'!H137,'Datos históricos'!H138,'Datos históricos'!H139,'Datos históricos'!H140,'Datos históricos'!H141,'Datos históricos'!H142,'Datos históricos'!H143,'Datos históricos'!H144,'Datos históricos'!H145,'Datos históricos'!H146)/SUM('Datos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6.5129679142988256E-3</v>
      </c>
      <c r="D59" s="95">
        <f>IFERROR(SUM('Datos históricos'!I129,'Datos históricos'!I130,'Datos históricos'!I131,'Datos históricos'!I132,'Datos históricos'!I133,'Datos históricos'!I134,'Datos históricos'!I135,'Datos históricos'!I136,'Datos históricos'!I137,'Datos históricos'!I138,'Datos históricos'!I139,'Datos históricos'!I140,'Datos históricos'!I141,'Datos históricos'!I142,'Datos históricos'!I143,'Datos históricos'!I144,'Datos históricos'!I145,'Datos históricos'!I146)/SUM('Datos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9.9229022081911936E-2</v>
      </c>
      <c r="E59" s="95">
        <f>IFERROR(SUM('Datos históricos'!J129,'Datos históricos'!J130,'Datos históricos'!J131,'Datos históricos'!J132,'Datos históricos'!J133,'Datos históricos'!J134,'Datos históricos'!J135,'Datos históricos'!J136,'Datos históricos'!J137,'Datos históricos'!J138,'Datos históricos'!J139,'Datos históricos'!J140,'Datos históricos'!J141,'Datos históricos'!J142,'Datos históricos'!J143,'Datos históricos'!J144,'Datos históricos'!J145,'Datos históricos'!J146)/SUM('Datos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0.19727617821778318</v>
      </c>
      <c r="F59" s="95">
        <f>IFERROR(SUM('Datos históricos'!K129,'Datos históricos'!K130,'Datos históricos'!K131,'Datos históricos'!K132,'Datos históricos'!K133,'Datos históricos'!K134,'Datos históricos'!K135,'Datos históricos'!K136,'Datos históricos'!K137,'Datos históricos'!K138,'Datos históricos'!K139,'Datos históricos'!K140,'Datos históricos'!K141,'Datos históricos'!K142,'Datos históricos'!K143,'Datos históricos'!K144,'Datos históricos'!K145,'Datos históricos'!K146)/SUM('Datos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0.28511081649434128</v>
      </c>
      <c r="G59" s="95">
        <f>IFERROR(SUM('Datos históricos'!L129,'Datos históricos'!L130,'Datos históricos'!L131,'Datos históricos'!L132,'Datos históricos'!L133,'Datos históricos'!L134,'Datos históricos'!L135,'Datos históricos'!L136,'Datos históricos'!L137,'Datos históricos'!L138,'Datos históricos'!L139,'Datos históricos'!L140,'Datos históricos'!L141,'Datos históricos'!L142,'Datos históricos'!L143,'Datos históricos'!L144,'Datos históricos'!L145,'Datos históricos'!L146)/SUM('Datos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0.36439478987342788</v>
      </c>
      <c r="H59" s="95">
        <f>IFERROR(SUM('Datos históricos'!M129,'Datos históricos'!M130,'Datos históricos'!M131,'Datos históricos'!M132,'Datos históricos'!M133,'Datos históricos'!M134,'Datos históricos'!M135,'Datos históricos'!M136,'Datos históricos'!M137,'Datos históricos'!M138,'Datos históricos'!M139,'Datos históricos'!M140,'Datos históricos'!M141,'Datos históricos'!M142,'Datos históricos'!M143,'Datos históricos'!M144,'Datos históricos'!M145,'Datos históricos'!M146)/SUM('Datos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0.4394018442242435</v>
      </c>
      <c r="I59" s="95">
        <f>IFERROR(SUM('Datos históricos'!N129,'Datos históricos'!N130,'Datos históricos'!N131,'Datos históricos'!N132,'Datos históricos'!N133,'Datos históricos'!N134,'Datos históricos'!N135,'Datos históricos'!N136,'Datos históricos'!N137,'Datos históricos'!N138,'Datos históricos'!N139,'Datos históricos'!N140,'Datos históricos'!N141,'Datos históricos'!N142,'Datos históricos'!N143,'Datos históricos'!N144,'Datos históricos'!N145,'Datos históricos'!N146)/SUM('Datos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0.50849592646638442</v>
      </c>
      <c r="J59" s="95">
        <f>IFERROR(SUM('Datos históricos'!O129,'Datos históricos'!O130,'Datos históricos'!O131,'Datos históricos'!O132,'Datos históricos'!O133,'Datos históricos'!O134,'Datos históricos'!O135,'Datos históricos'!O136,'Datos históricos'!O137,'Datos históricos'!O138,'Datos históricos'!O139,'Datos históricos'!O140,'Datos históricos'!O141,'Datos históricos'!O142,'Datos históricos'!O143,'Datos históricos'!O144,'Datos históricos'!O145,'Datos históricos'!O146)/SUM('Datos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0.58887412379905646</v>
      </c>
      <c r="K59" s="95">
        <f>IFERROR(SUM('Datos históricos'!P129,'Datos históricos'!P130,'Datos históricos'!P131,'Datos históricos'!P132,'Datos históricos'!P133,'Datos históricos'!P134,'Datos históricos'!P135,'Datos históricos'!P136,'Datos históricos'!P137,'Datos históricos'!P138,'Datos históricos'!P139,'Datos históricos'!P140,'Datos históricos'!P141,'Datos históricos'!P142,'Datos históricos'!P143,'Datos históricos'!P144,'Datos históricos'!P145,'Datos históricos'!P146)/SUM('Datos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0.66069860379319467</v>
      </c>
      <c r="L59" s="95">
        <f>IFERROR(SUM('Datos históricos'!Q129,'Datos históricos'!Q130,'Datos históricos'!Q131,'Datos históricos'!Q132,'Datos históricos'!Q133,'Datos históricos'!Q134,'Datos históricos'!Q135,'Datos históricos'!Q136,'Datos históricos'!Q137,'Datos históricos'!Q138,'Datos históricos'!Q139,'Datos históricos'!Q140,'Datos históricos'!Q141,'Datos históricos'!Q142,'Datos históricos'!Q143,'Datos históricos'!Q144,'Datos históricos'!Q145,'Datos históricos'!Q146)/SUM('Datos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0.72886966392973118</v>
      </c>
      <c r="M59" s="95">
        <f>IFERROR(SUM('Datos históricos'!R129,'Datos históricos'!R130,'Datos históricos'!R131,'Datos históricos'!R132,'Datos históricos'!R133,'Datos históricos'!R134,'Datos históricos'!R135,'Datos históricos'!R136,'Datos históricos'!R137,'Datos históricos'!R138,'Datos históricos'!R139,'Datos históricos'!R140,'Datos históricos'!R141,'Datos históricos'!R142,'Datos históricos'!R143,'Datos históricos'!R144,'Datos históricos'!R145,'Datos históricos'!R146)/SUM('Datos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0.81930510845800941</v>
      </c>
      <c r="N59" s="95">
        <f>IFERROR(SUM('Datos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históricos'!S146)/SUM('Datos históricos'!S129,'Datos históricos'!S130,'Datos históricos'!S131,'Datos históricos'!S132,'Datos históricos'!S133,'Datos históricos'!S134,'Datos históricos'!S135,'Datos históricos'!S136,'Datos históricos'!S137,'Datos históricos'!S138,'Datos históricos'!S139,'Datos históricos'!S140,'Datos históricos'!S141,'Datos históricos'!S142,'Datos históricos'!S143,'Datos históricos'!S144,'Datos históricos'!S145,'Datos históricos'!S146),0)</f>
        <v>1</v>
      </c>
      <c r="O59" s="48"/>
      <c r="P59" s="48"/>
      <c r="Q59" s="48"/>
      <c r="R59" s="48"/>
      <c r="S59" s="48"/>
      <c r="T59" s="48"/>
      <c r="U59" s="48"/>
      <c r="V59" s="48"/>
      <c r="W59" s="48"/>
      <c r="X59" s="48"/>
      <c r="Y59" s="48"/>
      <c r="Z59" s="1"/>
    </row>
    <row r="60" spans="1:26" ht="13.5" customHeight="1">
      <c r="A60" s="1"/>
      <c r="B60" s="94">
        <v>2022</v>
      </c>
      <c r="C60" s="95">
        <f>IFERROR(SUM('Datos históricos'!H147,'Datos históricos'!H148,'Datos históricos'!H149,'Datos históricos'!H150,'Datos históricos'!H151,'Datos históricos'!H152,'Datos históricos'!H153,'Datos históricos'!H154,'Datos históricos'!H155,'Datos históricos'!H156,'Datos históricos'!H157,'Datos históricos'!H158,'Datos históricos'!H159,'Datos históricos'!H160,'Datos históricos'!H161,'Datos históricos'!H162,'Datos históricos'!H163,'Datos históricos'!H164)/SUM('Datos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6.2618420653102655E-4</v>
      </c>
      <c r="D60" s="95">
        <f>IFERROR(SUM('Datos históricos'!I147,'Datos históricos'!I148,'Datos históricos'!I149,'Datos históricos'!I150,'Datos históricos'!I151,'Datos históricos'!I152,'Datos históricos'!I153,'Datos históricos'!I154,'Datos históricos'!I155,'Datos históricos'!I156,'Datos históricos'!I157,'Datos históricos'!I158,'Datos históricos'!I159,'Datos históricos'!I160,'Datos históricos'!I161,'Datos históricos'!I162,'Datos históricos'!I163,'Datos históricos'!I164)/SUM('Datos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5.1521325024099486E-2</v>
      </c>
      <c r="E60" s="95">
        <f>IFERROR(SUM('Datos históricos'!J147,'Datos históricos'!J148,'Datos históricos'!J149,'Datos históricos'!J150,'Datos históricos'!J151,'Datos históricos'!J152,'Datos históricos'!J153,'Datos históricos'!J154,'Datos históricos'!J155,'Datos históricos'!J156,'Datos históricos'!J157,'Datos históricos'!J158,'Datos históricos'!J159,'Datos históricos'!J160,'Datos históricos'!J161,'Datos históricos'!J162,'Datos históricos'!J163,'Datos históricos'!J164)/SUM('Datos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0.13028653353622774</v>
      </c>
      <c r="F60" s="95">
        <f>IFERROR(SUM('Datos históricos'!K147,'Datos históricos'!K148,'Datos históricos'!K149,'Datos históricos'!K150,'Datos históricos'!K151,'Datos históricos'!K152,'Datos históricos'!K153,'Datos históricos'!K154,'Datos históricos'!K155,'Datos históricos'!K156,'Datos históricos'!K157,'Datos históricos'!K158,'Datos históricos'!K159,'Datos históricos'!K160,'Datos históricos'!K161,'Datos históricos'!K162,'Datos históricos'!K163,'Datos históricos'!K164)/SUM('Datos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0.2002574855673655</v>
      </c>
      <c r="G60" s="95">
        <f>IFERROR(SUM('Datos históricos'!L147,'Datos históricos'!L148,'Datos históricos'!L149,'Datos históricos'!L150,'Datos históricos'!L151,'Datos históricos'!L152,'Datos históricos'!L153,'Datos históricos'!L154,'Datos históricos'!L155,'Datos históricos'!L156,'Datos históricos'!L157,'Datos históricos'!L158,'Datos históricos'!L159,'Datos históricos'!L160,'Datos históricos'!L161,'Datos históricos'!L162,'Datos históricos'!L163,'Datos históricos'!L164)/SUM('Datos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0.27161035470328715</v>
      </c>
      <c r="H60" s="95">
        <f>IFERROR(SUM('Datos históricos'!M147,'Datos históricos'!M148,'Datos históricos'!M149,'Datos históricos'!M150,'Datos históricos'!M151,'Datos históricos'!M152,'Datos históricos'!M153,'Datos históricos'!M154,'Datos históricos'!M155,'Datos históricos'!M156,'Datos históricos'!M157,'Datos históricos'!M158,'Datos históricos'!M159,'Datos históricos'!M160,'Datos históricos'!M161,'Datos históricos'!M162,'Datos históricos'!M163,'Datos históricos'!M164)/SUM('Datos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0.33335009318735914</v>
      </c>
      <c r="I60" s="95">
        <f>IFERROR(SUM('Datos históricos'!N147,'Datos históricos'!N148,'Datos históricos'!N149,'Datos históricos'!N150,'Datos históricos'!N151,'Datos históricos'!N152,'Datos históricos'!N153,'Datos históricos'!N154,'Datos históricos'!N155,'Datos históricos'!N156,'Datos históricos'!N157,'Datos históricos'!N158,'Datos históricos'!N159,'Datos históricos'!N160,'Datos históricos'!N161,'Datos históricos'!N162,'Datos históricos'!N163,'Datos históricos'!N164)/SUM('Datos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0.3961740998251474</v>
      </c>
      <c r="J60" s="95">
        <f>IFERROR(SUM('Datos históricos'!O147,'Datos históricos'!O148,'Datos históricos'!O149,'Datos históricos'!O150,'Datos históricos'!O151,'Datos históricos'!O152,'Datos históricos'!O153,'Datos históricos'!O154,'Datos históricos'!O155,'Datos históricos'!O156,'Datos históricos'!O157,'Datos históricos'!O158,'Datos históricos'!O159,'Datos históricos'!O160,'Datos históricos'!O161,'Datos históricos'!O162,'Datos históricos'!O163,'Datos históricos'!O164)/SUM('Datos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0.46125377854701738</v>
      </c>
      <c r="K60" s="95">
        <f>IFERROR(SUM('Datos históricos'!P147,'Datos históricos'!P148,'Datos históricos'!P149,'Datos históricos'!P150,'Datos históricos'!P151,'Datos históricos'!P152,'Datos históricos'!P153,'Datos históricos'!P154,'Datos históricos'!P155,'Datos históricos'!P156,'Datos históricos'!P157,'Datos históricos'!P158,'Datos históricos'!P159,'Datos históricos'!P160,'Datos históricos'!P161,'Datos históricos'!P162,'Datos históricos'!P163,'Datos históricos'!P164)/SUM('Datos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0.58820384608852549</v>
      </c>
      <c r="L60" s="95">
        <f>IFERROR(SUM('Datos históricos'!Q147,'Datos históricos'!Q148,'Datos históricos'!Q149,'Datos históricos'!Q150,'Datos históricos'!Q151,'Datos históricos'!Q152,'Datos históricos'!Q153,'Datos históricos'!Q154,'Datos históricos'!Q155,'Datos históricos'!Q156,'Datos históricos'!Q157,'Datos históricos'!Q158,'Datos históricos'!Q159,'Datos históricos'!Q160,'Datos históricos'!Q161,'Datos históricos'!Q162,'Datos históricos'!Q163,'Datos históricos'!Q164)/SUM('Datos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0.66563016649612572</v>
      </c>
      <c r="M60" s="95">
        <f>IFERROR(SUM('Datos históricos'!R147,'Datos históricos'!R148,'Datos históricos'!R149,'Datos históricos'!R150,'Datos históricos'!R151,'Datos históricos'!R152,'Datos históricos'!R153,'Datos históricos'!R154,'Datos históricos'!R155,'Datos históricos'!R156,'Datos históricos'!R157,'Datos históricos'!R158,'Datos históricos'!R159,'Datos históricos'!R160,'Datos históricos'!R161,'Datos históricos'!R162,'Datos históricos'!R163,'Datos históricos'!R164)/SUM('Datos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0.76026111316046041</v>
      </c>
      <c r="N60" s="95">
        <f>IFERROR(SUM('Datos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históricos'!S164)/SUM('Datos históricos'!S147,'Datos históricos'!S148,'Datos históricos'!S149,'Datos históricos'!S150,'Datos históricos'!S151,'Datos históricos'!S152,'Datos históricos'!S153,'Datos históricos'!S154,'Datos históricos'!S155,'Datos históricos'!S156,'Datos históricos'!S157,'Datos históricos'!S158,'Datos históricos'!S159,'Datos históricos'!S160,'Datos históricos'!S161,'Datos históricos'!S162,'Datos históricos'!S163,'Datos históricos'!S164),0)</f>
        <v>1</v>
      </c>
      <c r="O60" s="48"/>
      <c r="P60" s="48"/>
      <c r="Q60" s="48"/>
      <c r="R60" s="48"/>
      <c r="S60" s="48"/>
      <c r="T60" s="48"/>
      <c r="U60" s="48"/>
      <c r="V60" s="48"/>
      <c r="W60" s="48"/>
      <c r="X60" s="48"/>
      <c r="Y60" s="48"/>
      <c r="Z60" s="1"/>
    </row>
    <row r="61" spans="1:26" ht="13.5" customHeight="1">
      <c r="A61" s="1"/>
      <c r="B61" s="94">
        <v>2023</v>
      </c>
      <c r="C61" s="95">
        <f>IFERROR(SUM('Datos históricos'!H165,'Datos históricos'!H166,'Datos históricos'!H167,'Datos históricos'!H168,'Datos históricos'!H169,'Datos históricos'!H170,'Datos históricos'!H171,'Datos históricos'!H172,'Datos históricos'!H173,'Datos históricos'!H174,'Datos históricos'!H175,'Datos históricos'!H176,'Datos históricos'!H177,'Datos históricos'!H178,'Datos históricos'!H179,'Datos históricos'!H180,'Datos históricos'!H181,'Datos históricos'!H182)/SUM('Datos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9.7580129436077542E-6</v>
      </c>
      <c r="D61" s="95">
        <f>IFERROR(SUM('Datos históricos'!I165,'Datos históricos'!I166,'Datos históricos'!I167,'Datos históricos'!I168,'Datos históricos'!I169,'Datos históricos'!I170,'Datos históricos'!I171,'Datos históricos'!I172,'Datos históricos'!I173,'Datos históricos'!I174,'Datos históricos'!I175,'Datos históricos'!I176,'Datos históricos'!I177,'Datos históricos'!I178,'Datos históricos'!I179,'Datos históricos'!I180,'Datos históricos'!I181,'Datos históricos'!I182)/SUM('Datos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2.3758728637884134E-2</v>
      </c>
      <c r="E61" s="95">
        <f>IFERROR(SUM('Datos históricos'!J165,'Datos históricos'!J166,'Datos históricos'!J167,'Datos históricos'!J168,'Datos históricos'!J169,'Datos históricos'!J170,'Datos históricos'!J171,'Datos históricos'!J172,'Datos históricos'!J173,'Datos históricos'!J174,'Datos históricos'!J175,'Datos históricos'!J176,'Datos históricos'!J177,'Datos históricos'!J178,'Datos históricos'!J179,'Datos históricos'!J180,'Datos históricos'!J181,'Datos históricos'!J182)/SUM('Datos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0.11192713068008366</v>
      </c>
      <c r="F61" s="95">
        <f>IFERROR(SUM('Datos históricos'!K165,'Datos históricos'!K166,'Datos históricos'!K167,'Datos históricos'!K168,'Datos históricos'!K169,'Datos históricos'!K170,'Datos históricos'!K171,'Datos históricos'!K172,'Datos históricos'!K173,'Datos históricos'!K174,'Datos históricos'!K175,'Datos históricos'!K176,'Datos históricos'!K177,'Datos históricos'!K178,'Datos históricos'!K179,'Datos históricos'!K180,'Datos históricos'!K181,'Datos históricos'!K182)/SUM('Datos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0.2159819096447757</v>
      </c>
      <c r="G61" s="95">
        <f>IFERROR(SUM('Datos históricos'!L165,'Datos históricos'!L166,'Datos históricos'!L167,'Datos históricos'!L168,'Datos históricos'!L169,'Datos históricos'!L170,'Datos históricos'!L171,'Datos históricos'!L172,'Datos históricos'!L173,'Datos históricos'!L174,'Datos históricos'!L175,'Datos históricos'!L176,'Datos históricos'!L177,'Datos históricos'!L178,'Datos históricos'!L179,'Datos históricos'!L180,'Datos históricos'!L181,'Datos históricos'!L182)/SUM('Datos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0.29895001715563974</v>
      </c>
      <c r="H61" s="95">
        <f>IFERROR(SUM('Datos históricos'!M165,'Datos históricos'!M166,'Datos históricos'!M167,'Datos históricos'!M168,'Datos históricos'!M169,'Datos históricos'!M170,'Datos históricos'!M171,'Datos históricos'!M172,'Datos históricos'!M173,'Datos históricos'!M174,'Datos históricos'!M175,'Datos históricos'!M176,'Datos históricos'!M177,'Datos históricos'!M178,'Datos históricos'!M179,'Datos históricos'!M180,'Datos históricos'!M181,'Datos históricos'!M182)/SUM('Datos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0.37283564499183497</v>
      </c>
      <c r="I61" s="95">
        <f>IFERROR(SUM('Datos históricos'!N165,'Datos históricos'!N166,'Datos históricos'!N167,'Datos históricos'!N168,'Datos históricos'!N169,'Datos históricos'!N170,'Datos históricos'!N171,'Datos históricos'!N172,'Datos históricos'!N173,'Datos históricos'!N174,'Datos históricos'!N175,'Datos históricos'!N176,'Datos históricos'!N177,'Datos históricos'!N178,'Datos históricos'!N179,'Datos históricos'!N180,'Datos históricos'!N181,'Datos históricos'!N182)/SUM('Datos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0.44183824617263151</v>
      </c>
      <c r="J61" s="95">
        <f>IFERROR(SUM('Datos históricos'!O165,'Datos históricos'!O166,'Datos históricos'!O167,'Datos históricos'!O168,'Datos históricos'!O169,'Datos históricos'!O170,'Datos históricos'!O171,'Datos históricos'!O172,'Datos históricos'!O173,'Datos históricos'!O174,'Datos históricos'!O175,'Datos históricos'!O176,'Datos históricos'!O177,'Datos históricos'!O178,'Datos históricos'!O179,'Datos históricos'!O180,'Datos históricos'!O181,'Datos históricos'!O182)/SUM('Datos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0.50730679311334748</v>
      </c>
      <c r="K61" s="95">
        <f>IFERROR(SUM('Datos históricos'!P165,'Datos históricos'!P166,'Datos históricos'!P167,'Datos históricos'!P168,'Datos históricos'!P169,'Datos históricos'!P170,'Datos históricos'!P171,'Datos históricos'!P172,'Datos históricos'!P173,'Datos históricos'!P174,'Datos históricos'!P175,'Datos históricos'!P176,'Datos históricos'!P177,'Datos históricos'!P178,'Datos históricos'!P179,'Datos históricos'!P180,'Datos históricos'!P181,'Datos históricos'!P182)/SUM('Datos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0.57227319785427611</v>
      </c>
      <c r="L61" s="95">
        <f>IFERROR(SUM('Datos históricos'!Q165,'Datos históricos'!Q166,'Datos históricos'!Q167,'Datos históricos'!Q168,'Datos históricos'!Q169,'Datos históricos'!Q170,'Datos históricos'!Q171,'Datos históricos'!Q172,'Datos históricos'!Q173,'Datos históricos'!Q174,'Datos históricos'!Q175,'Datos históricos'!Q176,'Datos históricos'!Q177,'Datos históricos'!Q178,'Datos históricos'!Q179,'Datos históricos'!Q180,'Datos históricos'!Q181,'Datos históricos'!Q182)/SUM('Datos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0.64872677635587583</v>
      </c>
      <c r="M61" s="95">
        <f>IFERROR(SUM('Datos históricos'!R165,'Datos históricos'!R166,'Datos históricos'!R167,'Datos históricos'!R168,'Datos históricos'!R169,'Datos históricos'!R170,'Datos históricos'!R171,'Datos históricos'!R172,'Datos históricos'!R173,'Datos históricos'!R174,'Datos históricos'!R175,'Datos históricos'!R176,'Datos históricos'!R177,'Datos históricos'!R178,'Datos históricos'!R179,'Datos históricos'!R180,'Datos históricos'!R181,'Datos históricos'!R182)/SUM('Datos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0.75412848868433424</v>
      </c>
      <c r="N61" s="95">
        <f>IFERROR(SUM('Datos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históricos'!S182)/SUM('Datos históricos'!S165,'Datos históricos'!S166,'Datos históricos'!S167,'Datos históricos'!S168,'Datos históricos'!S169,'Datos históricos'!S170,'Datos históricos'!S171,'Datos históricos'!S172,'Datos históricos'!S173,'Datos históricos'!S174,'Datos históricos'!S175,'Datos históricos'!S176,'Datos históricos'!S177,'Datos históricos'!S178,'Datos históricos'!S179,'Datos históricos'!S180,'Datos históricos'!S181,'Datos históricos'!S182),0)</f>
        <v>1</v>
      </c>
      <c r="O61" s="48"/>
      <c r="P61" s="48"/>
      <c r="Q61" s="48"/>
      <c r="R61" s="48"/>
      <c r="S61" s="48"/>
      <c r="T61" s="48"/>
      <c r="U61" s="48"/>
      <c r="V61" s="48"/>
      <c r="W61" s="48"/>
      <c r="X61" s="48"/>
      <c r="Y61" s="48"/>
      <c r="Z61" s="1"/>
    </row>
    <row r="62" spans="1:26" ht="13.5" customHeight="1">
      <c r="A62" s="1"/>
      <c r="B62" s="94">
        <v>2024</v>
      </c>
      <c r="C62" s="95">
        <f>IFERROR(SUM('Datos históricos'!H183,'Datos históricos'!H184,'Datos históricos'!H185,'Datos históricos'!H186,'Datos históricos'!H187,'Datos históricos'!H188,'Datos históricos'!H189,'Datos históricos'!H190,'Datos históricos'!H191,'Datos históricos'!H192,'Datos históricos'!H193,'Datos históricos'!H194,'Datos históricos'!H195,'Datos históricos'!H196,'Datos históricos'!H197,'Datos históricos'!H198,'Datos históricos'!H199,'Datos históricos'!H200)/SUM('Datos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4.3398984912301112E-6</v>
      </c>
      <c r="D62" s="95">
        <f>IFERROR(SUM('Datos históricos'!I183,'Datos históricos'!I184,'Datos históricos'!I185,'Datos históricos'!I186,'Datos históricos'!I187,'Datos históricos'!I188,'Datos históricos'!I189,'Datos históricos'!I190,'Datos históricos'!I191,'Datos históricos'!I192,'Datos históricos'!I193,'Datos históricos'!I194,'Datos históricos'!I195,'Datos históricos'!I196,'Datos históricos'!I197,'Datos históricos'!I198,'Datos históricos'!I199,'Datos históricos'!I200)/SUM('Datos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6.8441323376514471E-2</v>
      </c>
      <c r="E62" s="95">
        <f>IFERROR(SUM('Datos históricos'!J183,'Datos históricos'!J184,'Datos históricos'!J185,'Datos históricos'!J186,'Datos históricos'!J187,'Datos históricos'!J188,'Datos históricos'!J189,'Datos históricos'!J190,'Datos históricos'!J191,'Datos históricos'!J192,'Datos históricos'!J193,'Datos históricos'!J194,'Datos históricos'!J195,'Datos históricos'!J196,'Datos históricos'!J197,'Datos históricos'!J198,'Datos históricos'!J199,'Datos históricos'!J200)/SUM('Datos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0.14741085973945167</v>
      </c>
      <c r="F62" s="95">
        <f>IFERROR(SUM('Datos históricos'!K183,'Datos históricos'!K184,'Datos históricos'!K185,'Datos históricos'!K186,'Datos históricos'!K187,'Datos históricos'!K188,'Datos históricos'!K189,'Datos históricos'!K190,'Datos históricos'!K191,'Datos históricos'!K192,'Datos históricos'!K193,'Datos históricos'!K194,'Datos históricos'!K195,'Datos históricos'!K196,'Datos históricos'!K197,'Datos históricos'!K198,'Datos históricos'!K199,'Datos históricos'!K200)/SUM('Datos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0.23083553319834574</v>
      </c>
      <c r="G62" s="95">
        <f>IFERROR(SUM('Datos históricos'!L183,'Datos históricos'!L184,'Datos históricos'!L185,'Datos históricos'!L186,'Datos históricos'!L187,'Datos históricos'!L188,'Datos históricos'!L189,'Datos históricos'!L190,'Datos históricos'!L191,'Datos históricos'!L192,'Datos históricos'!L193,'Datos históricos'!L194,'Datos históricos'!L195,'Datos históricos'!L196,'Datos históricos'!L197,'Datos históricos'!L198,'Datos históricos'!L199,'Datos históricos'!L200)/SUM('Datos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0.31690690253873116</v>
      </c>
      <c r="H62" s="95">
        <f>IFERROR(SUM('Datos históricos'!M183,'Datos históricos'!M184,'Datos históricos'!M185,'Datos históricos'!M186,'Datos históricos'!M187,'Datos históricos'!M188,'Datos históricos'!M189,'Datos históricos'!M190,'Datos históricos'!M191,'Datos históricos'!M192,'Datos históricos'!M193,'Datos históricos'!M194,'Datos históricos'!M195,'Datos históricos'!M196,'Datos históricos'!M197,'Datos históricos'!M198,'Datos históricos'!M199,'Datos históricos'!M200)/SUM('Datos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0.47546793276764504</v>
      </c>
      <c r="I62" s="95">
        <f>IFERROR(SUM('Datos históricos'!N183,'Datos históricos'!N184,'Datos históricos'!N185,'Datos históricos'!N186,'Datos históricos'!N187,'Datos históricos'!N188,'Datos históricos'!N189,'Datos históricos'!N190,'Datos históricos'!N191,'Datos históricos'!N192,'Datos históricos'!N193,'Datos históricos'!N194,'Datos históricos'!N195,'Datos históricos'!N196,'Datos históricos'!N197,'Datos históricos'!N198,'Datos históricos'!N199,'Datos históricos'!N200)/SUM('Datos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0.5307515311379174</v>
      </c>
      <c r="J62" s="95">
        <f>IFERROR(SUM('Datos históricos'!O183,'Datos históricos'!O184,'Datos históricos'!O185,'Datos históricos'!O186,'Datos históricos'!O187,'Datos históricos'!O188,'Datos históricos'!O189,'Datos históricos'!O190,'Datos históricos'!O191,'Datos históricos'!O192,'Datos históricos'!O193,'Datos históricos'!O194,'Datos históricos'!O195,'Datos históricos'!O196,'Datos históricos'!O197,'Datos históricos'!O198,'Datos históricos'!O199,'Datos históricos'!O200)/SUM('Datos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0.59223327036743334</v>
      </c>
      <c r="K62" s="95">
        <f>IFERROR(SUM('Datos históricos'!P183,'Datos históricos'!P184,'Datos históricos'!P185,'Datos históricos'!P186,'Datos históricos'!P187,'Datos históricos'!P188,'Datos históricos'!P189,'Datos históricos'!P190,'Datos históricos'!P191,'Datos históricos'!P192,'Datos históricos'!P193,'Datos históricos'!P194,'Datos históricos'!P195,'Datos históricos'!P196,'Datos históricos'!P197,'Datos históricos'!P198,'Datos históricos'!P199,'Datos históricos'!P200)/SUM('Datos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0.67506324464166001</v>
      </c>
      <c r="L62" s="95">
        <f>IFERROR(SUM('Datos históricos'!Q183,'Datos históricos'!Q184,'Datos históricos'!Q185,'Datos históricos'!Q186,'Datos históricos'!Q187,'Datos históricos'!Q188,'Datos históricos'!Q189,'Datos históricos'!Q190,'Datos históricos'!Q191,'Datos históricos'!Q192,'Datos históricos'!Q193,'Datos históricos'!Q194,'Datos históricos'!Q195,'Datos históricos'!Q196,'Datos históricos'!Q197,'Datos históricos'!Q198,'Datos históricos'!Q199,'Datos históricos'!Q200)/SUM('Datos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0.76059770229449719</v>
      </c>
      <c r="M62" s="95">
        <f>IFERROR(SUM('Datos históricos'!R183,'Datos históricos'!R184,'Datos históricos'!R185,'Datos históricos'!R186,'Datos históricos'!R187,'Datos históricos'!R188,'Datos históricos'!R189,'Datos históricos'!R190,'Datos históricos'!R191,'Datos históricos'!R192,'Datos históricos'!R193,'Datos históricos'!R194,'Datos históricos'!R195,'Datos históricos'!R196,'Datos históricos'!R197,'Datos históricos'!R198,'Datos históricos'!R199,'Datos históricos'!R200)/SUM('Datos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0.87255743489005799</v>
      </c>
      <c r="N62" s="95">
        <f>IFERROR(SUM('Datos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históricos'!S200)/SUM('Datos históricos'!S183,'Datos históricos'!S184,'Datos históricos'!S185,'Datos históricos'!S186,'Datos históricos'!S187,'Datos históricos'!S188,'Datos históricos'!S189,'Datos históricos'!S190,'Datos históricos'!S191,'Datos históricos'!S192,'Datos históricos'!S193,'Datos históricos'!S194,'Datos históricos'!S195,'Datos históricos'!S196,'Datos históricos'!S197,'Datos históricos'!S198,'Datos históricos'!S199,'Datos históricos'!S200),0)</f>
        <v>1</v>
      </c>
      <c r="O62" s="48"/>
      <c r="P62" s="48"/>
      <c r="Q62" s="48"/>
      <c r="R62" s="48"/>
      <c r="S62" s="48"/>
      <c r="T62" s="48"/>
      <c r="U62" s="48"/>
      <c r="V62" s="48"/>
      <c r="W62" s="48"/>
      <c r="X62" s="48"/>
      <c r="Y62" s="48"/>
      <c r="Z62" s="1"/>
    </row>
    <row r="63" spans="1:26" ht="13.5" customHeight="1">
      <c r="A63" s="1"/>
      <c r="B63" s="94">
        <v>2025</v>
      </c>
      <c r="C63" s="95">
        <f>IFERROR(SUM('Datos históricos'!H201,'Datos históricos'!H202,'Datos históricos'!H203,'Datos históricos'!H204,'Datos históricos'!H205,'Datos históricos'!H206,'Datos históricos'!H207,'Datos históricos'!H208,'Datos históricos'!H209,'Datos históricos'!H210,'Datos históricos'!H211,'Datos históricos'!H212,'Datos históricos'!H213,'Datos históricos'!H214,'Datos históricos'!H215,'Datos históricos'!H216,'Datos históricos'!H217,'Datos históricos'!H218)/SUM('Datos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8.4239698196197366E-3</v>
      </c>
      <c r="D63" s="95">
        <f>IFERROR(SUM('Datos históricos'!I201,'Datos históricos'!I202,'Datos históricos'!I203,'Datos históricos'!I204,'Datos históricos'!I205,'Datos históricos'!I206,'Datos históricos'!I207,'Datos históricos'!I208,'Datos históricos'!I209,'Datos históricos'!I210,'Datos históricos'!I211,'Datos históricos'!I212,'Datos históricos'!I213,'Datos históricos'!I214,'Datos históricos'!I215,'Datos históricos'!I216,'Datos históricos'!I217,'Datos históricos'!I218)/SUM('Datos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0.12330622545845607</v>
      </c>
      <c r="E63" s="95">
        <f>IFERROR(SUM('Datos históricos'!J201,'Datos históricos'!J202,'Datos históricos'!J203,'Datos históricos'!J204,'Datos históricos'!J205,'Datos históricos'!J206,'Datos históricos'!J207,'Datos históricos'!J208,'Datos históricos'!J209,'Datos históricos'!J210,'Datos históricos'!J211,'Datos históricos'!J212,'Datos históricos'!J213,'Datos históricos'!J214,'Datos históricos'!J215,'Datos históricos'!J216,'Datos históricos'!J217,'Datos históricos'!J218)/SUM('Datos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0.22605534339977229</v>
      </c>
      <c r="F63" s="95">
        <f>IFERROR(SUM('Datos históricos'!K201,'Datos históricos'!K202,'Datos históricos'!K203,'Datos históricos'!K204,'Datos históricos'!K205,'Datos históricos'!K206,'Datos históricos'!K207,'Datos históricos'!K208,'Datos históricos'!K209,'Datos históricos'!K210,'Datos históricos'!K211,'Datos históricos'!K212,'Datos históricos'!K213,'Datos históricos'!K214,'Datos históricos'!K215,'Datos históricos'!K216,'Datos históricos'!K217,'Datos históricos'!K218)/SUM('Datos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0.31813099630229263</v>
      </c>
      <c r="G63" s="95">
        <f>IFERROR(SUM('Datos históricos'!L201,'Datos históricos'!L202,'Datos históricos'!L203,'Datos históricos'!L204,'Datos históricos'!L205,'Datos históricos'!L206,'Datos históricos'!L207,'Datos históricos'!L208,'Datos históricos'!L209,'Datos históricos'!L210,'Datos históricos'!L211,'Datos históricos'!L212,'Datos históricos'!L213,'Datos históricos'!L214,'Datos históricos'!L215,'Datos históricos'!L216,'Datos históricos'!L217,'Datos históricos'!L218)/SUM('Datos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0.4020592378329233</v>
      </c>
      <c r="H63" s="95">
        <f>IFERROR(SUM('Datos históricos'!M201,'Datos históricos'!M202,'Datos históricos'!M203,'Datos históricos'!M204,'Datos históricos'!M205,'Datos históricos'!M206,'Datos históricos'!M207,'Datos históricos'!M208,'Datos históricos'!M209,'Datos históricos'!M210,'Datos históricos'!M211,'Datos históricos'!M212,'Datos históricos'!M213,'Datos históricos'!M214,'Datos históricos'!M215,'Datos históricos'!M216,'Datos históricos'!M217,'Datos históricos'!M218)/SUM('Datos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0.47623975941430019</v>
      </c>
      <c r="I63" s="95">
        <f>IFERROR(SUM('Datos históricos'!N201,'Datos históricos'!N202,'Datos históricos'!N203,'Datos históricos'!N204,'Datos históricos'!N205,'Datos históricos'!N206,'Datos históricos'!N207,'Datos históricos'!N208,'Datos históricos'!N209,'Datos históricos'!N210,'Datos históricos'!N211,'Datos históricos'!N212,'Datos históricos'!N213,'Datos históricos'!N214,'Datos históricos'!N215,'Datos históricos'!N216,'Datos históricos'!N217,'Datos históricos'!N218)/SUM('Datos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0.54085460222386894</v>
      </c>
      <c r="J63" s="95">
        <f>IFERROR(SUM('Datos históricos'!O201,'Datos históricos'!O202,'Datos históricos'!O203,'Datos históricos'!O204,'Datos históricos'!O205,'Datos históricos'!O206,'Datos históricos'!O207,'Datos históricos'!O208,'Datos históricos'!O209,'Datos históricos'!O210,'Datos históricos'!O211,'Datos históricos'!O212,'Datos históricos'!O213,'Datos históricos'!O214,'Datos históricos'!O215,'Datos históricos'!O216,'Datos históricos'!O217,'Datos históricos'!O218)/SUM('Datos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0.60193240920317992</v>
      </c>
      <c r="K63" s="95">
        <f>IFERROR(SUM('Datos históricos'!P201,'Datos históricos'!P202,'Datos históricos'!P203,'Datos históricos'!P204,'Datos históricos'!P205,'Datos históricos'!P206,'Datos históricos'!P207,'Datos históricos'!P208,'Datos históricos'!P209,'Datos históricos'!P210,'Datos históricos'!P211,'Datos históricos'!P212,'Datos históricos'!P213,'Datos históricos'!P214,'Datos históricos'!P215,'Datos históricos'!P216,'Datos históricos'!P217,'Datos históricos'!P218)/SUM('Datos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0.67902401729036643</v>
      </c>
      <c r="L63" s="95">
        <f>IFERROR(SUM('Datos históricos'!Q201,'Datos históricos'!Q202,'Datos históricos'!Q203,'Datos históricos'!Q204,'Datos históricos'!Q205,'Datos históricos'!Q206,'Datos históricos'!Q207,'Datos históricos'!Q208,'Datos históricos'!Q209,'Datos históricos'!Q210,'Datos históricos'!Q211,'Datos históricos'!Q212,'Datos históricos'!Q213,'Datos históricos'!Q214,'Datos históricos'!Q215,'Datos históricos'!Q216,'Datos históricos'!Q217,'Datos históricos'!Q218)/SUM('Datos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0.74900261256268796</v>
      </c>
      <c r="M63" s="95">
        <f>IFERROR(SUM('Datos históricos'!R201,'Datos históricos'!R202,'Datos históricos'!R203,'Datos históricos'!R204,'Datos históricos'!R205,'Datos históricos'!R206,'Datos históricos'!R207,'Datos históricos'!R208,'Datos históricos'!R209,'Datos históricos'!R210,'Datos históricos'!R211,'Datos históricos'!R212,'Datos históricos'!R213,'Datos históricos'!R214,'Datos históricos'!R215,'Datos históricos'!R216,'Datos históricos'!R217,'Datos históricos'!R218)/SUM('Datos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0.82754911998625214</v>
      </c>
      <c r="N63" s="95">
        <f>IFERROR(SUM('Datos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históricos'!S218)/SUM('Datos históricos'!S201,'Datos históricos'!S202,'Datos históricos'!S203,'Datos históricos'!S204,'Datos históricos'!S205,'Datos históricos'!S206,'Datos históricos'!S207,'Datos históricos'!S208,'Datos históricos'!S209,'Datos históricos'!S210,'Datos históricos'!S211,'Datos históricos'!S212,'Datos históricos'!S213,'Datos históricos'!S214,'Datos históricos'!S215,'Datos históricos'!S216,'Datos históricos'!S217,'Datos históricos'!S218),0)</f>
        <v>1</v>
      </c>
      <c r="O63" s="48"/>
      <c r="P63" s="48"/>
      <c r="Q63" s="48"/>
      <c r="R63" s="48"/>
      <c r="S63" s="48"/>
      <c r="T63" s="48"/>
      <c r="U63" s="48"/>
      <c r="V63" s="48"/>
      <c r="W63" s="48"/>
      <c r="X63" s="48"/>
      <c r="Y63" s="48"/>
      <c r="Z63" s="1"/>
    </row>
    <row r="64" spans="1:26" ht="13.5" customHeight="1">
      <c r="A64" s="1"/>
      <c r="B64" s="97" t="s">
        <v>161</v>
      </c>
      <c r="C64" s="98">
        <f t="shared" ref="C64:N64" si="11">MEDIAN(C59:C63)</f>
        <v>6.2618420653102655E-4</v>
      </c>
      <c r="D64" s="98">
        <f t="shared" si="11"/>
        <v>6.8441323376514471E-2</v>
      </c>
      <c r="E64" s="98">
        <f t="shared" si="11"/>
        <v>0.14741085973945167</v>
      </c>
      <c r="F64" s="98">
        <f t="shared" si="11"/>
        <v>0.23083553319834574</v>
      </c>
      <c r="G64" s="98">
        <f t="shared" si="11"/>
        <v>0.31690690253873116</v>
      </c>
      <c r="H64" s="98">
        <f t="shared" si="11"/>
        <v>0.4394018442242435</v>
      </c>
      <c r="I64" s="98">
        <f t="shared" si="11"/>
        <v>0.50849592646638442</v>
      </c>
      <c r="J64" s="98">
        <f t="shared" si="11"/>
        <v>0.58887412379905646</v>
      </c>
      <c r="K64" s="98">
        <f t="shared" si="11"/>
        <v>0.66069860379319467</v>
      </c>
      <c r="L64" s="98">
        <f t="shared" si="11"/>
        <v>0.72886966392973118</v>
      </c>
      <c r="M64" s="98">
        <f t="shared" si="11"/>
        <v>0.81930510845800941</v>
      </c>
      <c r="N64" s="98">
        <f t="shared" si="11"/>
        <v>1</v>
      </c>
      <c r="O64" s="48"/>
      <c r="P64" s="48"/>
      <c r="Q64" s="48"/>
      <c r="R64" s="48"/>
      <c r="S64" s="48"/>
      <c r="T64" s="48"/>
      <c r="U64" s="48"/>
      <c r="V64" s="48"/>
      <c r="W64" s="48"/>
      <c r="X64" s="48"/>
      <c r="Y64" s="48"/>
      <c r="Z64" s="1"/>
    </row>
    <row r="65" spans="1:26" ht="13.5" customHeight="1">
      <c r="A65" s="1"/>
      <c r="B65" s="48"/>
      <c r="C65" s="48"/>
      <c r="D65" s="48"/>
      <c r="E65" s="48"/>
      <c r="F65" s="48"/>
      <c r="G65" s="48"/>
      <c r="H65" s="48"/>
      <c r="I65" s="48"/>
      <c r="J65" s="48"/>
      <c r="K65" s="48"/>
      <c r="L65" s="48"/>
      <c r="M65" s="48"/>
      <c r="N65" s="48"/>
      <c r="O65" s="48"/>
      <c r="P65" s="48"/>
      <c r="Q65" s="48"/>
      <c r="R65" s="48"/>
      <c r="S65" s="48"/>
      <c r="T65" s="48"/>
      <c r="U65" s="48"/>
      <c r="V65" s="48"/>
      <c r="W65" s="48"/>
      <c r="X65" s="48"/>
      <c r="Y65" s="48"/>
      <c r="Z65" s="1"/>
    </row>
    <row r="66" spans="1:26" ht="13.5" customHeight="1">
      <c r="A66" s="1"/>
      <c r="B66" s="48"/>
      <c r="C66" s="48"/>
      <c r="D66" s="48"/>
      <c r="E66" s="48"/>
      <c r="F66" s="48"/>
      <c r="G66" s="99">
        <f>C64</f>
        <v>6.2618420653102655E-4</v>
      </c>
      <c r="H66" s="48"/>
      <c r="I66" s="48"/>
      <c r="J66" s="48"/>
      <c r="K66" s="48"/>
      <c r="L66" s="48"/>
      <c r="M66" s="48"/>
      <c r="N66" s="48"/>
      <c r="O66" s="48"/>
      <c r="P66" s="48"/>
      <c r="Q66" s="48"/>
      <c r="R66" s="48"/>
      <c r="S66" s="48"/>
      <c r="T66" s="48"/>
      <c r="U66" s="48"/>
      <c r="V66" s="48"/>
      <c r="W66" s="48"/>
      <c r="X66" s="48"/>
      <c r="Y66" s="48"/>
      <c r="Z66" s="1"/>
    </row>
    <row r="67" spans="1:26" ht="13.5" customHeight="1">
      <c r="A67" s="1"/>
      <c r="B67" s="48"/>
      <c r="C67" s="48"/>
      <c r="D67" s="48"/>
      <c r="E67" s="48"/>
      <c r="F67" s="48"/>
      <c r="G67" s="99">
        <f>D64</f>
        <v>6.8441323376514471E-2</v>
      </c>
      <c r="H67" s="48"/>
      <c r="I67" s="48"/>
      <c r="J67" s="48"/>
      <c r="K67" s="48"/>
      <c r="L67" s="48"/>
      <c r="M67" s="48"/>
      <c r="N67" s="48"/>
      <c r="O67" s="48"/>
      <c r="P67" s="48"/>
      <c r="Q67" s="48"/>
      <c r="R67" s="48"/>
      <c r="S67" s="48"/>
      <c r="T67" s="48"/>
      <c r="U67" s="48"/>
      <c r="V67" s="48"/>
      <c r="W67" s="48"/>
      <c r="X67" s="48"/>
      <c r="Y67" s="48"/>
      <c r="Z67" s="1"/>
    </row>
    <row r="68" spans="1:26" ht="13.5" customHeight="1">
      <c r="A68" s="1"/>
      <c r="B68" s="48"/>
      <c r="C68" s="48"/>
      <c r="D68" s="48"/>
      <c r="E68" s="48"/>
      <c r="F68" s="48"/>
      <c r="G68" s="99">
        <f>E64</f>
        <v>0.14741085973945167</v>
      </c>
      <c r="H68" s="48"/>
      <c r="I68" s="48"/>
      <c r="J68" s="48"/>
      <c r="K68" s="48"/>
      <c r="L68" s="48"/>
      <c r="M68" s="48"/>
      <c r="N68" s="48"/>
      <c r="O68" s="48"/>
      <c r="P68" s="48"/>
      <c r="Q68" s="48"/>
      <c r="R68" s="48"/>
      <c r="S68" s="48"/>
      <c r="T68" s="48"/>
      <c r="U68" s="48"/>
      <c r="V68" s="48"/>
      <c r="W68" s="48"/>
      <c r="X68" s="48"/>
      <c r="Y68" s="48"/>
      <c r="Z68" s="1"/>
    </row>
    <row r="69" spans="1:26" ht="13.5" customHeight="1">
      <c r="A69" s="1"/>
      <c r="B69" s="48"/>
      <c r="C69" s="48"/>
      <c r="D69" s="48"/>
      <c r="E69" s="48"/>
      <c r="F69" s="48"/>
      <c r="G69" s="99">
        <f>F64</f>
        <v>0.23083553319834574</v>
      </c>
      <c r="H69" s="48"/>
      <c r="I69" s="48"/>
      <c r="J69" s="48"/>
      <c r="K69" s="48"/>
      <c r="L69" s="48"/>
      <c r="M69" s="48"/>
      <c r="N69" s="48"/>
      <c r="O69" s="48"/>
      <c r="P69" s="48"/>
      <c r="Q69" s="48"/>
      <c r="R69" s="48"/>
      <c r="S69" s="48"/>
      <c r="T69" s="48"/>
      <c r="U69" s="48"/>
      <c r="V69" s="48"/>
      <c r="W69" s="48"/>
      <c r="X69" s="48"/>
      <c r="Y69" s="48"/>
      <c r="Z69" s="1"/>
    </row>
    <row r="70" spans="1:26" ht="13.5" customHeight="1">
      <c r="A70" s="1"/>
      <c r="B70" s="48"/>
      <c r="C70" s="48"/>
      <c r="D70" s="48"/>
      <c r="E70" s="48"/>
      <c r="F70" s="48"/>
      <c r="G70" s="99">
        <f>G64</f>
        <v>0.31690690253873116</v>
      </c>
      <c r="H70" s="48"/>
      <c r="I70" s="48"/>
      <c r="J70" s="48"/>
      <c r="K70" s="48"/>
      <c r="L70" s="48"/>
      <c r="M70" s="48"/>
      <c r="N70" s="48"/>
      <c r="O70" s="48"/>
      <c r="P70" s="48"/>
      <c r="Q70" s="48"/>
      <c r="R70" s="48"/>
      <c r="S70" s="48"/>
      <c r="T70" s="48"/>
      <c r="U70" s="48"/>
      <c r="V70" s="48"/>
      <c r="W70" s="48"/>
      <c r="X70" s="48"/>
      <c r="Y70" s="48"/>
      <c r="Z70" s="1"/>
    </row>
    <row r="71" spans="1:26" ht="13.5" customHeight="1">
      <c r="A71" s="1"/>
      <c r="B71" s="48"/>
      <c r="C71" s="48"/>
      <c r="D71" s="48"/>
      <c r="E71" s="48"/>
      <c r="F71" s="48"/>
      <c r="G71" s="99">
        <f>H64</f>
        <v>0.4394018442242435</v>
      </c>
      <c r="H71" s="48"/>
      <c r="I71" s="48"/>
      <c r="J71" s="48"/>
      <c r="K71" s="48"/>
      <c r="L71" s="48"/>
      <c r="M71" s="48"/>
      <c r="N71" s="48"/>
      <c r="O71" s="48"/>
      <c r="P71" s="48"/>
      <c r="Q71" s="48"/>
      <c r="R71" s="48"/>
      <c r="S71" s="48"/>
      <c r="T71" s="48"/>
      <c r="U71" s="48"/>
      <c r="V71" s="48"/>
      <c r="W71" s="48"/>
      <c r="X71" s="48"/>
      <c r="Y71" s="48"/>
      <c r="Z71" s="1"/>
    </row>
    <row r="72" spans="1:26" ht="13.5" customHeight="1">
      <c r="A72" s="1"/>
      <c r="B72" s="48"/>
      <c r="C72" s="48"/>
      <c r="D72" s="48"/>
      <c r="E72" s="48"/>
      <c r="F72" s="48"/>
      <c r="G72" s="99">
        <f>I64</f>
        <v>0.50849592646638442</v>
      </c>
      <c r="H72" s="48"/>
      <c r="I72" s="48"/>
      <c r="J72" s="48"/>
      <c r="K72" s="48"/>
      <c r="L72" s="48"/>
      <c r="M72" s="48"/>
      <c r="N72" s="48"/>
      <c r="O72" s="48"/>
      <c r="P72" s="48"/>
      <c r="Q72" s="48"/>
      <c r="R72" s="48"/>
      <c r="S72" s="48"/>
      <c r="T72" s="48"/>
      <c r="U72" s="48"/>
      <c r="V72" s="48"/>
      <c r="W72" s="48"/>
      <c r="X72" s="48"/>
      <c r="Y72" s="48"/>
      <c r="Z72" s="1"/>
    </row>
    <row r="73" spans="1:26" ht="13.5" customHeight="1">
      <c r="A73" s="1"/>
      <c r="B73" s="48"/>
      <c r="C73" s="48"/>
      <c r="D73" s="48"/>
      <c r="E73" s="48"/>
      <c r="F73" s="48"/>
      <c r="G73" s="99">
        <f>J64</f>
        <v>0.58887412379905646</v>
      </c>
      <c r="H73" s="48"/>
      <c r="I73" s="48"/>
      <c r="J73" s="48"/>
      <c r="K73" s="48"/>
      <c r="L73" s="48"/>
      <c r="M73" s="48"/>
      <c r="N73" s="48"/>
      <c r="O73" s="48"/>
      <c r="P73" s="48"/>
      <c r="Q73" s="48"/>
      <c r="R73" s="48"/>
      <c r="S73" s="48"/>
      <c r="T73" s="48"/>
      <c r="U73" s="48"/>
      <c r="V73" s="48"/>
      <c r="W73" s="48"/>
      <c r="X73" s="48"/>
      <c r="Y73" s="48"/>
      <c r="Z73" s="1"/>
    </row>
    <row r="74" spans="1:26" ht="13.5" customHeight="1">
      <c r="A74" s="1"/>
      <c r="B74" s="48"/>
      <c r="C74" s="48"/>
      <c r="D74" s="48"/>
      <c r="E74" s="48"/>
      <c r="F74" s="48"/>
      <c r="G74" s="99">
        <f>K64</f>
        <v>0.66069860379319467</v>
      </c>
      <c r="H74" s="48"/>
      <c r="I74" s="48"/>
      <c r="J74" s="48"/>
      <c r="K74" s="48"/>
      <c r="L74" s="48"/>
      <c r="M74" s="48"/>
      <c r="N74" s="48"/>
      <c r="O74" s="48"/>
      <c r="P74" s="48"/>
      <c r="Q74" s="48"/>
      <c r="R74" s="48"/>
      <c r="S74" s="48"/>
      <c r="T74" s="48"/>
      <c r="U74" s="48"/>
      <c r="V74" s="48"/>
      <c r="W74" s="48"/>
      <c r="X74" s="48"/>
      <c r="Y74" s="48"/>
      <c r="Z74" s="1"/>
    </row>
    <row r="75" spans="1:26" ht="13.5" customHeight="1">
      <c r="A75" s="1"/>
      <c r="B75" s="48"/>
      <c r="C75" s="48"/>
      <c r="D75" s="48"/>
      <c r="E75" s="48"/>
      <c r="F75" s="48"/>
      <c r="G75" s="99">
        <f>L64</f>
        <v>0.72886966392973118</v>
      </c>
      <c r="H75" s="48"/>
      <c r="I75" s="48"/>
      <c r="J75" s="48"/>
      <c r="K75" s="48"/>
      <c r="L75" s="48"/>
      <c r="M75" s="48"/>
      <c r="N75" s="48"/>
      <c r="O75" s="48"/>
      <c r="P75" s="48"/>
      <c r="Q75" s="48"/>
      <c r="R75" s="48"/>
      <c r="S75" s="48"/>
      <c r="T75" s="48"/>
      <c r="U75" s="48"/>
      <c r="V75" s="48"/>
      <c r="W75" s="48"/>
      <c r="X75" s="48"/>
      <c r="Y75" s="48"/>
      <c r="Z75" s="1"/>
    </row>
    <row r="76" spans="1:26" ht="13.5" customHeight="1">
      <c r="A76" s="1"/>
      <c r="B76" s="48"/>
      <c r="C76" s="48"/>
      <c r="D76" s="48"/>
      <c r="E76" s="48"/>
      <c r="F76" s="48"/>
      <c r="G76" s="99">
        <f>M64</f>
        <v>0.81930510845800941</v>
      </c>
      <c r="H76" s="48"/>
      <c r="I76" s="48"/>
      <c r="J76" s="48"/>
      <c r="K76" s="48"/>
      <c r="L76" s="48"/>
      <c r="M76" s="48"/>
      <c r="N76" s="48"/>
      <c r="O76" s="48"/>
      <c r="P76" s="48"/>
      <c r="Q76" s="48"/>
      <c r="R76" s="48"/>
      <c r="S76" s="48"/>
      <c r="T76" s="48"/>
      <c r="U76" s="48"/>
      <c r="V76" s="48"/>
      <c r="W76" s="48"/>
      <c r="X76" s="48"/>
      <c r="Y76" s="48"/>
      <c r="Z76" s="1"/>
    </row>
    <row r="77" spans="1:26" ht="13.5" customHeight="1">
      <c r="A77" s="1"/>
      <c r="B77" s="48"/>
      <c r="C77" s="48"/>
      <c r="D77" s="48"/>
      <c r="E77" s="48"/>
      <c r="F77" s="48"/>
      <c r="G77" s="99">
        <f>N64</f>
        <v>1</v>
      </c>
      <c r="H77" s="48"/>
      <c r="I77" s="48"/>
      <c r="J77" s="48"/>
      <c r="K77" s="48"/>
      <c r="L77" s="48"/>
      <c r="M77" s="48"/>
      <c r="N77" s="48"/>
      <c r="O77" s="48"/>
      <c r="P77" s="48"/>
      <c r="Q77" s="48"/>
      <c r="R77" s="48"/>
      <c r="S77" s="48"/>
      <c r="T77" s="48"/>
      <c r="U77" s="48"/>
      <c r="V77" s="48"/>
      <c r="W77" s="48"/>
      <c r="X77" s="48"/>
      <c r="Y77" s="48"/>
      <c r="Z77" s="1"/>
    </row>
    <row r="78" spans="1:26" ht="13.5" customHeight="1">
      <c r="A78" s="1"/>
      <c r="B78" s="48"/>
      <c r="C78" s="48"/>
      <c r="D78" s="48"/>
      <c r="E78" s="48"/>
      <c r="F78" s="48"/>
      <c r="G78" s="48"/>
      <c r="H78" s="48"/>
      <c r="I78" s="48"/>
      <c r="J78" s="48"/>
      <c r="K78" s="48"/>
      <c r="L78" s="48"/>
      <c r="M78" s="48"/>
      <c r="N78" s="48"/>
      <c r="O78" s="48"/>
      <c r="P78" s="48"/>
      <c r="Q78" s="48"/>
      <c r="R78" s="48"/>
      <c r="S78" s="48"/>
      <c r="T78" s="48"/>
      <c r="U78" s="48"/>
      <c r="V78" s="48"/>
      <c r="W78" s="48"/>
      <c r="X78" s="48"/>
      <c r="Y78" s="48"/>
      <c r="Z78" s="1"/>
    </row>
    <row r="79" spans="1:26" ht="13.5" customHeight="1">
      <c r="A79" s="1"/>
      <c r="B79" s="48"/>
      <c r="C79" s="48"/>
      <c r="D79" s="48"/>
      <c r="E79" s="48"/>
      <c r="F79" s="48"/>
      <c r="G79" s="48"/>
      <c r="H79" s="48"/>
      <c r="I79" s="48"/>
      <c r="J79" s="48"/>
      <c r="K79" s="48"/>
      <c r="L79" s="48"/>
      <c r="M79" s="48"/>
      <c r="N79" s="48"/>
      <c r="O79" s="48"/>
      <c r="P79" s="48"/>
      <c r="Q79" s="48"/>
      <c r="R79" s="48"/>
      <c r="S79" s="48"/>
      <c r="T79" s="48"/>
      <c r="U79" s="48"/>
      <c r="V79" s="48"/>
      <c r="W79" s="48"/>
      <c r="X79" s="48"/>
      <c r="Y79" s="48"/>
      <c r="Z79" s="1"/>
    </row>
    <row r="80" spans="1:26" ht="30" customHeight="1">
      <c r="A80" s="1"/>
      <c r="B80" s="100" t="s">
        <v>182</v>
      </c>
      <c r="C80" s="126" t="s">
        <v>183</v>
      </c>
      <c r="D80" s="105"/>
      <c r="E80" s="105"/>
      <c r="F80" s="105"/>
      <c r="G80" s="105"/>
      <c r="H80" s="105"/>
      <c r="I80" s="105"/>
      <c r="J80" s="105"/>
      <c r="K80" s="105"/>
      <c r="L80" s="105"/>
      <c r="M80" s="105"/>
      <c r="N80" s="105"/>
      <c r="O80" s="48"/>
      <c r="P80" s="48"/>
      <c r="Q80" s="48"/>
      <c r="R80" s="48"/>
      <c r="S80" s="48"/>
      <c r="T80" s="48"/>
      <c r="U80" s="48"/>
      <c r="V80" s="48"/>
      <c r="W80" s="48"/>
      <c r="X80" s="48"/>
      <c r="Y80" s="48"/>
      <c r="Z80" s="1"/>
    </row>
    <row r="81" spans="1:26" ht="30" customHeight="1">
      <c r="A81" s="1"/>
      <c r="B81" s="100" t="s">
        <v>184</v>
      </c>
      <c r="C81" s="126" t="s">
        <v>185</v>
      </c>
      <c r="D81" s="105"/>
      <c r="E81" s="105"/>
      <c r="F81" s="105"/>
      <c r="G81" s="105"/>
      <c r="H81" s="105"/>
      <c r="I81" s="105"/>
      <c r="J81" s="105"/>
      <c r="K81" s="105"/>
      <c r="L81" s="105"/>
      <c r="M81" s="105"/>
      <c r="N81" s="105"/>
      <c r="O81" s="48"/>
      <c r="P81" s="48"/>
      <c r="Q81" s="48"/>
      <c r="R81" s="48"/>
      <c r="S81" s="48"/>
      <c r="T81" s="48"/>
      <c r="U81" s="48"/>
      <c r="V81" s="48"/>
      <c r="W81" s="48"/>
      <c r="X81" s="48"/>
      <c r="Y81" s="48"/>
      <c r="Z81" s="1"/>
    </row>
    <row r="82" spans="1:26" ht="30" customHeight="1">
      <c r="A82" s="1"/>
      <c r="B82" s="100"/>
      <c r="C82" s="126"/>
      <c r="D82" s="105"/>
      <c r="E82" s="105"/>
      <c r="F82" s="105"/>
      <c r="G82" s="105"/>
      <c r="H82" s="105"/>
      <c r="I82" s="105"/>
      <c r="J82" s="105"/>
      <c r="K82" s="105"/>
      <c r="L82" s="105"/>
      <c r="M82" s="105"/>
      <c r="N82" s="105"/>
      <c r="O82" s="48"/>
      <c r="P82" s="48"/>
      <c r="Q82" s="48"/>
      <c r="R82" s="48"/>
      <c r="S82" s="48"/>
      <c r="T82" s="48"/>
      <c r="U82" s="48"/>
      <c r="V82" s="48"/>
      <c r="W82" s="48"/>
      <c r="X82" s="48"/>
      <c r="Y82" s="48"/>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C82:N82"/>
    <mergeCell ref="D6:E6"/>
    <mergeCell ref="B6:C6"/>
    <mergeCell ref="C81:N81"/>
    <mergeCell ref="H6:I6"/>
    <mergeCell ref="D7:E8"/>
    <mergeCell ref="B7:C8"/>
    <mergeCell ref="H7:I8"/>
    <mergeCell ref="F7:G8"/>
    <mergeCell ref="F6:G6"/>
    <mergeCell ref="C80:N80"/>
  </mergeCells>
  <dataValidations count="1">
    <dataValidation type="list" allowBlank="1" sqref="C4" xr:uid="{00000000-0002-0000-0400-000000000000}">
      <formula1>"Conservador,Base,Optimista"</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Z1000"/>
  <sheetViews>
    <sheetView workbookViewId="0"/>
  </sheetViews>
  <sheetFormatPr baseColWidth="10" defaultColWidth="14.44140625" defaultRowHeight="15" customHeight="1"/>
  <cols>
    <col min="1" max="1" width="10.6640625" style="101" customWidth="1"/>
    <col min="2" max="2" width="27.6640625" style="101" customWidth="1"/>
    <col min="3" max="26" width="10.6640625" style="101" customWidth="1"/>
  </cols>
  <sheetData>
    <row r="2" spans="2:16" ht="15.6">
      <c r="B2" s="80" t="s">
        <v>170</v>
      </c>
    </row>
    <row r="3" spans="2:16" ht="15.6">
      <c r="B3" s="81" t="s">
        <v>186</v>
      </c>
      <c r="C3" s="82"/>
      <c r="D3" s="82">
        <v>2014</v>
      </c>
      <c r="E3" s="82">
        <f t="shared" ref="E3:P3" si="0">+D3+1</f>
        <v>2015</v>
      </c>
      <c r="F3" s="82">
        <f t="shared" si="0"/>
        <v>2016</v>
      </c>
      <c r="G3" s="82">
        <f t="shared" si="0"/>
        <v>2017</v>
      </c>
      <c r="H3" s="82">
        <f t="shared" si="0"/>
        <v>2018</v>
      </c>
      <c r="I3" s="82">
        <f t="shared" si="0"/>
        <v>2019</v>
      </c>
      <c r="J3" s="82">
        <f t="shared" si="0"/>
        <v>2020</v>
      </c>
      <c r="K3" s="82">
        <f t="shared" si="0"/>
        <v>2021</v>
      </c>
      <c r="L3" s="82">
        <f t="shared" si="0"/>
        <v>2022</v>
      </c>
      <c r="M3" s="82">
        <f t="shared" si="0"/>
        <v>2023</v>
      </c>
      <c r="N3" s="82">
        <f t="shared" si="0"/>
        <v>2024</v>
      </c>
      <c r="O3" s="82">
        <f t="shared" si="0"/>
        <v>2025</v>
      </c>
      <c r="P3" s="83">
        <f t="shared" si="0"/>
        <v>2026</v>
      </c>
    </row>
    <row r="4" spans="2:16" ht="15.6">
      <c r="B4" s="84" t="s">
        <v>187</v>
      </c>
      <c r="C4" s="13" t="s">
        <v>188</v>
      </c>
      <c r="D4" s="85">
        <f>+MOP_Mes_Corriente!O28/MOP_Mes_Corriente!O16</f>
        <v>1.0671271231009323</v>
      </c>
      <c r="E4" s="85">
        <f>+MOP_Mes_Corriente!P28/MOP_Mes_Corriente!P16</f>
        <v>1</v>
      </c>
      <c r="F4" s="85">
        <f>+MOP_Mes_Corriente!Q28/MOP_Mes_Corriente!Q16</f>
        <v>1.0010916858514116</v>
      </c>
      <c r="G4" s="85">
        <f>+MOP_Mes_Corriente!R28/MOP_Mes_Corriente!R16</f>
        <v>0.99609317912938589</v>
      </c>
      <c r="H4" s="85">
        <f>+MOP_Mes_Corriente!S28/MOP_Mes_Corriente!S16</f>
        <v>0.98985806720196745</v>
      </c>
      <c r="I4" s="85">
        <f>+MOP_Mes_Corriente!T28/MOP_Mes_Corriente!T16</f>
        <v>0.99336414348616808</v>
      </c>
      <c r="J4" s="85">
        <f>+MOP_Mes_Corriente!U28/MOP_Mes_Corriente!U16</f>
        <v>1.0039512374267363</v>
      </c>
      <c r="K4" s="85">
        <f>+MOP_Mes_Corriente!V28/MOP_Mes_Corriente!V16</f>
        <v>1.0038729068748842</v>
      </c>
      <c r="L4" s="85">
        <f>+MOP_Mes_Corriente!W28/MOP_Mes_Corriente!W16</f>
        <v>1.0039122538776906</v>
      </c>
      <c r="M4" s="85">
        <f>+MOP_Mes_Corriente!X28/MOP_Mes_Corriente!X16</f>
        <v>1.0037555927739865</v>
      </c>
      <c r="N4" s="85">
        <f>+MOP_Mes_Corriente!Y28/MOP_Mes_Corriente!Y16</f>
        <v>1.0037555927739865</v>
      </c>
      <c r="O4" s="85">
        <f>+MOP_Mes_Corriente!Z28/MOP_Mes_Corriente!Z16</f>
        <v>1.031956291996984</v>
      </c>
      <c r="P4" s="86">
        <f>+MOP_Mes_Corriente!AA28/MOP_Mes_Corriente!AA16</f>
        <v>1.0283016187393927</v>
      </c>
    </row>
    <row r="5" spans="2:16" ht="15.6">
      <c r="B5" s="84" t="s">
        <v>189</v>
      </c>
      <c r="C5" s="13" t="s">
        <v>190</v>
      </c>
      <c r="D5" s="87">
        <f>+(MOP_Mes_Corriente!O16-MOP_Mes_Corriente!O28)/MOP_Mes_Corriente!O16</f>
        <v>-6.7127123100932357E-2</v>
      </c>
      <c r="E5" s="87">
        <f>+(MOP_Mes_Corriente!P16-MOP_Mes_Corriente!P28)/MOP_Mes_Corriente!P16</f>
        <v>0</v>
      </c>
      <c r="F5" s="87">
        <f>+(MOP_Mes_Corriente!Q16-MOP_Mes_Corriente!Q28)/MOP_Mes_Corriente!Q16</f>
        <v>-1.0916858514115363E-3</v>
      </c>
      <c r="G5" s="87">
        <f>+(MOP_Mes_Corriente!R16-MOP_Mes_Corriente!R28)/MOP_Mes_Corriente!R16</f>
        <v>3.9068208706140679E-3</v>
      </c>
      <c r="H5" s="87">
        <f>+(MOP_Mes_Corriente!S16-MOP_Mes_Corriente!S28)/MOP_Mes_Corriente!S16</f>
        <v>1.0141932798032577E-2</v>
      </c>
      <c r="I5" s="87">
        <f>+(MOP_Mes_Corriente!T16-MOP_Mes_Corriente!T28)/MOP_Mes_Corriente!T16</f>
        <v>6.6358565138319265E-3</v>
      </c>
      <c r="J5" s="87">
        <f>+(MOP_Mes_Corriente!U16-MOP_Mes_Corriente!U28)/MOP_Mes_Corriente!U16</f>
        <v>-3.9512374267362208E-3</v>
      </c>
      <c r="K5" s="87">
        <f>+(MOP_Mes_Corriente!V16-MOP_Mes_Corriente!V28)/MOP_Mes_Corriente!V16</f>
        <v>-3.8729068748842295E-3</v>
      </c>
      <c r="L5" s="87">
        <f>+(MOP_Mes_Corriente!W16-MOP_Mes_Corriente!W28)/MOP_Mes_Corriente!W16</f>
        <v>-3.9122538776905219E-3</v>
      </c>
      <c r="M5" s="87">
        <f>+(MOP_Mes_Corriente!X16-MOP_Mes_Corriente!X28)/MOP_Mes_Corriente!X16</f>
        <v>-3.7555927739865392E-3</v>
      </c>
      <c r="N5" s="87">
        <f>+(MOP_Mes_Corriente!Y16-MOP_Mes_Corriente!Y28)/MOP_Mes_Corriente!Y16</f>
        <v>-3.7555927739865392E-3</v>
      </c>
      <c r="O5" s="87">
        <f>+(MOP_Mes_Corriente!Z16-MOP_Mes_Corriente!Z28)/MOP_Mes_Corriente!Z16</f>
        <v>-3.1956291996984125E-2</v>
      </c>
      <c r="P5" s="88">
        <f>+(MOP_Mes_Corriente!AA16-MOP_Mes_Corriente!AA28)/MOP_Mes_Corriente!AA16</f>
        <v>-2.8301618739392652E-2</v>
      </c>
    </row>
    <row r="6" spans="2:16" ht="15.6">
      <c r="B6" s="84" t="s">
        <v>191</v>
      </c>
      <c r="C6" s="13" t="s">
        <v>192</v>
      </c>
      <c r="D6" s="87">
        <f>+MOP_Mes_Corriente!O40/MOP_Mes_Corriente!O28</f>
        <v>0.99823484099176518</v>
      </c>
      <c r="E6" s="87">
        <f>+MOP_Mes_Corriente!P40/MOP_Mes_Corriente!P28</f>
        <v>3.7973714704445244E-2</v>
      </c>
      <c r="F6" s="87">
        <f>+MOP_Mes_Corriente!Q40/MOP_Mes_Corriente!Q28</f>
        <v>0.11565944199388122</v>
      </c>
      <c r="G6" s="87">
        <f>+MOP_Mes_Corriente!R40/MOP_Mes_Corriente!R28</f>
        <v>0.2138906666356058</v>
      </c>
      <c r="H6" s="87">
        <f>+MOP_Mes_Corriente!S40/MOP_Mes_Corriente!S28</f>
        <v>0.29783291006138207</v>
      </c>
      <c r="I6" s="87">
        <f>+MOP_Mes_Corriente!T40/MOP_Mes_Corriente!T28</f>
        <v>0.36561194961239046</v>
      </c>
      <c r="J6" s="87">
        <f>+MOP_Mes_Corriente!U40/MOP_Mes_Corriente!U28</f>
        <v>0.42371299703075027</v>
      </c>
      <c r="K6" s="87">
        <f>+MOP_Mes_Corriente!V40/MOP_Mes_Corriente!V28</f>
        <v>0.48514343392310899</v>
      </c>
      <c r="L6" s="87">
        <f>+MOP_Mes_Corriente!W40/MOP_Mes_Corriente!W28</f>
        <v>0.55661702192702789</v>
      </c>
      <c r="M6" s="87">
        <f>+MOP_Mes_Corriente!X40/MOP_Mes_Corriente!X28</f>
        <v>0.62548786258961653</v>
      </c>
      <c r="N6" s="87">
        <f>+MOP_Mes_Corriente!Y40/MOP_Mes_Corriente!Y28</f>
        <v>0.70608465527124964</v>
      </c>
      <c r="O6" s="87">
        <f>+MOP_Mes_Corriente!Z40/MOP_Mes_Corriente!Z28</f>
        <v>0.7786434213499801</v>
      </c>
      <c r="P6" s="88">
        <f>+MOP_Mes_Corriente!AA40/MOP_Mes_Corriente!AA28</f>
        <v>0.99806261191180035</v>
      </c>
    </row>
    <row r="7" spans="2:16" ht="15.6">
      <c r="B7" s="84" t="s">
        <v>193</v>
      </c>
      <c r="C7" s="13" t="s">
        <v>194</v>
      </c>
      <c r="D7" s="87">
        <f>+MOP_Mes_Corriente!O40/MOP_Mes_Corriente!O16</f>
        <v>1.065243474046659</v>
      </c>
      <c r="E7" s="87">
        <f>+MOP_Mes_Corriente!P40/MOP_Mes_Corriente!P16</f>
        <v>3.7973714704445244E-2</v>
      </c>
      <c r="F7" s="87">
        <f>+MOP_Mes_Corriente!Q40/MOP_Mes_Corriente!Q16</f>
        <v>0.1157857057702881</v>
      </c>
      <c r="G7" s="87">
        <f>+MOP_Mes_Corriente!R40/MOP_Mes_Corriente!R16</f>
        <v>0.21305503411516424</v>
      </c>
      <c r="H7" s="87">
        <f>+MOP_Mes_Corriente!S40/MOP_Mes_Corriente!S16</f>
        <v>0.29481230870249703</v>
      </c>
      <c r="I7" s="87">
        <f>+MOP_Mes_Corriente!T40/MOP_Mes_Corriente!T16</f>
        <v>0.36318580117502031</v>
      </c>
      <c r="J7" s="87">
        <f>+MOP_Mes_Corriente!U40/MOP_Mes_Corriente!U16</f>
        <v>0.42538718768281275</v>
      </c>
      <c r="K7" s="87">
        <f>+MOP_Mes_Corriente!V40/MOP_Mes_Corriente!V16</f>
        <v>0.48702234926365473</v>
      </c>
      <c r="L7" s="87">
        <f>+MOP_Mes_Corriente!W40/MOP_Mes_Corriente!W16</f>
        <v>0.55879464902945042</v>
      </c>
      <c r="M7" s="87">
        <f>+MOP_Mes_Corriente!X40/MOP_Mes_Corriente!X16</f>
        <v>0.62783694028657433</v>
      </c>
      <c r="N7" s="87">
        <f>+MOP_Mes_Corriente!Y40/MOP_Mes_Corriente!Y16</f>
        <v>0.70873642170040907</v>
      </c>
      <c r="O7" s="87">
        <f>+MOP_Mes_Corriente!Z40/MOP_Mes_Corriente!Z16</f>
        <v>0.80352597788417079</v>
      </c>
      <c r="P7" s="88">
        <f>+MOP_Mes_Corriente!AA40/MOP_Mes_Corriente!AA16</f>
        <v>1.0263093994321706</v>
      </c>
    </row>
    <row r="8" spans="2:16" ht="15.6">
      <c r="B8" s="89" t="s">
        <v>195</v>
      </c>
      <c r="C8" s="90" t="s">
        <v>196</v>
      </c>
      <c r="D8" s="91">
        <f>+(MOP_Mes_Corriente!O40/MOP_Mes_Corriente!O16)*(MOP_Mes_Corriente!O28/MOP_Mes_Corriente!O16)</f>
        <v>1.1367502038614539</v>
      </c>
      <c r="E8" s="91">
        <f>+(MOP_Mes_Corriente!P40/MOP_Mes_Corriente!P16)*(MOP_Mes_Corriente!P28/MOP_Mes_Corriente!P16)</f>
        <v>3.7973714704445244E-2</v>
      </c>
      <c r="F8" s="91">
        <f>+(MOP_Mes_Corriente!Q40/MOP_Mes_Corriente!Q16)*(MOP_Mes_Corriente!Q28/MOP_Mes_Corriente!Q16)</f>
        <v>0.11591210738707323</v>
      </c>
      <c r="G8" s="91">
        <f>+(MOP_Mes_Corriente!R40/MOP_Mes_Corriente!R16)*(MOP_Mes_Corriente!R28/MOP_Mes_Corriente!R16)</f>
        <v>0.21222266626129371</v>
      </c>
      <c r="H8" s="91">
        <f>+(MOP_Mes_Corriente!S40/MOP_Mes_Corriente!S16)*(MOP_Mes_Corriente!S28/MOP_Mes_Corriente!S16)</f>
        <v>0.2918223420796035</v>
      </c>
      <c r="I8" s="91">
        <f>+(MOP_Mes_Corriente!T40/MOP_Mes_Corriente!T16)*(MOP_Mes_Corriente!T28/MOP_Mes_Corriente!T16)</f>
        <v>0.3607757523105618</v>
      </c>
      <c r="J8" s="91">
        <f>+(MOP_Mes_Corriente!U40/MOP_Mes_Corriente!U16)*(MOP_Mes_Corriente!U28/MOP_Mes_Corriente!U16)</f>
        <v>0.42706799345963919</v>
      </c>
      <c r="K8" s="91">
        <f>+(MOP_Mes_Corriente!V40/MOP_Mes_Corriente!V16)*(MOP_Mes_Corriente!V28/MOP_Mes_Corriente!V16)</f>
        <v>0.48890854146834017</v>
      </c>
      <c r="L8" s="91">
        <f>+(MOP_Mes_Corriente!W40/MOP_Mes_Corriente!W16)*(MOP_Mes_Corriente!W28/MOP_Mes_Corriente!W16)</f>
        <v>0.56098079556194858</v>
      </c>
      <c r="M8" s="91">
        <f>+(MOP_Mes_Corriente!X40/MOP_Mes_Corriente!X16)*(MOP_Mes_Corriente!X28/MOP_Mes_Corriente!X16)</f>
        <v>0.6301948401627564</v>
      </c>
      <c r="N8" s="91">
        <f>+(MOP_Mes_Corriente!Y40/MOP_Mes_Corriente!Y16)*(MOP_Mes_Corriente!Y28/MOP_Mes_Corriente!Y16)</f>
        <v>0.71139814708440818</v>
      </c>
      <c r="O8" s="91">
        <f>+(MOP_Mes_Corriente!Z40/MOP_Mes_Corriente!Z16)*(MOP_Mes_Corriente!Z28/MOP_Mes_Corriente!Z16)</f>
        <v>0.82920368866059946</v>
      </c>
      <c r="P8" s="92">
        <f>+(MOP_Mes_Corriente!AA40/MOP_Mes_Corriente!AA16)*(MOP_Mes_Corriente!AA28/MOP_Mes_Corriente!AA16)</f>
        <v>1.0553556167635549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MOP_Mes_Corriente</vt:lpstr>
      <vt:lpstr>MOP_Mes_Constante</vt:lpstr>
      <vt:lpstr>Dashboard</vt:lpstr>
      <vt:lpstr>Datos históricos</vt:lpstr>
      <vt:lpstr>Modelo 2026</vt: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Aldo Manuel Herrera Hernandez</cp:lastModifiedBy>
  <dcterms:created xsi:type="dcterms:W3CDTF">2026-09-16T15:46:22Z</dcterms:created>
  <dcterms:modified xsi:type="dcterms:W3CDTF">2026-09-16T15:46:55Z</dcterms:modified>
</cp:coreProperties>
</file>